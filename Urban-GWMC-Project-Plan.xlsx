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Project Plan" sheetId="3" state="visible" r:id="rId5"/>
    <sheet name="Team Summary" sheetId="4" state="visible" r:id="rId6"/>
    <sheet name="Resource Loading" sheetId="5" state="visible" r:id="rId7"/>
    <sheet name="Milestones" sheetId="6" state="visible" r:id="rId8"/>
    <sheet name="Planner Import" sheetId="7" state="visible" r:id="rId9"/>
    <sheet name="MS Project Import" sheetId="8" state="visible" r:id="rId10"/>
    <sheet name="Risks" sheetId="9" state="visible" r:id="rId11"/>
  </sheets>
  <definedNames>
    <definedName function="false" hidden="true" localSheetId="6" name="_xlnm._FilterDatabase" vbProcedure="false">'Planner Import'!$A$1:$I$420</definedName>
    <definedName function="false" hidden="true" localSheetId="2" name="_xlnm._FilterDatabase" vbProcedure="false">'Project Plan'!$A$4:$AD$480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2" authorId="0">
      <text>
        <r>
          <rPr>
            <sz val="10"/>
            <rFont val="Arial"/>
            <family val="2"/>
          </rPr>
          <t xml:space="preserve">Leave 0 to plan effort only, or enter your day rates per role to see cost in Team Summary.</t>
        </r>
      </text>
    </comment>
    <comment ref="F4" authorId="0">
      <text>
        <r>
          <rPr>
            <sz val="10"/>
            <rFont val="Arial"/>
            <family val="2"/>
          </rPr>
          <t xml:space="preserve">Add holiday dates in F4:F44. WORKDAY and NETWORKDAYS in the plan skip them.</t>
        </r>
      </text>
    </comment>
  </commentList>
</comments>
</file>

<file path=xl/sharedStrings.xml><?xml version="1.0" encoding="utf-8"?>
<sst xmlns="http://schemas.openxmlformats.org/spreadsheetml/2006/main" count="5042" uniqueCount="1119">
  <si>
    <t xml:space="preserve">Urban Integrated Municipal ERP: GWMC project plan</t>
  </si>
  <si>
    <t xml:space="preserve">Hake Technologies  |  Version 0.1 draft  |  23 October 2026  |  Based on product SRS v0.35 and Technical Architecture v0.1</t>
  </si>
  <si>
    <t xml:space="preserve">What is in this workbook</t>
  </si>
  <si>
    <t xml:space="preserve">Assumptions: project start date, contingency, holidays and optional day rates. Yellow cells are yours to change; everything else recalculates.</t>
  </si>
  <si>
    <t xml:space="preserve">Project Plan: phases, tasks and subtasks with start offset, duration, dates, predecessors, effort in person-days by team role, and a monthly Gantt.</t>
  </si>
  <si>
    <t xml:space="preserve">Team Summary: effort by phase and by module for each team role, with contingency and optional cost.</t>
  </si>
  <si>
    <t xml:space="preserve">Resource Loading: full-time staff needed per role per month, from the Gantt allocation.</t>
  </si>
  <si>
    <t xml:space="preserve">Milestones: phase go-lives and sign-offs with dates.</t>
  </si>
  <si>
    <t xml:space="preserve">Planner Import: one row per subtask (title, bucket, start, due, label, effort, notes) for Microsoft Planner in Teams.</t>
  </si>
  <si>
    <t xml:space="preserve">MS Project Import: ID, name, outline level, duration, start, finish, predecessors and work, for the Microsoft Project import wizard.</t>
  </si>
  <si>
    <t xml:space="preserve">Risks: top delivery risks with owners and mitigations.</t>
  </si>
  <si>
    <t xml:space="preserve">How to edit</t>
  </si>
  <si>
    <t xml:space="preserve">Blue text = estimates and inputs you can change (start offset, duration, person-days, predecessors). Black = formulas. Yellow fill = key assumptions.</t>
  </si>
  <si>
    <t xml:space="preserve">Only Subtask rows hold estimates; Task and Phase rows add up their subtasks. Milestones have duration 0.</t>
  </si>
  <si>
    <t xml:space="preserve">Example: to move the start of a subtask by two weeks, add 10 to its 'Start offset (wd)'. Dates, Gantt and resource loading update automatically.</t>
  </si>
  <si>
    <t xml:space="preserve">Importing into Microsoft Teams</t>
  </si>
  <si>
    <t xml:space="preserve">Option A, Planner (Teams Planner tab): copy the Planner Import sheet into a new workbook and save it to OneDrive or SharePoint. Then use a Power Automate flow ('List rows present in a table', then 'Create a task') to create the tasks, mapping Bucket, Title, Start and Due. Add the plan to your Teams channel as a Planner tab.</t>
  </si>
  <si>
    <t xml:space="preserve">Option B, Microsoft Project or Planner premium: in Project desktop choose File &gt; Open, pick this workbook and follow the Import Wizard. Map Name, Outline Level, Duration, Start, Finish, Predecessors and Work from the MS Project Import sheet. Publish to Project for the web or Planner premium and add it to Teams.</t>
  </si>
  <si>
    <t xml:space="preserve">Import wizards read the saved values. After changing estimates, save the workbook in Excel before importing.</t>
  </si>
  <si>
    <t xml:space="preserve">How the estimates were made</t>
  </si>
  <si>
    <t xml:space="preserve">Module effort = base person-days per activity x a size factor of (processes + requirements) / 40, kept between 0.6 and 1.8, using the counts in SRS v0.35. Interface effort = 1.5 person-days per I-xx link; adapter effort = 5 person-days per external system first owned by the module.</t>
  </si>
  <si>
    <t xml:space="preserve">Field-app, citizen-service, GIS and migration activities are included only for modules that need them. Platform, release, governance and infrastructure tasks are estimated directly.</t>
  </si>
  <si>
    <t xml:space="preserve">These are planning estimates for a first plan. Refine them with the module teams after the Phase 1 design workshops.</t>
  </si>
  <si>
    <t xml:space="preserve">Assumptions and inputs</t>
  </si>
  <si>
    <t xml:space="preserve">Item</t>
  </si>
  <si>
    <t xml:space="preserve">Value</t>
  </si>
  <si>
    <t xml:space="preserve">Note</t>
  </si>
  <si>
    <t xml:space="preserve">Holidays (enter GWMC / Telangana holidays)</t>
  </si>
  <si>
    <t xml:space="preserve">Project start date (Monday)</t>
  </si>
  <si>
    <t xml:space="preserve">Assumed; set to the agreed start</t>
  </si>
  <si>
    <t xml:space="preserve">Contingency on effort</t>
  </si>
  <si>
    <t xml:space="preserve">Assumed 15% for estimation uncertainty</t>
  </si>
  <si>
    <t xml:space="preserve">Working hours per person-day</t>
  </si>
  <si>
    <t xml:space="preserve">Standard day</t>
  </si>
  <si>
    <t xml:space="preserve">Currency for optional costing</t>
  </si>
  <si>
    <t xml:space="preserve">INR</t>
  </si>
  <si>
    <t xml:space="preserve">Day rates below are optional</t>
  </si>
  <si>
    <t xml:space="preserve">Team roles and optional day rates</t>
  </si>
  <si>
    <t xml:space="preserve">Code</t>
  </si>
  <si>
    <t xml:space="preserve">Role</t>
  </si>
  <si>
    <t xml:space="preserve">Day rate (optional)</t>
  </si>
  <si>
    <t xml:space="preserve">PM</t>
  </si>
  <si>
    <t xml:space="preserve">Project manager</t>
  </si>
  <si>
    <t xml:space="preserve">BA</t>
  </si>
  <si>
    <t xml:space="preserve">Business analyst</t>
  </si>
  <si>
    <t xml:space="preserve">ARC</t>
  </si>
  <si>
    <t xml:space="preserve">Solution / technical architect</t>
  </si>
  <si>
    <t xml:space="preserve">BE</t>
  </si>
  <si>
    <t xml:space="preserve">Backend developer</t>
  </si>
  <si>
    <t xml:space="preserve">FE</t>
  </si>
  <si>
    <t xml:space="preserve">Frontend developer</t>
  </si>
  <si>
    <t xml:space="preserve">MOB</t>
  </si>
  <si>
    <t xml:space="preserve">Mobile developer</t>
  </si>
  <si>
    <t xml:space="preserve">GIS</t>
  </si>
  <si>
    <t xml:space="preserve">GIS engineer</t>
  </si>
  <si>
    <t xml:space="preserve">DEV</t>
  </si>
  <si>
    <t xml:space="preserve">DevOps / infrastructure</t>
  </si>
  <si>
    <t xml:space="preserve">QA</t>
  </si>
  <si>
    <t xml:space="preserve">QA / test engineer</t>
  </si>
  <si>
    <t xml:space="preserve">DATA</t>
  </si>
  <si>
    <t xml:space="preserve">Data migration engineer</t>
  </si>
  <si>
    <t xml:space="preserve">TRN</t>
  </si>
  <si>
    <t xml:space="preserve">Trainer / change manager</t>
  </si>
  <si>
    <t xml:space="preserve">Project plan: Urban ERP for GWMC (all phases)</t>
  </si>
  <si>
    <t xml:space="preserve">Blue = editable estimates. Dates use working days from the start date and holidays on the Assumptions sheet. Gantt cells show the share of each subtask falling in that month.</t>
  </si>
  <si>
    <t xml:space="preserve">Gantt (share of subtask effort per month)</t>
  </si>
  <si>
    <t xml:space="preserve">ID</t>
  </si>
  <si>
    <t xml:space="preserve">WBS</t>
  </si>
  <si>
    <t xml:space="preserve">Level</t>
  </si>
  <si>
    <t xml:space="preserve">Type</t>
  </si>
  <si>
    <t xml:space="preserve">Task / subtask</t>
  </si>
  <si>
    <t xml:space="preserve">Phase</t>
  </si>
  <si>
    <t xml:space="preserve">Module</t>
  </si>
  <si>
    <t xml:space="preserve">Lead team</t>
  </si>
  <si>
    <t xml:space="preserve">Start offset (wd)</t>
  </si>
  <si>
    <t xml:space="preserve">Duration (wd)</t>
  </si>
  <si>
    <t xml:space="preserve">Start</t>
  </si>
  <si>
    <t xml:space="preserve">Finish</t>
  </si>
  <si>
    <t xml:space="preserve">Predecessors (ID)</t>
  </si>
  <si>
    <t xml:space="preserve">Total effort (pd)</t>
  </si>
  <si>
    <t xml:space="preserve">Effort + contingency (pd)</t>
  </si>
  <si>
    <t xml:space="preserve">Deliverable / reference</t>
  </si>
  <si>
    <t xml:space="preserve">Status</t>
  </si>
  <si>
    <t xml:space="preserve">Owner</t>
  </si>
  <si>
    <t xml:space="preserve">% complete</t>
  </si>
  <si>
    <t xml:space="preserve">1</t>
  </si>
  <si>
    <t xml:space="preserve">Programme management and governance</t>
  </si>
  <si>
    <t xml:space="preserve">All</t>
  </si>
  <si>
    <t xml:space="preserve">1.1</t>
  </si>
  <si>
    <t xml:space="preserve">Task</t>
  </si>
  <si>
    <t xml:space="preserve">Project governance and PMO</t>
  </si>
  <si>
    <t xml:space="preserve">1.1.1</t>
  </si>
  <si>
    <t xml:space="preserve">Subtask</t>
  </si>
  <si>
    <t xml:space="preserve">PMO, planning, status reporting and steering committee: Phase 1</t>
  </si>
  <si>
    <t xml:space="preserve">Weekly status, monthly steering minutes, RAID log</t>
  </si>
  <si>
    <t xml:space="preserve">Not started</t>
  </si>
  <si>
    <t xml:space="preserve">1.1.2</t>
  </si>
  <si>
    <t xml:space="preserve">PMO, planning, status reporting and steering committee: Phase 2</t>
  </si>
  <si>
    <t xml:space="preserve">1.1.3</t>
  </si>
  <si>
    <t xml:space="preserve">PMO, planning, status reporting and steering committee: Phase 3</t>
  </si>
  <si>
    <t xml:space="preserve">1.1.4</t>
  </si>
  <si>
    <t xml:space="preserve">PMO, planning, status reporting and steering committee: Phase 4</t>
  </si>
  <si>
    <t xml:space="preserve">1.1.5</t>
  </si>
  <si>
    <t xml:space="preserve">Final stabilisation, knowledge transfer and handover</t>
  </si>
  <si>
    <t xml:space="preserve">Handover pack, runbooks, KT sign-off</t>
  </si>
  <si>
    <t xml:space="preserve">1.2</t>
  </si>
  <si>
    <t xml:space="preserve">Change control and quality</t>
  </si>
  <si>
    <t xml:space="preserve">1.2.1</t>
  </si>
  <si>
    <t xml:space="preserve">Change request process and impact assessments (whole programme)</t>
  </si>
  <si>
    <t xml:space="preserve">CR register</t>
  </si>
  <si>
    <t xml:space="preserve">1.2.2</t>
  </si>
  <si>
    <t xml:space="preserve">Quality audits and phase-gate reviews (4 gates)</t>
  </si>
  <si>
    <t xml:space="preserve">Gate review reports</t>
  </si>
  <si>
    <t xml:space="preserve">2</t>
  </si>
  <si>
    <t xml:space="preserve">Phase 0: Inception and mobilisation</t>
  </si>
  <si>
    <t xml:space="preserve">Phase 0</t>
  </si>
  <si>
    <t xml:space="preserve">2.1</t>
  </si>
  <si>
    <t xml:space="preserve">Mobilisation</t>
  </si>
  <si>
    <t xml:space="preserve">2.1.1</t>
  </si>
  <si>
    <t xml:space="preserve">Kick-off with GWMC and team onboarding</t>
  </si>
  <si>
    <t xml:space="preserve">Kick-off deck, project charter</t>
  </si>
  <si>
    <t xml:space="preserve">2.1.2</t>
  </si>
  <si>
    <t xml:space="preserve">Tooling: repositories, CI/CD, tracker, Teams workspace</t>
  </si>
  <si>
    <t xml:space="preserve">Working toolchain</t>
  </si>
  <si>
    <t xml:space="preserve">2.1.3</t>
  </si>
  <si>
    <t xml:space="preserve">Dev and test environments provisioned</t>
  </si>
  <si>
    <t xml:space="preserve">Dev and test clusters</t>
  </si>
  <si>
    <t xml:space="preserve">2.1.4</t>
  </si>
  <si>
    <t xml:space="preserve">State Data Centre slot request and network approvals</t>
  </si>
  <si>
    <t xml:space="preserve">SDC allocation letter</t>
  </si>
  <si>
    <t xml:space="preserve">2.2</t>
  </si>
  <si>
    <t xml:space="preserve">Requirements and design baseline</t>
  </si>
  <si>
    <t xml:space="preserve">2.2.1</t>
  </si>
  <si>
    <t xml:space="preserve">SRS walkthroughs with GWMC departments (Phase 1 modules)</t>
  </si>
  <si>
    <t xml:space="preserve">13</t>
  </si>
  <si>
    <t xml:space="preserve">Workshop minutes, clarifications</t>
  </si>
  <si>
    <t xml:space="preserve">2.2.2</t>
  </si>
  <si>
    <t xml:space="preserve">GWMC Deployment SRS open items closed for Phase 1</t>
  </si>
  <si>
    <t xml:space="preserve">Signed open-items list</t>
  </si>
  <si>
    <t xml:space="preserve">2.2.3</t>
  </si>
  <si>
    <t xml:space="preserve">Architecture decisions (ADR-001 to 016) reviewed and signed off</t>
  </si>
  <si>
    <t xml:space="preserve">Signed ADRs</t>
  </si>
  <si>
    <t xml:space="preserve">2.2.4</t>
  </si>
  <si>
    <t xml:space="preserve">UX research, design system and accessibility baseline</t>
  </si>
  <si>
    <t xml:space="preserve">Design system, UI kit, GIGW checklist</t>
  </si>
  <si>
    <t xml:space="preserve">2.2.5</t>
  </si>
  <si>
    <t xml:space="preserve">Data migration strategy and legacy data assessment</t>
  </si>
  <si>
    <t xml:space="preserve">Migration strategy</t>
  </si>
  <si>
    <t xml:space="preserve">2.3</t>
  </si>
  <si>
    <t xml:space="preserve">Milestone</t>
  </si>
  <si>
    <t xml:space="preserve">M0: Inception complete, Phase 1 build starts</t>
  </si>
  <si>
    <t xml:space="preserve">18,20</t>
  </si>
  <si>
    <t xml:space="preserve">3</t>
  </si>
  <si>
    <t xml:space="preserve">Platform foundation (built in Phase 1)</t>
  </si>
  <si>
    <t xml:space="preserve">Phase 1</t>
  </si>
  <si>
    <t xml:space="preserve">3.1</t>
  </si>
  <si>
    <t xml:space="preserve">Identity, OTP, CAPTCHA and step-up (Keycloak)</t>
  </si>
  <si>
    <t xml:space="preserve">Platform</t>
  </si>
  <si>
    <t xml:space="preserve">PLT-FR-001, 026, 028 to 032</t>
  </si>
  <si>
    <t xml:space="preserve">3.1.1</t>
  </si>
  <si>
    <t xml:space="preserve">Detailed design and contracts</t>
  </si>
  <si>
    <t xml:space="preserve">20</t>
  </si>
  <si>
    <t xml:space="preserve">Design note, OpenAPI and event schemas</t>
  </si>
  <si>
    <t xml:space="preserve">3.1.2</t>
  </si>
  <si>
    <t xml:space="preserve">Build and unit tests</t>
  </si>
  <si>
    <t xml:space="preserve">Working service</t>
  </si>
  <si>
    <t xml:space="preserve">3.1.3</t>
  </si>
  <si>
    <t xml:space="preserve">Component, security and contract tests</t>
  </si>
  <si>
    <t xml:space="preserve">Test report</t>
  </si>
  <si>
    <t xml:space="preserve">3.2</t>
  </si>
  <si>
    <t xml:space="preserve">Tenant, configuration console and Telangana state pack</t>
  </si>
  <si>
    <t xml:space="preserve">PLT-FR-015 to 018, 022</t>
  </si>
  <si>
    <t xml:space="preserve">3.2.1</t>
  </si>
  <si>
    <t xml:space="preserve">3.2.2</t>
  </si>
  <si>
    <t xml:space="preserve">3.2.3</t>
  </si>
  <si>
    <t xml:space="preserve">3.3</t>
  </si>
  <si>
    <t xml:space="preserve">Workflow and rules engine (Flowable BPMN and DMN)</t>
  </si>
  <si>
    <t xml:space="preserve">PLT-FR-003, 004</t>
  </si>
  <si>
    <t xml:space="preserve">3.3.1</t>
  </si>
  <si>
    <t xml:space="preserve">3.3.2</t>
  </si>
  <si>
    <t xml:space="preserve">3.3.3</t>
  </si>
  <si>
    <t xml:space="preserve">3.4</t>
  </si>
  <si>
    <t xml:space="preserve">API gateway, BFFs and service mesh</t>
  </si>
  <si>
    <t xml:space="preserve">PLT-FR-010</t>
  </si>
  <si>
    <t xml:space="preserve">3.4.1</t>
  </si>
  <si>
    <t xml:space="preserve">3.4.2</t>
  </si>
  <si>
    <t xml:space="preserve">3.4.3</t>
  </si>
  <si>
    <t xml:space="preserve">3.5</t>
  </si>
  <si>
    <t xml:space="preserve">Event bus, outbox/inbox library and schema registry</t>
  </si>
  <si>
    <t xml:space="preserve">NFR-003</t>
  </si>
  <si>
    <t xml:space="preserve">3.5.1</t>
  </si>
  <si>
    <t xml:space="preserve">3.5.2</t>
  </si>
  <si>
    <t xml:space="preserve">3.5.3</t>
  </si>
  <si>
    <t xml:space="preserve">3.6</t>
  </si>
  <si>
    <t xml:space="preserve">Payment service, gateway, UPI and BBPS</t>
  </si>
  <si>
    <t xml:space="preserve">PLT-FR-008</t>
  </si>
  <si>
    <t xml:space="preserve">3.6.1</t>
  </si>
  <si>
    <t xml:space="preserve">3.6.2</t>
  </si>
  <si>
    <t xml:space="preserve">3.6.3</t>
  </si>
  <si>
    <t xml:space="preserve">3.7</t>
  </si>
  <si>
    <t xml:space="preserve">Notification service (DLT SMS, WhatsApp, email, IVRS)</t>
  </si>
  <si>
    <t xml:space="preserve">PLT-FR-007</t>
  </si>
  <si>
    <t xml:space="preserve">3.7.1</t>
  </si>
  <si>
    <t xml:space="preserve">3.7.2</t>
  </si>
  <si>
    <t xml:space="preserve">3.7.3</t>
  </si>
  <si>
    <t xml:space="preserve">3.8</t>
  </si>
  <si>
    <t xml:space="preserve">GIS base: PostGIS, GeoServer, base map, imagery, ward layers</t>
  </si>
  <si>
    <t xml:space="preserve">PLT-FR-005, I-20 interim</t>
  </si>
  <si>
    <t xml:space="preserve">3.8.1</t>
  </si>
  <si>
    <t xml:space="preserve">3.8.2</t>
  </si>
  <si>
    <t xml:space="preserve">3.8.3</t>
  </si>
  <si>
    <t xml:space="preserve">3.9</t>
  </si>
  <si>
    <t xml:space="preserve">Document pipeline: OCR, translation, eSign, anchoring, DigiLocker</t>
  </si>
  <si>
    <t xml:space="preserve">PLT-FR-006, 025 to 027</t>
  </si>
  <si>
    <t xml:space="preserve">3.9.1</t>
  </si>
  <si>
    <t xml:space="preserve">3.9.2</t>
  </si>
  <si>
    <t xml:space="preserve">3.9.3</t>
  </si>
  <si>
    <t xml:space="preserve">3.10</t>
  </si>
  <si>
    <t xml:space="preserve">Search service (OpenSearch, Indic analysers)</t>
  </si>
  <si>
    <t xml:space="preserve">PLT-FR-014</t>
  </si>
  <si>
    <t xml:space="preserve">3.10.1</t>
  </si>
  <si>
    <t xml:space="preserve">3.10.2</t>
  </si>
  <si>
    <t xml:space="preserve">3.10.3</t>
  </si>
  <si>
    <t xml:space="preserve">3.11</t>
  </si>
  <si>
    <t xml:space="preserve">Audit service, SIEM feed and CERT-In logging</t>
  </si>
  <si>
    <t xml:space="preserve">PLT-FR-012, 035</t>
  </si>
  <si>
    <t xml:space="preserve">3.11.1</t>
  </si>
  <si>
    <t xml:space="preserve">3.11.2</t>
  </si>
  <si>
    <t xml:space="preserve">3.11.3</t>
  </si>
  <si>
    <t xml:space="preserve">3.12</t>
  </si>
  <si>
    <t xml:space="preserve">Aadhaar Data Vault with HSM</t>
  </si>
  <si>
    <t xml:space="preserve">PLT-FR-034</t>
  </si>
  <si>
    <t xml:space="preserve">3.12.1</t>
  </si>
  <si>
    <t xml:space="preserve">3.12.2</t>
  </si>
  <si>
    <t xml:space="preserve">3.12.3</t>
  </si>
  <si>
    <t xml:space="preserve">3.13</t>
  </si>
  <si>
    <t xml:space="preserve">Adapter hub framework</t>
  </si>
  <si>
    <t xml:space="preserve">PLT-FR-019</t>
  </si>
  <si>
    <t xml:space="preserve">3.13.1</t>
  </si>
  <si>
    <t xml:space="preserve">3.13.2</t>
  </si>
  <si>
    <t xml:space="preserve">3.13.3</t>
  </si>
  <si>
    <t xml:space="preserve">3.14</t>
  </si>
  <si>
    <t xml:space="preserve">Citizen portal and app shell (MyGWMC branding, 22-language i18n)</t>
  </si>
  <si>
    <t xml:space="preserve">PLT-FR-009, 021, 022</t>
  </si>
  <si>
    <t xml:space="preserve">3.14.1</t>
  </si>
  <si>
    <t xml:space="preserve">3.14.2</t>
  </si>
  <si>
    <t xml:space="preserve">3.14.3</t>
  </si>
  <si>
    <t xml:space="preserve">3.15</t>
  </si>
  <si>
    <t xml:space="preserve">Staff console shell, work queues and maps</t>
  </si>
  <si>
    <t xml:space="preserve">Console</t>
  </si>
  <si>
    <t xml:space="preserve">3.15.1</t>
  </si>
  <si>
    <t xml:space="preserve">3.15.2</t>
  </si>
  <si>
    <t xml:space="preserve">3.15.3</t>
  </si>
  <si>
    <t xml:space="preserve">3.16</t>
  </si>
  <si>
    <t xml:space="preserve">Field app shell and offline sync service</t>
  </si>
  <si>
    <t xml:space="preserve">PLT-FR-013</t>
  </si>
  <si>
    <t xml:space="preserve">3.16.1</t>
  </si>
  <si>
    <t xml:space="preserve">3.16.2</t>
  </si>
  <si>
    <t xml:space="preserve">3.16.3</t>
  </si>
  <si>
    <t xml:space="preserve">3.17</t>
  </si>
  <si>
    <t xml:space="preserve">Reporting warehouse, ELT and Superset dashboards</t>
  </si>
  <si>
    <t xml:space="preserve">PLT-FR-011</t>
  </si>
  <si>
    <t xml:space="preserve">3.17.1</t>
  </si>
  <si>
    <t xml:space="preserve">3.17.2</t>
  </si>
  <si>
    <t xml:space="preserve">3.17.3</t>
  </si>
  <si>
    <t xml:space="preserve">3.18</t>
  </si>
  <si>
    <t xml:space="preserve">Observability: OpenTelemetry, Prometheus, Grafana, Loki</t>
  </si>
  <si>
    <t xml:space="preserve">NFR-018</t>
  </si>
  <si>
    <t xml:space="preserve">3.18.1</t>
  </si>
  <si>
    <t xml:space="preserve">3.18.2</t>
  </si>
  <si>
    <t xml:space="preserve">3.18.3</t>
  </si>
  <si>
    <t xml:space="preserve">3.19</t>
  </si>
  <si>
    <t xml:space="preserve">Infrastructure and security (production)</t>
  </si>
  <si>
    <t xml:space="preserve">3.19.1</t>
  </si>
  <si>
    <t xml:space="preserve">Production cluster in State Data Centre</t>
  </si>
  <si>
    <t xml:space="preserve">Production environment</t>
  </si>
  <si>
    <t xml:space="preserve">3.19.2</t>
  </si>
  <si>
    <t xml:space="preserve">DR site, replication and backup</t>
  </si>
  <si>
    <t xml:space="preserve">DR environment</t>
  </si>
  <si>
    <t xml:space="preserve">3.19.3</t>
  </si>
  <si>
    <t xml:space="preserve">HSM, secrets (OpenBao), hardening and network policies</t>
  </si>
  <si>
    <t xml:space="preserve">Hardening checklist</t>
  </si>
  <si>
    <t xml:space="preserve">3.19.4</t>
  </si>
  <si>
    <t xml:space="preserve">SIEM (Wazuh) and NTP to NIC/NPL time servers</t>
  </si>
  <si>
    <t xml:space="preserve">SIEM live</t>
  </si>
  <si>
    <t xml:space="preserve">4</t>
  </si>
  <si>
    <t xml:space="preserve">Phase 1: Foundation and revenue core</t>
  </si>
  <si>
    <t xml:space="preserve">4.1</t>
  </si>
  <si>
    <t xml:space="preserve">Module 1: Property Tax &amp; Revenue Management</t>
  </si>
  <si>
    <t xml:space="preserve">1 Property Tax</t>
  </si>
  <si>
    <t xml:space="preserve">33 processes, 38 requirements (PTX)</t>
  </si>
  <si>
    <t xml:space="preserve">4.1.1</t>
  </si>
  <si>
    <t xml:space="preserve">Process validation workshops and to-be sign-off</t>
  </si>
  <si>
    <t xml:space="preserve">23</t>
  </si>
  <si>
    <t xml:space="preserve">Signed process maps</t>
  </si>
  <si>
    <t xml:space="preserve">4.1.2</t>
  </si>
  <si>
    <t xml:space="preserve">LLD, data model and API/event contracts</t>
  </si>
  <si>
    <t xml:space="preserve">104</t>
  </si>
  <si>
    <t xml:space="preserve">LLD, OpenAPI, schemas</t>
  </si>
  <si>
    <t xml:space="preserve">4.1.3</t>
  </si>
  <si>
    <t xml:space="preserve">UX wireframes and UI design</t>
  </si>
  <si>
    <t xml:space="preserve">Approved wireframes</t>
  </si>
  <si>
    <t xml:space="preserve">4.1.4</t>
  </si>
  <si>
    <t xml:space="preserve">Database schema, domain logic and APIs</t>
  </si>
  <si>
    <t xml:space="preserve">105</t>
  </si>
  <si>
    <t xml:space="preserve">Service build</t>
  </si>
  <si>
    <t xml:space="preserve">4.1.5</t>
  </si>
  <si>
    <t xml:space="preserve">Workflows (BPMN) and rules (DMN) configuration</t>
  </si>
  <si>
    <t xml:space="preserve">Deployed workflows and decision tables</t>
  </si>
  <si>
    <t xml:space="preserve">4.1.6</t>
  </si>
  <si>
    <t xml:space="preserve">Staff console screens</t>
  </si>
  <si>
    <t xml:space="preserve">106</t>
  </si>
  <si>
    <t xml:space="preserve">Staff screens</t>
  </si>
  <si>
    <t xml:space="preserve">4.1.7</t>
  </si>
  <si>
    <t xml:space="preserve">Citizen portal and app services</t>
  </si>
  <si>
    <t xml:space="preserve">Citizen services live in MyGWMC</t>
  </si>
  <si>
    <t xml:space="preserve">4.1.8</t>
  </si>
  <si>
    <t xml:space="preserve">Field app tasks (offline)</t>
  </si>
  <si>
    <t xml:space="preserve">Field app plug-in</t>
  </si>
  <si>
    <t xml:space="preserve">4.1.9</t>
  </si>
  <si>
    <t xml:space="preserve">GIS layers, map views and spatial checks</t>
  </si>
  <si>
    <t xml:space="preserve">Layers and map features</t>
  </si>
  <si>
    <t xml:space="preserve">4.1.10</t>
  </si>
  <si>
    <t xml:space="preserve">Module interfaces (16 I-xx links): events and APIs</t>
  </si>
  <si>
    <t xml:space="preserve">107</t>
  </si>
  <si>
    <t xml:space="preserve">Contract-tested interfaces</t>
  </si>
  <si>
    <t xml:space="preserve">4.1.11</t>
  </si>
  <si>
    <t xml:space="preserve">External system adapters (7)</t>
  </si>
  <si>
    <t xml:space="preserve">Adapters tested with provider sandboxes</t>
  </si>
  <si>
    <t xml:space="preserve">4.1.12</t>
  </si>
  <si>
    <t xml:space="preserve">Reports, dashboards, notices and templates (all active languages)</t>
  </si>
  <si>
    <t xml:space="preserve">Reports and templates</t>
  </si>
  <si>
    <t xml:space="preserve">4.1.13</t>
  </si>
  <si>
    <t xml:space="preserve">Data migration: CDMA property, demand and arrears</t>
  </si>
  <si>
    <t xml:space="preserve">Migration scripts and reconciliation report</t>
  </si>
  <si>
    <t xml:space="preserve">4.1.14</t>
  </si>
  <si>
    <t xml:space="preserve">System integration testing</t>
  </si>
  <si>
    <t xml:space="preserve">107,109</t>
  </si>
  <si>
    <t xml:space="preserve">SIT report</t>
  </si>
  <si>
    <t xml:space="preserve">4.1.15</t>
  </si>
  <si>
    <t xml:space="preserve">Defect fixing and regression</t>
  </si>
  <si>
    <t xml:space="preserve">117</t>
  </si>
  <si>
    <t xml:space="preserve">Closed defects</t>
  </si>
  <si>
    <t xml:space="preserve">4.1.16</t>
  </si>
  <si>
    <t xml:space="preserve">UAT support with GWMC department</t>
  </si>
  <si>
    <t xml:space="preserve">UAT sign-off</t>
  </si>
  <si>
    <t xml:space="preserve">4.1.17</t>
  </si>
  <si>
    <t xml:space="preserve">Training material and department training</t>
  </si>
  <si>
    <t xml:space="preserve">119</t>
  </si>
  <si>
    <t xml:space="preserve">Trained users, manuals in Telugu and English</t>
  </si>
  <si>
    <t xml:space="preserve">4.2</t>
  </si>
  <si>
    <t xml:space="preserve">Module 2: Water, Sewerage &amp; Utility Billing</t>
  </si>
  <si>
    <t xml:space="preserve">2 Water &amp; Sewerage</t>
  </si>
  <si>
    <t xml:space="preserve">32 processes, 35 requirements (WTR)</t>
  </si>
  <si>
    <t xml:space="preserve">4.2.1</t>
  </si>
  <si>
    <t xml:space="preserve">4.2.2</t>
  </si>
  <si>
    <t xml:space="preserve">122</t>
  </si>
  <si>
    <t xml:space="preserve">4.2.3</t>
  </si>
  <si>
    <t xml:space="preserve">4.2.4</t>
  </si>
  <si>
    <t xml:space="preserve">123</t>
  </si>
  <si>
    <t xml:space="preserve">4.2.5</t>
  </si>
  <si>
    <t xml:space="preserve">4.2.6</t>
  </si>
  <si>
    <t xml:space="preserve">124</t>
  </si>
  <si>
    <t xml:space="preserve">4.2.7</t>
  </si>
  <si>
    <t xml:space="preserve">4.2.8</t>
  </si>
  <si>
    <t xml:space="preserve">4.2.9</t>
  </si>
  <si>
    <t xml:space="preserve">4.2.10</t>
  </si>
  <si>
    <t xml:space="preserve">Module interfaces (17 I-xx links): events and APIs</t>
  </si>
  <si>
    <t xml:space="preserve">125</t>
  </si>
  <si>
    <t xml:space="preserve">4.2.11</t>
  </si>
  <si>
    <t xml:space="preserve">External system adapters (2)</t>
  </si>
  <si>
    <t xml:space="preserve">4.2.12</t>
  </si>
  <si>
    <t xml:space="preserve">4.2.13</t>
  </si>
  <si>
    <t xml:space="preserve">Data migration: consumer, meter and arrears data</t>
  </si>
  <si>
    <t xml:space="preserve">4.2.14</t>
  </si>
  <si>
    <t xml:space="preserve">125,127</t>
  </si>
  <si>
    <t xml:space="preserve">4.2.15</t>
  </si>
  <si>
    <t xml:space="preserve">135</t>
  </si>
  <si>
    <t xml:space="preserve">4.2.16</t>
  </si>
  <si>
    <t xml:space="preserve">4.2.17</t>
  </si>
  <si>
    <t xml:space="preserve">137</t>
  </si>
  <si>
    <t xml:space="preserve">4.3</t>
  </si>
  <si>
    <t xml:space="preserve">Module 3: Citizen Service Desk, Grievance &amp; RTI</t>
  </si>
  <si>
    <t xml:space="preserve">3 Citizen Desk &amp; RTI</t>
  </si>
  <si>
    <t xml:space="preserve">30 processes, 30 requirements (GRV)</t>
  </si>
  <si>
    <t xml:space="preserve">4.3.1</t>
  </si>
  <si>
    <t xml:space="preserve">4.3.2</t>
  </si>
  <si>
    <t xml:space="preserve">140</t>
  </si>
  <si>
    <t xml:space="preserve">4.3.3</t>
  </si>
  <si>
    <t xml:space="preserve">4.3.4</t>
  </si>
  <si>
    <t xml:space="preserve">141</t>
  </si>
  <si>
    <t xml:space="preserve">4.3.5</t>
  </si>
  <si>
    <t xml:space="preserve">4.3.6</t>
  </si>
  <si>
    <t xml:space="preserve">142</t>
  </si>
  <si>
    <t xml:space="preserve">4.3.7</t>
  </si>
  <si>
    <t xml:space="preserve">4.3.8</t>
  </si>
  <si>
    <t xml:space="preserve">4.3.9</t>
  </si>
  <si>
    <t xml:space="preserve">Module interfaces (5 I-xx links): events and APIs</t>
  </si>
  <si>
    <t xml:space="preserve">143</t>
  </si>
  <si>
    <t xml:space="preserve">4.3.10</t>
  </si>
  <si>
    <t xml:space="preserve">External system adapters (6)</t>
  </si>
  <si>
    <t xml:space="preserve">4.3.11</t>
  </si>
  <si>
    <t xml:space="preserve">4.3.12</t>
  </si>
  <si>
    <t xml:space="preserve">143,145</t>
  </si>
  <si>
    <t xml:space="preserve">4.3.13</t>
  </si>
  <si>
    <t xml:space="preserve">151</t>
  </si>
  <si>
    <t xml:space="preserve">4.3.14</t>
  </si>
  <si>
    <t xml:space="preserve">4.3.15</t>
  </si>
  <si>
    <t xml:space="preserve">153</t>
  </si>
  <si>
    <t xml:space="preserve">4.4</t>
  </si>
  <si>
    <t xml:space="preserve">Module 4: Finance &amp; Accounting</t>
  </si>
  <si>
    <t xml:space="preserve">4 Finance &amp; Accounting</t>
  </si>
  <si>
    <t xml:space="preserve">30 processes, 30 requirements (FIN)</t>
  </si>
  <si>
    <t xml:space="preserve">4.4.1</t>
  </si>
  <si>
    <t xml:space="preserve">4.4.2</t>
  </si>
  <si>
    <t xml:space="preserve">156</t>
  </si>
  <si>
    <t xml:space="preserve">4.4.3</t>
  </si>
  <si>
    <t xml:space="preserve">4.4.4</t>
  </si>
  <si>
    <t xml:space="preserve">157</t>
  </si>
  <si>
    <t xml:space="preserve">4.4.5</t>
  </si>
  <si>
    <t xml:space="preserve">4.4.6</t>
  </si>
  <si>
    <t xml:space="preserve">158</t>
  </si>
  <si>
    <t xml:space="preserve">4.4.7</t>
  </si>
  <si>
    <t xml:space="preserve">Module interfaces (10 I-xx links): events and APIs</t>
  </si>
  <si>
    <t xml:space="preserve">159</t>
  </si>
  <si>
    <t xml:space="preserve">4.4.8</t>
  </si>
  <si>
    <t xml:space="preserve">External system adapters (5)</t>
  </si>
  <si>
    <t xml:space="preserve">4.4.9</t>
  </si>
  <si>
    <t xml:space="preserve">4.4.10</t>
  </si>
  <si>
    <t xml:space="preserve">Data migration: opening balances, budgets, vendors</t>
  </si>
  <si>
    <t xml:space="preserve">4.4.11</t>
  </si>
  <si>
    <t xml:space="preserve">159,161</t>
  </si>
  <si>
    <t xml:space="preserve">4.4.12</t>
  </si>
  <si>
    <t xml:space="preserve">166</t>
  </si>
  <si>
    <t xml:space="preserve">4.4.13</t>
  </si>
  <si>
    <t xml:space="preserve">4.4.14</t>
  </si>
  <si>
    <t xml:space="preserve">168</t>
  </si>
  <si>
    <t xml:space="preserve">4.5</t>
  </si>
  <si>
    <t xml:space="preserve">Module 9: Document Management System</t>
  </si>
  <si>
    <t xml:space="preserve">9 Document Management</t>
  </si>
  <si>
    <t xml:space="preserve">30 processes, 31 requirements (DMS)</t>
  </si>
  <si>
    <t xml:space="preserve">4.5.1</t>
  </si>
  <si>
    <t xml:space="preserve">4.5.2</t>
  </si>
  <si>
    <t xml:space="preserve">171</t>
  </si>
  <si>
    <t xml:space="preserve">4.5.3</t>
  </si>
  <si>
    <t xml:space="preserve">4.5.4</t>
  </si>
  <si>
    <t xml:space="preserve">172</t>
  </si>
  <si>
    <t xml:space="preserve">4.5.5</t>
  </si>
  <si>
    <t xml:space="preserve">4.5.6</t>
  </si>
  <si>
    <t xml:space="preserve">173</t>
  </si>
  <si>
    <t xml:space="preserve">4.5.7</t>
  </si>
  <si>
    <t xml:space="preserve">4.5.8</t>
  </si>
  <si>
    <t xml:space="preserve">Module interfaces (3 I-xx links): events and APIs</t>
  </si>
  <si>
    <t xml:space="preserve">174</t>
  </si>
  <si>
    <t xml:space="preserve">4.5.9</t>
  </si>
  <si>
    <t xml:space="preserve">4.5.10</t>
  </si>
  <si>
    <t xml:space="preserve">4.5.11</t>
  </si>
  <si>
    <t xml:space="preserve">Data migration: legacy files for scanning and indexing</t>
  </si>
  <si>
    <t xml:space="preserve">4.5.12</t>
  </si>
  <si>
    <t xml:space="preserve">174,176</t>
  </si>
  <si>
    <t xml:space="preserve">4.5.13</t>
  </si>
  <si>
    <t xml:space="preserve">182</t>
  </si>
  <si>
    <t xml:space="preserve">4.5.14</t>
  </si>
  <si>
    <t xml:space="preserve">4.5.15</t>
  </si>
  <si>
    <t xml:space="preserve">184</t>
  </si>
  <si>
    <t xml:space="preserve">4.6</t>
  </si>
  <si>
    <t xml:space="preserve">Phase 1 release, testing and go-live</t>
  </si>
  <si>
    <t xml:space="preserve">Release</t>
  </si>
  <si>
    <t xml:space="preserve">4.6.1</t>
  </si>
  <si>
    <t xml:space="preserve">End-to-end integration testing (SRS E2E scenarios)</t>
  </si>
  <si>
    <t xml:space="preserve">117,135,151,166,182</t>
  </si>
  <si>
    <t xml:space="preserve">E2E report</t>
  </si>
  <si>
    <t xml:space="preserve">4.6.2</t>
  </si>
  <si>
    <t xml:space="preserve">Performance and load testing (NFR-001/002)</t>
  </si>
  <si>
    <t xml:space="preserve">Performance report</t>
  </si>
  <si>
    <t xml:space="preserve">4.6.3</t>
  </si>
  <si>
    <t xml:space="preserve">Security audit by CERT-In empanelled auditor and fixes</t>
  </si>
  <si>
    <t xml:space="preserve">Audit certificate</t>
  </si>
  <si>
    <t xml:space="preserve">4.6.4</t>
  </si>
  <si>
    <t xml:space="preserve">Training of trainers and end-user training programme</t>
  </si>
  <si>
    <t xml:space="preserve">Training attendance and feedback</t>
  </si>
  <si>
    <t xml:space="preserve">4.6.5</t>
  </si>
  <si>
    <t xml:space="preserve">Migration dress rehearsal and cut-over plan</t>
  </si>
  <si>
    <t xml:space="preserve">Cut-over runbook</t>
  </si>
  <si>
    <t xml:space="preserve">4.6.6</t>
  </si>
  <si>
    <t xml:space="preserve">Production deployment and cut-over</t>
  </si>
  <si>
    <t xml:space="preserve">189,191,119,137,153,168,184</t>
  </si>
  <si>
    <t xml:space="preserve">Go-live</t>
  </si>
  <si>
    <t xml:space="preserve">4.7</t>
  </si>
  <si>
    <t xml:space="preserve">M1: Phase 1 go-live</t>
  </si>
  <si>
    <t xml:space="preserve">192</t>
  </si>
  <si>
    <t xml:space="preserve">4.7.1</t>
  </si>
  <si>
    <t xml:space="preserve">Hypercare and stabilisation (4 weeks)</t>
  </si>
  <si>
    <t xml:space="preserve">193</t>
  </si>
  <si>
    <t xml:space="preserve">Hypercare closure report</t>
  </si>
  <si>
    <t xml:space="preserve">4.8</t>
  </si>
  <si>
    <t xml:space="preserve">Phase 1 acceptance and sign-off</t>
  </si>
  <si>
    <t xml:space="preserve">194</t>
  </si>
  <si>
    <t xml:space="preserve">4.9</t>
  </si>
  <si>
    <t xml:space="preserve">Phase 1 build mid-point (next phase design may start)</t>
  </si>
  <si>
    <t xml:space="preserve">5</t>
  </si>
  <si>
    <t xml:space="preserve">Phase 2: Regulation and licensing</t>
  </si>
  <si>
    <t xml:space="preserve">Phase 2</t>
  </si>
  <si>
    <t xml:space="preserve">5.1</t>
  </si>
  <si>
    <t xml:space="preserve">Platform increments for Phase 2</t>
  </si>
  <si>
    <t xml:space="preserve">5.1.1</t>
  </si>
  <si>
    <t xml:space="preserve">GIS elevation and 3D service (DTM, DSM, 3D Tiles)</t>
  </si>
  <si>
    <t xml:space="preserve">Platform release</t>
  </si>
  <si>
    <t xml:space="preserve">5.1.2</t>
  </si>
  <si>
    <t xml:space="preserve">Hand over ward and planning layers to Town Planning (I-20)</t>
  </si>
  <si>
    <t xml:space="preserve">5.2</t>
  </si>
  <si>
    <t xml:space="preserve">Module 5: Trade Licence Management</t>
  </si>
  <si>
    <t xml:space="preserve">5 Trade Licence</t>
  </si>
  <si>
    <t xml:space="preserve">26 processes, 26 requirements (TRL)</t>
  </si>
  <si>
    <t xml:space="preserve">5.2.1</t>
  </si>
  <si>
    <t xml:space="preserve">196</t>
  </si>
  <si>
    <t xml:space="preserve">5.2.2</t>
  </si>
  <si>
    <t xml:space="preserve">202</t>
  </si>
  <si>
    <t xml:space="preserve">5.2.3</t>
  </si>
  <si>
    <t xml:space="preserve">5.2.4</t>
  </si>
  <si>
    <t xml:space="preserve">203</t>
  </si>
  <si>
    <t xml:space="preserve">5.2.5</t>
  </si>
  <si>
    <t xml:space="preserve">5.2.6</t>
  </si>
  <si>
    <t xml:space="preserve">204</t>
  </si>
  <si>
    <t xml:space="preserve">5.2.7</t>
  </si>
  <si>
    <t xml:space="preserve">5.2.8</t>
  </si>
  <si>
    <t xml:space="preserve">5.2.9</t>
  </si>
  <si>
    <t xml:space="preserve">5.2.10</t>
  </si>
  <si>
    <t xml:space="preserve">205</t>
  </si>
  <si>
    <t xml:space="preserve">5.2.11</t>
  </si>
  <si>
    <t xml:space="preserve">External system adapters (3)</t>
  </si>
  <si>
    <t xml:space="preserve">5.2.12</t>
  </si>
  <si>
    <t xml:space="preserve">5.2.13</t>
  </si>
  <si>
    <t xml:space="preserve">Data migration: existing licences</t>
  </si>
  <si>
    <t xml:space="preserve">5.2.14</t>
  </si>
  <si>
    <t xml:space="preserve">205,207</t>
  </si>
  <si>
    <t xml:space="preserve">5.2.15</t>
  </si>
  <si>
    <t xml:space="preserve">215</t>
  </si>
  <si>
    <t xml:space="preserve">5.2.16</t>
  </si>
  <si>
    <t xml:space="preserve">5.2.17</t>
  </si>
  <si>
    <t xml:space="preserve">217</t>
  </si>
  <si>
    <t xml:space="preserve">5.3</t>
  </si>
  <si>
    <t xml:space="preserve">Module 6: User Charges Management</t>
  </si>
  <si>
    <t xml:space="preserve">6 User Charges</t>
  </si>
  <si>
    <t xml:space="preserve">23 processes, 22 requirements (UCH)</t>
  </si>
  <si>
    <t xml:space="preserve">5.3.1</t>
  </si>
  <si>
    <t xml:space="preserve">5.3.2</t>
  </si>
  <si>
    <t xml:space="preserve">220</t>
  </si>
  <si>
    <t xml:space="preserve">5.3.3</t>
  </si>
  <si>
    <t xml:space="preserve">5.3.4</t>
  </si>
  <si>
    <t xml:space="preserve">221</t>
  </si>
  <si>
    <t xml:space="preserve">5.3.5</t>
  </si>
  <si>
    <t xml:space="preserve">5.3.6</t>
  </si>
  <si>
    <t xml:space="preserve">222</t>
  </si>
  <si>
    <t xml:space="preserve">5.3.7</t>
  </si>
  <si>
    <t xml:space="preserve">5.3.8</t>
  </si>
  <si>
    <t xml:space="preserve">5.3.9</t>
  </si>
  <si>
    <t xml:space="preserve">5.3.10</t>
  </si>
  <si>
    <t xml:space="preserve">Module interfaces (12 I-xx links): events and APIs</t>
  </si>
  <si>
    <t xml:space="preserve">223</t>
  </si>
  <si>
    <t xml:space="preserve">5.3.11</t>
  </si>
  <si>
    <t xml:space="preserve">5.3.12</t>
  </si>
  <si>
    <t xml:space="preserve">5.3.13</t>
  </si>
  <si>
    <t xml:space="preserve">Data migration: existing user-charge accounts</t>
  </si>
  <si>
    <t xml:space="preserve">5.3.14</t>
  </si>
  <si>
    <t xml:space="preserve">223,225</t>
  </si>
  <si>
    <t xml:space="preserve">5.3.15</t>
  </si>
  <si>
    <t xml:space="preserve">233</t>
  </si>
  <si>
    <t xml:space="preserve">5.3.16</t>
  </si>
  <si>
    <t xml:space="preserve">5.3.17</t>
  </si>
  <si>
    <t xml:space="preserve">235</t>
  </si>
  <si>
    <t xml:space="preserve">5.4</t>
  </si>
  <si>
    <t xml:space="preserve">Module 11: Building Permission Management / Integration</t>
  </si>
  <si>
    <t xml:space="preserve">11 Building Permission</t>
  </si>
  <si>
    <t xml:space="preserve">22 processes, 25 requirements (BPM)</t>
  </si>
  <si>
    <t xml:space="preserve">5.4.1</t>
  </si>
  <si>
    <t xml:space="preserve">5.4.2</t>
  </si>
  <si>
    <t xml:space="preserve">238</t>
  </si>
  <si>
    <t xml:space="preserve">5.4.3</t>
  </si>
  <si>
    <t xml:space="preserve">5.4.4</t>
  </si>
  <si>
    <t xml:space="preserve">239</t>
  </si>
  <si>
    <t xml:space="preserve">5.4.5</t>
  </si>
  <si>
    <t xml:space="preserve">5.4.6</t>
  </si>
  <si>
    <t xml:space="preserve">240</t>
  </si>
  <si>
    <t xml:space="preserve">5.4.7</t>
  </si>
  <si>
    <t xml:space="preserve">5.4.8</t>
  </si>
  <si>
    <t xml:space="preserve">5.4.9</t>
  </si>
  <si>
    <t xml:space="preserve">5.4.10</t>
  </si>
  <si>
    <t xml:space="preserve">Module interfaces (14 I-xx links): events and APIs</t>
  </si>
  <si>
    <t xml:space="preserve">241</t>
  </si>
  <si>
    <t xml:space="preserve">5.4.11</t>
  </si>
  <si>
    <t xml:space="preserve">External system adapters (10)</t>
  </si>
  <si>
    <t xml:space="preserve">5.4.12</t>
  </si>
  <si>
    <t xml:space="preserve">5.4.13</t>
  </si>
  <si>
    <t xml:space="preserve">Data migration: permits in TG-bPASS</t>
  </si>
  <si>
    <t xml:space="preserve">5.4.14</t>
  </si>
  <si>
    <t xml:space="preserve">241,243</t>
  </si>
  <si>
    <t xml:space="preserve">5.4.15</t>
  </si>
  <si>
    <t xml:space="preserve">251</t>
  </si>
  <si>
    <t xml:space="preserve">5.4.16</t>
  </si>
  <si>
    <t xml:space="preserve">5.4.17</t>
  </si>
  <si>
    <t xml:space="preserve">253</t>
  </si>
  <si>
    <t xml:space="preserve">5.5</t>
  </si>
  <si>
    <t xml:space="preserve">Module 13: Town Planning</t>
  </si>
  <si>
    <t xml:space="preserve">13 Town Planning</t>
  </si>
  <si>
    <t xml:space="preserve">23 processes, 24 requirements (TPL)</t>
  </si>
  <si>
    <t xml:space="preserve">5.5.1</t>
  </si>
  <si>
    <t xml:space="preserve">5.5.2</t>
  </si>
  <si>
    <t xml:space="preserve">256</t>
  </si>
  <si>
    <t xml:space="preserve">5.5.3</t>
  </si>
  <si>
    <t xml:space="preserve">5.5.4</t>
  </si>
  <si>
    <t xml:space="preserve">257</t>
  </si>
  <si>
    <t xml:space="preserve">5.5.5</t>
  </si>
  <si>
    <t xml:space="preserve">5.5.6</t>
  </si>
  <si>
    <t xml:space="preserve">258</t>
  </si>
  <si>
    <t xml:space="preserve">5.5.7</t>
  </si>
  <si>
    <t xml:space="preserve">5.5.8</t>
  </si>
  <si>
    <t xml:space="preserve">5.5.9</t>
  </si>
  <si>
    <t xml:space="preserve">5.5.10</t>
  </si>
  <si>
    <t xml:space="preserve">Module interfaces (11 I-xx links): events and APIs</t>
  </si>
  <si>
    <t xml:space="preserve">259</t>
  </si>
  <si>
    <t xml:space="preserve">5.5.11</t>
  </si>
  <si>
    <t xml:space="preserve">5.5.12</t>
  </si>
  <si>
    <t xml:space="preserve">5.5.13</t>
  </si>
  <si>
    <t xml:space="preserve">Data migration: layouts and LRS records</t>
  </si>
  <si>
    <t xml:space="preserve">5.5.14</t>
  </si>
  <si>
    <t xml:space="preserve">259,261</t>
  </si>
  <si>
    <t xml:space="preserve">5.5.15</t>
  </si>
  <si>
    <t xml:space="preserve">269</t>
  </si>
  <si>
    <t xml:space="preserve">5.5.16</t>
  </si>
  <si>
    <t xml:space="preserve">5.5.17</t>
  </si>
  <si>
    <t xml:space="preserve">271</t>
  </si>
  <si>
    <t xml:space="preserve">5.6</t>
  </si>
  <si>
    <t xml:space="preserve">Module 18: Fire NOC Management</t>
  </si>
  <si>
    <t xml:space="preserve">18 Fire NOC</t>
  </si>
  <si>
    <t xml:space="preserve">17 processes, 18 requirements (FNC)</t>
  </si>
  <si>
    <t xml:space="preserve">5.6.1</t>
  </si>
  <si>
    <t xml:space="preserve">5.6.2</t>
  </si>
  <si>
    <t xml:space="preserve">274</t>
  </si>
  <si>
    <t xml:space="preserve">5.6.3</t>
  </si>
  <si>
    <t xml:space="preserve">5.6.4</t>
  </si>
  <si>
    <t xml:space="preserve">275</t>
  </si>
  <si>
    <t xml:space="preserve">5.6.5</t>
  </si>
  <si>
    <t xml:space="preserve">5.6.6</t>
  </si>
  <si>
    <t xml:space="preserve">276</t>
  </si>
  <si>
    <t xml:space="preserve">5.6.7</t>
  </si>
  <si>
    <t xml:space="preserve">5.6.8</t>
  </si>
  <si>
    <t xml:space="preserve">5.6.9</t>
  </si>
  <si>
    <t xml:space="preserve">5.6.10</t>
  </si>
  <si>
    <t xml:space="preserve">277</t>
  </si>
  <si>
    <t xml:space="preserve">5.6.11</t>
  </si>
  <si>
    <t xml:space="preserve">5.6.12</t>
  </si>
  <si>
    <t xml:space="preserve">5.6.13</t>
  </si>
  <si>
    <t xml:space="preserve">277,279</t>
  </si>
  <si>
    <t xml:space="preserve">5.6.14</t>
  </si>
  <si>
    <t xml:space="preserve">286</t>
  </si>
  <si>
    <t xml:space="preserve">5.6.15</t>
  </si>
  <si>
    <t xml:space="preserve">5.6.16</t>
  </si>
  <si>
    <t xml:space="preserve">288</t>
  </si>
  <si>
    <t xml:space="preserve">5.7</t>
  </si>
  <si>
    <t xml:space="preserve">Phase 2 release, testing and go-live</t>
  </si>
  <si>
    <t xml:space="preserve">5.7.1</t>
  </si>
  <si>
    <t xml:space="preserve">215,233,251,269,286</t>
  </si>
  <si>
    <t xml:space="preserve">5.7.2</t>
  </si>
  <si>
    <t xml:space="preserve">5.7.3</t>
  </si>
  <si>
    <t xml:space="preserve">5.7.4</t>
  </si>
  <si>
    <t xml:space="preserve">5.7.5</t>
  </si>
  <si>
    <t xml:space="preserve">5.7.6</t>
  </si>
  <si>
    <t xml:space="preserve">293,295,217,235,253,271,288</t>
  </si>
  <si>
    <t xml:space="preserve">5.8</t>
  </si>
  <si>
    <t xml:space="preserve">M2: Phase 2 go-live</t>
  </si>
  <si>
    <t xml:space="preserve">296</t>
  </si>
  <si>
    <t xml:space="preserve">5.8.1</t>
  </si>
  <si>
    <t xml:space="preserve">297</t>
  </si>
  <si>
    <t xml:space="preserve">5.9</t>
  </si>
  <si>
    <t xml:space="preserve">Phase 2 acceptance and sign-off</t>
  </si>
  <si>
    <t xml:space="preserve">298</t>
  </si>
  <si>
    <t xml:space="preserve">5.10</t>
  </si>
  <si>
    <t xml:space="preserve">Phase 2 build mid-point (next phase design may start)</t>
  </si>
  <si>
    <t xml:space="preserve">6</t>
  </si>
  <si>
    <t xml:space="preserve">Phase 3: Field operations</t>
  </si>
  <si>
    <t xml:space="preserve">Phase 3</t>
  </si>
  <si>
    <t xml:space="preserve">6.1</t>
  </si>
  <si>
    <t xml:space="preserve">Platform increments for Phase 3</t>
  </si>
  <si>
    <t xml:space="preserve">6.1.1</t>
  </si>
  <si>
    <t xml:space="preserve">Field app scale-up and offline sync load test</t>
  </si>
  <si>
    <t xml:space="preserve">6.1.2</t>
  </si>
  <si>
    <t xml:space="preserve">AVLS, CCMS and IoT ingestion pipeline</t>
  </si>
  <si>
    <t xml:space="preserve">6.1.3</t>
  </si>
  <si>
    <t xml:space="preserve">Road register moves to Engineering (I-32)</t>
  </si>
  <si>
    <t xml:space="preserve">6.2</t>
  </si>
  <si>
    <t xml:space="preserve">Module 7: Solid Waste Management</t>
  </si>
  <si>
    <t xml:space="preserve">7 Solid Waste</t>
  </si>
  <si>
    <t xml:space="preserve">17 processes, 19 requirements (SWM)</t>
  </si>
  <si>
    <t xml:space="preserve">6.2.1</t>
  </si>
  <si>
    <t xml:space="preserve">300</t>
  </si>
  <si>
    <t xml:space="preserve">6.2.2</t>
  </si>
  <si>
    <t xml:space="preserve">307</t>
  </si>
  <si>
    <t xml:space="preserve">6.2.3</t>
  </si>
  <si>
    <t xml:space="preserve">6.2.4</t>
  </si>
  <si>
    <t xml:space="preserve">308</t>
  </si>
  <si>
    <t xml:space="preserve">6.2.5</t>
  </si>
  <si>
    <t xml:space="preserve">6.2.6</t>
  </si>
  <si>
    <t xml:space="preserve">309</t>
  </si>
  <si>
    <t xml:space="preserve">6.2.7</t>
  </si>
  <si>
    <t xml:space="preserve">6.2.8</t>
  </si>
  <si>
    <t xml:space="preserve">6.2.9</t>
  </si>
  <si>
    <t xml:space="preserve">Module interfaces (13 I-xx links): events and APIs</t>
  </si>
  <si>
    <t xml:space="preserve">310</t>
  </si>
  <si>
    <t xml:space="preserve">6.2.10</t>
  </si>
  <si>
    <t xml:space="preserve">6.2.11</t>
  </si>
  <si>
    <t xml:space="preserve">6.2.12</t>
  </si>
  <si>
    <t xml:space="preserve">310,312</t>
  </si>
  <si>
    <t xml:space="preserve">6.2.13</t>
  </si>
  <si>
    <t xml:space="preserve">318</t>
  </si>
  <si>
    <t xml:space="preserve">6.2.14</t>
  </si>
  <si>
    <t xml:space="preserve">6.2.15</t>
  </si>
  <si>
    <t xml:space="preserve">320</t>
  </si>
  <si>
    <t xml:space="preserve">6.3</t>
  </si>
  <si>
    <t xml:space="preserve">Module 10: Engineering Project Management System</t>
  </si>
  <si>
    <t xml:space="preserve">10 Engineering Projects</t>
  </si>
  <si>
    <t xml:space="preserve">20 processes, 21 requirements (ENG)</t>
  </si>
  <si>
    <t xml:space="preserve">6.3.1</t>
  </si>
  <si>
    <t xml:space="preserve">6.3.2</t>
  </si>
  <si>
    <t xml:space="preserve">323</t>
  </si>
  <si>
    <t xml:space="preserve">6.3.3</t>
  </si>
  <si>
    <t xml:space="preserve">6.3.4</t>
  </si>
  <si>
    <t xml:space="preserve">324</t>
  </si>
  <si>
    <t xml:space="preserve">6.3.5</t>
  </si>
  <si>
    <t xml:space="preserve">6.3.6</t>
  </si>
  <si>
    <t xml:space="preserve">325</t>
  </si>
  <si>
    <t xml:space="preserve">6.3.7</t>
  </si>
  <si>
    <t xml:space="preserve">6.3.8</t>
  </si>
  <si>
    <t xml:space="preserve">6.3.9</t>
  </si>
  <si>
    <t xml:space="preserve">Module interfaces (9 I-xx links): events and APIs</t>
  </si>
  <si>
    <t xml:space="preserve">326</t>
  </si>
  <si>
    <t xml:space="preserve">6.3.10</t>
  </si>
  <si>
    <t xml:space="preserve">6.3.11</t>
  </si>
  <si>
    <t xml:space="preserve">6.3.12</t>
  </si>
  <si>
    <t xml:space="preserve">326,328</t>
  </si>
  <si>
    <t xml:space="preserve">6.3.13</t>
  </si>
  <si>
    <t xml:space="preserve">334</t>
  </si>
  <si>
    <t xml:space="preserve">6.3.14</t>
  </si>
  <si>
    <t xml:space="preserve">6.3.15</t>
  </si>
  <si>
    <t xml:space="preserve">336</t>
  </si>
  <si>
    <t xml:space="preserve">6.4</t>
  </si>
  <si>
    <t xml:space="preserve">Module 12: Street Light Management</t>
  </si>
  <si>
    <t xml:space="preserve">12 Street Lights</t>
  </si>
  <si>
    <t xml:space="preserve">12 processes, 13 requirements (SLM)</t>
  </si>
  <si>
    <t xml:space="preserve">6.4.1</t>
  </si>
  <si>
    <t xml:space="preserve">6.4.2</t>
  </si>
  <si>
    <t xml:space="preserve">339</t>
  </si>
  <si>
    <t xml:space="preserve">6.4.3</t>
  </si>
  <si>
    <t xml:space="preserve">6.4.4</t>
  </si>
  <si>
    <t xml:space="preserve">340</t>
  </si>
  <si>
    <t xml:space="preserve">6.4.5</t>
  </si>
  <si>
    <t xml:space="preserve">6.4.6</t>
  </si>
  <si>
    <t xml:space="preserve">341</t>
  </si>
  <si>
    <t xml:space="preserve">6.4.7</t>
  </si>
  <si>
    <t xml:space="preserve">6.4.8</t>
  </si>
  <si>
    <t xml:space="preserve">6.4.9</t>
  </si>
  <si>
    <t xml:space="preserve">Module interfaces (8 I-xx links): events and APIs</t>
  </si>
  <si>
    <t xml:space="preserve">342</t>
  </si>
  <si>
    <t xml:space="preserve">6.4.10</t>
  </si>
  <si>
    <t xml:space="preserve">6.4.11</t>
  </si>
  <si>
    <t xml:space="preserve">6.4.12</t>
  </si>
  <si>
    <t xml:space="preserve">342,344</t>
  </si>
  <si>
    <t xml:space="preserve">6.4.13</t>
  </si>
  <si>
    <t xml:space="preserve">350</t>
  </si>
  <si>
    <t xml:space="preserve">6.4.14</t>
  </si>
  <si>
    <t xml:space="preserve">6.4.15</t>
  </si>
  <si>
    <t xml:space="preserve">352</t>
  </si>
  <si>
    <t xml:space="preserve">6.5</t>
  </si>
  <si>
    <t xml:space="preserve">Module 14: Parks &amp; Horticulture Management</t>
  </si>
  <si>
    <t xml:space="preserve">14 Parks &amp; Horticulture</t>
  </si>
  <si>
    <t xml:space="preserve">18 processes, 18 requirements (PRK)</t>
  </si>
  <si>
    <t xml:space="preserve">6.5.1</t>
  </si>
  <si>
    <t xml:space="preserve">6.5.2</t>
  </si>
  <si>
    <t xml:space="preserve">355</t>
  </si>
  <si>
    <t xml:space="preserve">6.5.3</t>
  </si>
  <si>
    <t xml:space="preserve">6.5.4</t>
  </si>
  <si>
    <t xml:space="preserve">356</t>
  </si>
  <si>
    <t xml:space="preserve">6.5.5</t>
  </si>
  <si>
    <t xml:space="preserve">6.5.6</t>
  </si>
  <si>
    <t xml:space="preserve">357</t>
  </si>
  <si>
    <t xml:space="preserve">6.5.7</t>
  </si>
  <si>
    <t xml:space="preserve">6.5.8</t>
  </si>
  <si>
    <t xml:space="preserve">6.5.9</t>
  </si>
  <si>
    <t xml:space="preserve">6.5.10</t>
  </si>
  <si>
    <t xml:space="preserve">Module interfaces (6 I-xx links): events and APIs</t>
  </si>
  <si>
    <t xml:space="preserve">358</t>
  </si>
  <si>
    <t xml:space="preserve">6.5.11</t>
  </si>
  <si>
    <t xml:space="preserve">6.5.12</t>
  </si>
  <si>
    <t xml:space="preserve">358,360</t>
  </si>
  <si>
    <t xml:space="preserve">6.5.13</t>
  </si>
  <si>
    <t xml:space="preserve">366</t>
  </si>
  <si>
    <t xml:space="preserve">6.5.14</t>
  </si>
  <si>
    <t xml:space="preserve">6.5.15</t>
  </si>
  <si>
    <t xml:space="preserve">368</t>
  </si>
  <si>
    <t xml:space="preserve">6.6</t>
  </si>
  <si>
    <t xml:space="preserve">Module 17: Inventory &amp; Stores Management</t>
  </si>
  <si>
    <t xml:space="preserve">17 Inventory &amp; Stores</t>
  </si>
  <si>
    <t xml:space="preserve">17 processes, 17 requirements (INV)</t>
  </si>
  <si>
    <t xml:space="preserve">6.6.1</t>
  </si>
  <si>
    <t xml:space="preserve">6.6.2</t>
  </si>
  <si>
    <t xml:space="preserve">371</t>
  </si>
  <si>
    <t xml:space="preserve">6.6.3</t>
  </si>
  <si>
    <t xml:space="preserve">6.6.4</t>
  </si>
  <si>
    <t xml:space="preserve">372</t>
  </si>
  <si>
    <t xml:space="preserve">6.6.5</t>
  </si>
  <si>
    <t xml:space="preserve">6.6.6</t>
  </si>
  <si>
    <t xml:space="preserve">373</t>
  </si>
  <si>
    <t xml:space="preserve">6.6.7</t>
  </si>
  <si>
    <t xml:space="preserve">374</t>
  </si>
  <si>
    <t xml:space="preserve">6.6.8</t>
  </si>
  <si>
    <t xml:space="preserve">External system adapters (1)</t>
  </si>
  <si>
    <t xml:space="preserve">6.6.9</t>
  </si>
  <si>
    <t xml:space="preserve">6.6.10</t>
  </si>
  <si>
    <t xml:space="preserve">374,376</t>
  </si>
  <si>
    <t xml:space="preserve">6.6.11</t>
  </si>
  <si>
    <t xml:space="preserve">380</t>
  </si>
  <si>
    <t xml:space="preserve">6.6.12</t>
  </si>
  <si>
    <t xml:space="preserve">6.6.13</t>
  </si>
  <si>
    <t xml:space="preserve">382</t>
  </si>
  <si>
    <t xml:space="preserve">6.7</t>
  </si>
  <si>
    <t xml:space="preserve">Phase 3 release, testing and go-live</t>
  </si>
  <si>
    <t xml:space="preserve">6.7.1</t>
  </si>
  <si>
    <t xml:space="preserve">318,334,350,366,380</t>
  </si>
  <si>
    <t xml:space="preserve">6.7.2</t>
  </si>
  <si>
    <t xml:space="preserve">6.7.3</t>
  </si>
  <si>
    <t xml:space="preserve">6.7.4</t>
  </si>
  <si>
    <t xml:space="preserve">6.7.5</t>
  </si>
  <si>
    <t xml:space="preserve">6.7.6</t>
  </si>
  <si>
    <t xml:space="preserve">387,389,320,336,352,368,382</t>
  </si>
  <si>
    <t xml:space="preserve">6.8</t>
  </si>
  <si>
    <t xml:space="preserve">M3: Phase 3 go-live</t>
  </si>
  <si>
    <t xml:space="preserve">390</t>
  </si>
  <si>
    <t xml:space="preserve">6.8.1</t>
  </si>
  <si>
    <t xml:space="preserve">391</t>
  </si>
  <si>
    <t xml:space="preserve">6.9</t>
  </si>
  <si>
    <t xml:space="preserve">Phase 3 acceptance and sign-off</t>
  </si>
  <si>
    <t xml:space="preserve">392</t>
  </si>
  <si>
    <t xml:space="preserve">6.10</t>
  </si>
  <si>
    <t xml:space="preserve">Phase 3 build mid-point (next phase design may start)</t>
  </si>
  <si>
    <t xml:space="preserve">7</t>
  </si>
  <si>
    <t xml:space="preserve">Phase 4: Administration and welfare</t>
  </si>
  <si>
    <t xml:space="preserve">Phase 4</t>
  </si>
  <si>
    <t xml:space="preserve">7.1</t>
  </si>
  <si>
    <t xml:space="preserve">Platform increments for Phase 4</t>
  </si>
  <si>
    <t xml:space="preserve">7.1.1</t>
  </si>
  <si>
    <t xml:space="preserve">Org hierarchy and approvers move to HR (workflow switch-over)</t>
  </si>
  <si>
    <t xml:space="preserve">7.1.2</t>
  </si>
  <si>
    <t xml:space="preserve">Legal and asset interim records migrated (I-30, I-42)</t>
  </si>
  <si>
    <t xml:space="preserve">7.1.3</t>
  </si>
  <si>
    <t xml:space="preserve">Full cross-module MIS and state dashboards</t>
  </si>
  <si>
    <t xml:space="preserve">7.2</t>
  </si>
  <si>
    <t xml:space="preserve">Module 8: Payroll &amp; HR Management</t>
  </si>
  <si>
    <t xml:space="preserve">8 Payroll &amp; HR</t>
  </si>
  <si>
    <t xml:space="preserve">19 processes, 19 requirements (HRM)</t>
  </si>
  <si>
    <t xml:space="preserve">7.2.1</t>
  </si>
  <si>
    <t xml:space="preserve">394</t>
  </si>
  <si>
    <t xml:space="preserve">7.2.2</t>
  </si>
  <si>
    <t xml:space="preserve">401</t>
  </si>
  <si>
    <t xml:space="preserve">7.2.3</t>
  </si>
  <si>
    <t xml:space="preserve">7.2.4</t>
  </si>
  <si>
    <t xml:space="preserve">402</t>
  </si>
  <si>
    <t xml:space="preserve">7.2.5</t>
  </si>
  <si>
    <t xml:space="preserve">7.2.6</t>
  </si>
  <si>
    <t xml:space="preserve">403</t>
  </si>
  <si>
    <t xml:space="preserve">7.2.7</t>
  </si>
  <si>
    <t xml:space="preserve">7.2.8</t>
  </si>
  <si>
    <t xml:space="preserve">Module interfaces (4 I-xx links): events and APIs</t>
  </si>
  <si>
    <t xml:space="preserve">404</t>
  </si>
  <si>
    <t xml:space="preserve">7.2.9</t>
  </si>
  <si>
    <t xml:space="preserve">7.2.10</t>
  </si>
  <si>
    <t xml:space="preserve">7.2.11</t>
  </si>
  <si>
    <t xml:space="preserve">Data migration: employee master and service books</t>
  </si>
  <si>
    <t xml:space="preserve">7.2.12</t>
  </si>
  <si>
    <t xml:space="preserve">404,406</t>
  </si>
  <si>
    <t xml:space="preserve">7.2.13</t>
  </si>
  <si>
    <t xml:space="preserve">412</t>
  </si>
  <si>
    <t xml:space="preserve">7.2.14</t>
  </si>
  <si>
    <t xml:space="preserve">7.2.15</t>
  </si>
  <si>
    <t xml:space="preserve">414</t>
  </si>
  <si>
    <t xml:space="preserve">7.3</t>
  </si>
  <si>
    <t xml:space="preserve">Module 15: Municipal Property Management</t>
  </si>
  <si>
    <t xml:space="preserve">15 Municipal Property</t>
  </si>
  <si>
    <t xml:space="preserve">15 processes, 15 requirements (MPM)</t>
  </si>
  <si>
    <t xml:space="preserve">7.3.1</t>
  </si>
  <si>
    <t xml:space="preserve">7.3.2</t>
  </si>
  <si>
    <t xml:space="preserve">417</t>
  </si>
  <si>
    <t xml:space="preserve">7.3.3</t>
  </si>
  <si>
    <t xml:space="preserve">7.3.4</t>
  </si>
  <si>
    <t xml:space="preserve">418</t>
  </si>
  <si>
    <t xml:space="preserve">7.3.5</t>
  </si>
  <si>
    <t xml:space="preserve">7.3.6</t>
  </si>
  <si>
    <t xml:space="preserve">419</t>
  </si>
  <si>
    <t xml:space="preserve">7.3.7</t>
  </si>
  <si>
    <t xml:space="preserve">7.3.8</t>
  </si>
  <si>
    <t xml:space="preserve">7.3.9</t>
  </si>
  <si>
    <t xml:space="preserve">420</t>
  </si>
  <si>
    <t xml:space="preserve">7.3.10</t>
  </si>
  <si>
    <t xml:space="preserve">7.3.11</t>
  </si>
  <si>
    <t xml:space="preserve">Data migration: asset and lease registers</t>
  </si>
  <si>
    <t xml:space="preserve">7.3.12</t>
  </si>
  <si>
    <t xml:space="preserve">420,422</t>
  </si>
  <si>
    <t xml:space="preserve">7.3.13</t>
  </si>
  <si>
    <t xml:space="preserve">428</t>
  </si>
  <si>
    <t xml:space="preserve">7.3.14</t>
  </si>
  <si>
    <t xml:space="preserve">7.3.15</t>
  </si>
  <si>
    <t xml:space="preserve">430</t>
  </si>
  <si>
    <t xml:space="preserve">7.4</t>
  </si>
  <si>
    <t xml:space="preserve">Module 16: Legal Case Management</t>
  </si>
  <si>
    <t xml:space="preserve">16 Legal Cases</t>
  </si>
  <si>
    <t xml:space="preserve">17 processes, 17 requirements (LGL)</t>
  </si>
  <si>
    <t xml:space="preserve">7.4.1</t>
  </si>
  <si>
    <t xml:space="preserve">7.4.2</t>
  </si>
  <si>
    <t xml:space="preserve">433</t>
  </si>
  <si>
    <t xml:space="preserve">7.4.3</t>
  </si>
  <si>
    <t xml:space="preserve">7.4.4</t>
  </si>
  <si>
    <t xml:space="preserve">434</t>
  </si>
  <si>
    <t xml:space="preserve">7.4.5</t>
  </si>
  <si>
    <t xml:space="preserve">7.4.6</t>
  </si>
  <si>
    <t xml:space="preserve">435</t>
  </si>
  <si>
    <t xml:space="preserve">7.4.7</t>
  </si>
  <si>
    <t xml:space="preserve">436</t>
  </si>
  <si>
    <t xml:space="preserve">7.4.8</t>
  </si>
  <si>
    <t xml:space="preserve">7.4.9</t>
  </si>
  <si>
    <t xml:space="preserve">7.4.10</t>
  </si>
  <si>
    <t xml:space="preserve">Data migration: pending court cases</t>
  </si>
  <si>
    <t xml:space="preserve">7.4.11</t>
  </si>
  <si>
    <t xml:space="preserve">436,438</t>
  </si>
  <si>
    <t xml:space="preserve">7.4.12</t>
  </si>
  <si>
    <t xml:space="preserve">443</t>
  </si>
  <si>
    <t xml:space="preserve">7.4.13</t>
  </si>
  <si>
    <t xml:space="preserve">7.4.14</t>
  </si>
  <si>
    <t xml:space="preserve">445</t>
  </si>
  <si>
    <t xml:space="preserve">7.5</t>
  </si>
  <si>
    <t xml:space="preserve">Module 19: Government Schemes Management</t>
  </si>
  <si>
    <t xml:space="preserve">19 Government Schemes</t>
  </si>
  <si>
    <t xml:space="preserve">14 processes, 14 requirements (GSC)</t>
  </si>
  <si>
    <t xml:space="preserve">7.5.1</t>
  </si>
  <si>
    <t xml:space="preserve">7.5.2</t>
  </si>
  <si>
    <t xml:space="preserve">448</t>
  </si>
  <si>
    <t xml:space="preserve">7.5.3</t>
  </si>
  <si>
    <t xml:space="preserve">7.5.4</t>
  </si>
  <si>
    <t xml:space="preserve">449</t>
  </si>
  <si>
    <t xml:space="preserve">7.5.5</t>
  </si>
  <si>
    <t xml:space="preserve">7.5.6</t>
  </si>
  <si>
    <t xml:space="preserve">450</t>
  </si>
  <si>
    <t xml:space="preserve">7.5.7</t>
  </si>
  <si>
    <t xml:space="preserve">7.5.8</t>
  </si>
  <si>
    <t xml:space="preserve">7.5.9</t>
  </si>
  <si>
    <t xml:space="preserve">451</t>
  </si>
  <si>
    <t xml:space="preserve">7.5.10</t>
  </si>
  <si>
    <t xml:space="preserve">7.5.11</t>
  </si>
  <si>
    <t xml:space="preserve">7.5.12</t>
  </si>
  <si>
    <t xml:space="preserve">Data migration: existing beneficiaries</t>
  </si>
  <si>
    <t xml:space="preserve">7.5.13</t>
  </si>
  <si>
    <t xml:space="preserve">451,453</t>
  </si>
  <si>
    <t xml:space="preserve">7.5.14</t>
  </si>
  <si>
    <t xml:space="preserve">460</t>
  </si>
  <si>
    <t xml:space="preserve">7.5.15</t>
  </si>
  <si>
    <t xml:space="preserve">7.5.16</t>
  </si>
  <si>
    <t xml:space="preserve">462</t>
  </si>
  <si>
    <t xml:space="preserve">7.6</t>
  </si>
  <si>
    <t xml:space="preserve">Phase 4 release, testing and go-live</t>
  </si>
  <si>
    <t xml:space="preserve">7.6.1</t>
  </si>
  <si>
    <t xml:space="preserve">412,428,443,460</t>
  </si>
  <si>
    <t xml:space="preserve">7.6.2</t>
  </si>
  <si>
    <t xml:space="preserve">7.6.3</t>
  </si>
  <si>
    <t xml:space="preserve">7.6.4</t>
  </si>
  <si>
    <t xml:space="preserve">7.6.5</t>
  </si>
  <si>
    <t xml:space="preserve">7.6.6</t>
  </si>
  <si>
    <t xml:space="preserve">467,469,414,430,445,462</t>
  </si>
  <si>
    <t xml:space="preserve">7.7</t>
  </si>
  <si>
    <t xml:space="preserve">M4: Phase 4 go-live</t>
  </si>
  <si>
    <t xml:space="preserve">470</t>
  </si>
  <si>
    <t xml:space="preserve">7.7.1</t>
  </si>
  <si>
    <t xml:space="preserve">471</t>
  </si>
  <si>
    <t xml:space="preserve">7.8</t>
  </si>
  <si>
    <t xml:space="preserve">Phase 4 acceptance and sign-off</t>
  </si>
  <si>
    <t xml:space="preserve">472</t>
  </si>
  <si>
    <t xml:space="preserve">7.9</t>
  </si>
  <si>
    <t xml:space="preserve">Phase 4 build mid-point (next phase design may start)</t>
  </si>
  <si>
    <t xml:space="preserve">8</t>
  </si>
  <si>
    <t xml:space="preserve">Programme close</t>
  </si>
  <si>
    <t xml:space="preserve">Close</t>
  </si>
  <si>
    <t xml:space="preserve">8.1</t>
  </si>
  <si>
    <t xml:space="preserve">Programme completion and handover to operations</t>
  </si>
  <si>
    <t xml:space="preserve">473</t>
  </si>
  <si>
    <t xml:space="preserve">Effort by team role (person-days)</t>
  </si>
  <si>
    <t xml:space="preserve">From subtask estimates in the Project Plan. Contingency and day rates come from the Assumptions sheet.</t>
  </si>
  <si>
    <t xml:space="preserve">By phase</t>
  </si>
  <si>
    <t xml:space="preserve">Group</t>
  </si>
  <si>
    <t xml:space="preserve">Total</t>
  </si>
  <si>
    <t xml:space="preserve">With contingency</t>
  </si>
  <si>
    <t xml:space="preserve">Cost (optional)</t>
  </si>
  <si>
    <t xml:space="preserve">By module (Platform, modules, release activities; blank = governance and inception)</t>
  </si>
  <si>
    <t xml:space="preserve">Check: totals by phase and by module must match</t>
  </si>
  <si>
    <t xml:space="preserve">Staff needed per month (full-time equivalents)</t>
  </si>
  <si>
    <t xml:space="preserve">FTE = person-days scheduled in the month / working days in the month. Includes contingency. Use it to plan hiring and team ramp-up.</t>
  </si>
  <si>
    <t xml:space="preserve">Month</t>
  </si>
  <si>
    <t xml:space="preserve">Working days</t>
  </si>
  <si>
    <t xml:space="preserve">PM  Project manager</t>
  </si>
  <si>
    <t xml:space="preserve">BA  Business analyst</t>
  </si>
  <si>
    <t xml:space="preserve">ARC  Solution / technical architect</t>
  </si>
  <si>
    <t xml:space="preserve">BE  Backend developer</t>
  </si>
  <si>
    <t xml:space="preserve">FE  Frontend developer</t>
  </si>
  <si>
    <t xml:space="preserve">MOB  Mobile developer</t>
  </si>
  <si>
    <t xml:space="preserve">GIS  GIS engineer</t>
  </si>
  <si>
    <t xml:space="preserve">DEV  DevOps / infrastructure</t>
  </si>
  <si>
    <t xml:space="preserve">QA  QA / test engineer</t>
  </si>
  <si>
    <t xml:space="preserve">DATA  Data migration engineer</t>
  </si>
  <si>
    <t xml:space="preserve">TRN  Trainer / change manager</t>
  </si>
  <si>
    <t xml:space="preserve">Total FTE</t>
  </si>
  <si>
    <t xml:space="preserve">Peak team size</t>
  </si>
  <si>
    <t xml:space="preserve">Check: scheduled effort vs plan total</t>
  </si>
  <si>
    <t xml:space="preserve">Milestones</t>
  </si>
  <si>
    <t xml:space="preserve">Date</t>
  </si>
  <si>
    <t xml:space="preserve">Title</t>
  </si>
  <si>
    <t xml:space="preserve">Bucket</t>
  </si>
  <si>
    <t xml:space="preserve">Start Date</t>
  </si>
  <si>
    <t xml:space="preserve">Due Date</t>
  </si>
  <si>
    <t xml:space="preserve">Label (team)</t>
  </si>
  <si>
    <t xml:space="preserve">Effort (pd)</t>
  </si>
  <si>
    <t xml:space="preserve">Priority</t>
  </si>
  <si>
    <t xml:space="preserve">Progress</t>
  </si>
  <si>
    <t xml:space="preserve">Notes</t>
  </si>
  <si>
    <t xml:space="preserve">All - Project governance and PMO</t>
  </si>
  <si>
    <t xml:space="preserve">Medium</t>
  </si>
  <si>
    <t xml:space="preserve">All - Change control and quality</t>
  </si>
  <si>
    <t xml:space="preserve">Phase 0 - Mobilisation</t>
  </si>
  <si>
    <t xml:space="preserve">Phase 0 - Requirements and design baseline</t>
  </si>
  <si>
    <t xml:space="preserve">Phase 0 - Phase 0: Inception and mobilisation</t>
  </si>
  <si>
    <t xml:space="preserve">Important</t>
  </si>
  <si>
    <t xml:space="preserve">Phase 1 - Platform</t>
  </si>
  <si>
    <t xml:space="preserve">Phase 1 - 1 Property Tax</t>
  </si>
  <si>
    <t xml:space="preserve">Phase 1 - 2 Water &amp; Sewerage</t>
  </si>
  <si>
    <t xml:space="preserve">Phase 1 - 3 Citizen Desk &amp; RTI</t>
  </si>
  <si>
    <t xml:space="preserve">Phase 1 - 4 Finance &amp; Accounting</t>
  </si>
  <si>
    <t xml:space="preserve">Phase 1 - 9 Document Management</t>
  </si>
  <si>
    <t xml:space="preserve">Phase 1 - Release</t>
  </si>
  <si>
    <t xml:space="preserve">Phase 1 - Phase 1: Foundation and revenue core</t>
  </si>
  <si>
    <t xml:space="preserve">Phase 2 - Platform</t>
  </si>
  <si>
    <t xml:space="preserve">Phase 2 - 5 Trade Licence</t>
  </si>
  <si>
    <t xml:space="preserve">Phase 2 - 6 User Charges</t>
  </si>
  <si>
    <t xml:space="preserve">Phase 2 - 11 Building Permission</t>
  </si>
  <si>
    <t xml:space="preserve">Phase 2 - 13 Town Planning</t>
  </si>
  <si>
    <t xml:space="preserve">Phase 2 - 18 Fire NOC</t>
  </si>
  <si>
    <t xml:space="preserve">Phase 2 - Release</t>
  </si>
  <si>
    <t xml:space="preserve">Phase 2 - Phase 2: Regulation and licensing</t>
  </si>
  <si>
    <t xml:space="preserve">Phase 3 - Platform</t>
  </si>
  <si>
    <t xml:space="preserve">Phase 3 - 7 Solid Waste</t>
  </si>
  <si>
    <t xml:space="preserve">Phase 3 - 10 Engineering Projects</t>
  </si>
  <si>
    <t xml:space="preserve">Phase 3 - 12 Street Lights</t>
  </si>
  <si>
    <t xml:space="preserve">Phase 3 - 14 Parks &amp; Horticulture</t>
  </si>
  <si>
    <t xml:space="preserve">Phase 3 - 17 Inventory &amp; Stores</t>
  </si>
  <si>
    <t xml:space="preserve">Phase 3 - Release</t>
  </si>
  <si>
    <t xml:space="preserve">Phase 3 - Phase 3: Field operations</t>
  </si>
  <si>
    <t xml:space="preserve">Phase 4 - Platform</t>
  </si>
  <si>
    <t xml:space="preserve">Phase 4 - 8 Payroll &amp; HR</t>
  </si>
  <si>
    <t xml:space="preserve">Phase 4 - 15 Municipal Property</t>
  </si>
  <si>
    <t xml:space="preserve">Phase 4 - 16 Legal Cases</t>
  </si>
  <si>
    <t xml:space="preserve">Phase 4 - 19 Government Schemes</t>
  </si>
  <si>
    <t xml:space="preserve">Phase 4 - Release</t>
  </si>
  <si>
    <t xml:space="preserve">Phase 4 - Phase 4: Administration and welfare</t>
  </si>
  <si>
    <t xml:space="preserve">Close - Programme close</t>
  </si>
  <si>
    <t xml:space="preserve">Name</t>
  </si>
  <si>
    <t xml:space="preserve">Outline Level</t>
  </si>
  <si>
    <t xml:space="preserve">Duration</t>
  </si>
  <si>
    <t xml:space="preserve">Predecessors</t>
  </si>
  <si>
    <t xml:space="preserve">Resource Names</t>
  </si>
  <si>
    <t xml:space="preserve">Work</t>
  </si>
  <si>
    <t xml:space="preserve">Risk</t>
  </si>
  <si>
    <t xml:space="preserve">Impact</t>
  </si>
  <si>
    <t xml:space="preserve">Likelihood</t>
  </si>
  <si>
    <t xml:space="preserve">Mitigation</t>
  </si>
  <si>
    <t xml:space="preserve">Linked tasks</t>
  </si>
  <si>
    <t xml:space="preserve">R1</t>
  </si>
  <si>
    <t xml:space="preserve">State Data Centre slot or network approvals delayed</t>
  </si>
  <si>
    <t xml:space="preserve">High</t>
  </si>
  <si>
    <t xml:space="preserve">PM / GWMC IT</t>
  </si>
  <si>
    <t xml:space="preserve">Request in week 1; start on cloud test environment; keep Helm charts identical</t>
  </si>
  <si>
    <t xml:space="preserve">Phase 0 SDC request; production cluster</t>
  </si>
  <si>
    <t xml:space="preserve">R2</t>
  </si>
  <si>
    <t xml:space="preserve">CDMA access and legacy property data quality</t>
  </si>
  <si>
    <t xml:space="preserve">Data lead / GWMC Revenue</t>
  </si>
  <si>
    <t xml:space="preserve">Early data assessment, integrate mode first, reconciliation reports, dress rehearsals</t>
  </si>
  <si>
    <t xml:space="preserve">Module 1 migration; Phase 1 cut-over</t>
  </si>
  <si>
    <t xml:space="preserve">R3</t>
  </si>
  <si>
    <t xml:space="preserve">Department availability for workshops and UAT</t>
  </si>
  <si>
    <t xml:space="preserve">PM / Commissioner office</t>
  </si>
  <si>
    <t xml:space="preserve">Named nodal officers per department; fixed calendar agreed at kick-off</t>
  </si>
  <si>
    <t xml:space="preserve">D1 and T3 subtasks</t>
  </si>
  <si>
    <t xml:space="preserve">R4</t>
  </si>
  <si>
    <t xml:space="preserve">External system sandboxes (TG-bPASS, fire, IGRS, PFMS, DigiLocker) not available on time</t>
  </si>
  <si>
    <t xml:space="preserve">Architect</t>
  </si>
  <si>
    <t xml:space="preserve">Stub adapters behind the same contracts; escalate through GWMC</t>
  </si>
  <si>
    <t xml:space="preserve">B8 adapter subtasks</t>
  </si>
  <si>
    <t xml:space="preserve">R5</t>
  </si>
  <si>
    <t xml:space="preserve">Security audit findings delay go-live</t>
  </si>
  <si>
    <t xml:space="preserve">Architect / QA lead</t>
  </si>
  <si>
    <t xml:space="preserve">Secure SDLC scans every sprint; pre-audit internal VAPT</t>
  </si>
  <si>
    <t xml:space="preserve">Phase VAPT tasks</t>
  </si>
  <si>
    <t xml:space="preserve">R6</t>
  </si>
  <si>
    <t xml:space="preserve">Scope growth from new department requests</t>
  </si>
  <si>
    <t xml:space="preserve">Change control process with impact assessment and steering approval</t>
  </si>
  <si>
    <t xml:space="preserve">Change control</t>
  </si>
  <si>
    <t xml:space="preserve">R7</t>
  </si>
  <si>
    <t xml:space="preserve">Hiring and ramp-up of GIS and mobile skills</t>
  </si>
  <si>
    <t xml:space="preserve">Hake management</t>
  </si>
  <si>
    <t xml:space="preserve">Use Resource Loading to hire 6 to 8 weeks ahead; cross-train</t>
  </si>
  <si>
    <t xml:space="preserve">Resource Loading</t>
  </si>
  <si>
    <t xml:space="preserve">R8</t>
  </si>
  <si>
    <t xml:space="preserve">Language coverage and translation quality for notices</t>
  </si>
  <si>
    <t xml:space="preserve">BA lead</t>
  </si>
  <si>
    <t xml:space="preserve">Bhashini plus human review for statutory notices; Telugu first</t>
  </si>
  <si>
    <t xml:space="preserve">B9 subtasks</t>
  </si>
</sst>
</file>

<file path=xl/styles.xml><?xml version="1.0" encoding="utf-8"?>
<styleSheet xmlns="http://schemas.openxmlformats.org/spreadsheetml/2006/main">
  <numFmts count="16">
    <numFmt numFmtId="164" formatCode="General"/>
    <numFmt numFmtId="165" formatCode="dd\-mmm\-yyyy"/>
    <numFmt numFmtId="166" formatCode="0%"/>
    <numFmt numFmtId="167" formatCode="0"/>
    <numFmt numFmtId="168" formatCode="@"/>
    <numFmt numFmtId="169" formatCode="#,##0;\(#,##0\);\-"/>
    <numFmt numFmtId="170" formatCode="mmm\-yy"/>
    <numFmt numFmtId="171" formatCode="dd\-mmm\-yy"/>
    <numFmt numFmtId="172" formatCode="#,##0;\-#,##0;\-"/>
    <numFmt numFmtId="173" formatCode="&quot;&quot;;&quot;&quot;;&quot;&quot;"/>
    <numFmt numFmtId="174" formatCode="#,##0"/>
    <numFmt numFmtId="175" formatCode="0.0;\-0.0;\-"/>
    <numFmt numFmtId="176" formatCode="0.0"/>
    <numFmt numFmtId="177" formatCode="General"/>
    <numFmt numFmtId="178" formatCode="yyyy\-mm\-dd"/>
    <numFmt numFmtId="179" formatCode="dd\-mm\-yyyy"/>
  </numFmts>
  <fonts count="16">
    <font>
      <sz val="11"/>
      <color theme="1"/>
      <name val="Calibri"/>
      <family val="2"/>
      <charset val="1"/>
    </font>
    <font>
      <sz val="10"/>
      <name val="Arial"/>
      <family val="0"/>
    </font>
    <font>
      <sz val="10"/>
      <name val="Arial"/>
      <family val="0"/>
    </font>
    <font>
      <sz val="10"/>
      <name val="Arial"/>
      <family val="0"/>
    </font>
    <font>
      <b val="true"/>
      <sz val="14"/>
      <color rgb="FF14325C"/>
      <name val="Arial"/>
      <family val="0"/>
      <charset val="1"/>
    </font>
    <font>
      <sz val="10"/>
      <color rgb="FF1F2937"/>
      <name val="Arial"/>
      <family val="0"/>
      <charset val="1"/>
    </font>
    <font>
      <b val="true"/>
      <sz val="10"/>
      <color rgb="FF14325C"/>
      <name val="Arial"/>
      <family val="0"/>
      <charset val="1"/>
    </font>
    <font>
      <b val="true"/>
      <sz val="13"/>
      <color rgb="FF14325C"/>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color rgb="FF5B6675"/>
      <name val="Arial"/>
      <family val="0"/>
      <charset val="1"/>
    </font>
    <font>
      <b val="true"/>
      <sz val="10"/>
      <name val="Arial"/>
      <family val="0"/>
      <charset val="1"/>
    </font>
    <font>
      <sz val="10"/>
      <name val="Arial"/>
      <family val="2"/>
    </font>
    <font>
      <i val="true"/>
      <sz val="9"/>
      <name val="Arial"/>
      <family val="0"/>
      <charset val="1"/>
    </font>
    <font>
      <sz val="10"/>
      <color rgb="FF008000"/>
      <name val="Arial"/>
      <family val="0"/>
      <charset val="1"/>
    </font>
  </fonts>
  <fills count="7">
    <fill>
      <patternFill patternType="none"/>
    </fill>
    <fill>
      <patternFill patternType="gray125"/>
    </fill>
    <fill>
      <patternFill patternType="solid">
        <fgColor rgb="FF14325C"/>
        <bgColor rgb="FF1F2937"/>
      </patternFill>
    </fill>
    <fill>
      <patternFill patternType="solid">
        <fgColor rgb="FFFFFF00"/>
        <bgColor rgb="FFFFFF00"/>
      </patternFill>
    </fill>
    <fill>
      <patternFill patternType="solid">
        <fgColor rgb="FFDCE5F0"/>
        <bgColor rgb="FFDCEFDC"/>
      </patternFill>
    </fill>
    <fill>
      <patternFill patternType="solid">
        <fgColor rgb="FFF3F6FA"/>
        <bgColor rgb="FFFFFFFF"/>
      </patternFill>
    </fill>
    <fill>
      <patternFill patternType="solid">
        <fgColor rgb="FFFFF4CC"/>
        <bgColor rgb="FFF3F6FA"/>
      </patternFill>
    </fill>
  </fills>
  <borders count="2">
    <border diagonalUp="false" diagonalDown="false">
      <left/>
      <right/>
      <top/>
      <bottom/>
      <diagonal/>
    </border>
    <border diagonalUp="false" diagonalDown="false">
      <left style="thin">
        <color rgb="FFC9D2DE"/>
      </left>
      <right style="thin">
        <color rgb="FFC9D2DE"/>
      </right>
      <top style="thin">
        <color rgb="FFC9D2DE"/>
      </top>
      <bottom style="thin">
        <color rgb="FFC9D2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8" fontId="10"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70" fontId="8" fillId="2" borderId="0" xfId="0" applyFont="true" applyBorder="false" applyAlignment="true" applyProtection="false">
      <alignment horizontal="center" vertical="bottom" textRotation="9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71" fontId="12" fillId="4" borderId="1" xfId="0" applyFont="true" applyBorder="true" applyAlignment="false" applyProtection="false">
      <alignment horizontal="general" vertical="bottom" textRotation="0" wrapText="false" indent="0" shrinkToFit="false"/>
      <protection locked="true" hidden="false"/>
    </xf>
    <xf numFmtId="172" fontId="12" fillId="4"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bottom" textRotation="0" wrapText="false" indent="2" shrinkToFit="false"/>
      <protection locked="true" hidden="false"/>
    </xf>
    <xf numFmtId="171" fontId="12" fillId="5" borderId="1" xfId="0" applyFont="true" applyBorder="true" applyAlignment="false" applyProtection="false">
      <alignment horizontal="general" vertical="bottom" textRotation="0" wrapText="false" indent="0" shrinkToFit="false"/>
      <protection locked="true" hidden="false"/>
    </xf>
    <xf numFmtId="172" fontId="12" fillId="5" borderId="1" xfId="0" applyFont="true" applyBorder="true" applyAlignment="false" applyProtection="false">
      <alignment horizontal="general" vertical="bottom" textRotation="0" wrapText="false" indent="0" shrinkToFit="false"/>
      <protection locked="true" hidden="false"/>
    </xf>
    <xf numFmtId="166" fontId="12"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4"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general" vertical="bottom" textRotation="0" wrapText="false" indent="2"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71" fontId="12" fillId="6" borderId="1" xfId="0" applyFont="true" applyBorder="true" applyAlignment="false" applyProtection="false">
      <alignment horizontal="general" vertical="bottom" textRotation="0" wrapText="false" indent="0" shrinkToFit="false"/>
      <protection locked="true" hidden="false"/>
    </xf>
    <xf numFmtId="172" fontId="12" fillId="6" borderId="1" xfId="0" applyFont="true" applyBorder="true" applyAlignment="false" applyProtection="false">
      <alignment horizontal="general" vertical="bottom" textRotation="0" wrapText="false" indent="0" shrinkToFit="false"/>
      <protection locked="true" hidden="false"/>
    </xf>
    <xf numFmtId="166" fontId="12" fillId="6"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12" fillId="4"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0" fontId="8" fillId="2" borderId="0" xfId="0" applyFont="true" applyBorder="false" applyAlignment="false" applyProtection="false">
      <alignment horizontal="general" vertical="bottom" textRotation="0" wrapText="fals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76" fontId="12" fillId="4" borderId="1" xfId="0" applyFont="tru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7"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78"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79"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4325C"/>
          <bgColor rgb="FF000000"/>
        </patternFill>
      </fill>
    </dxf>
    <dxf>
      <fill>
        <patternFill patternType="solid">
          <fgColor rgb="FFDCE5F0"/>
          <bgColor rgb="FF000000"/>
        </patternFill>
      </fill>
    </dxf>
    <dxf>
      <fill>
        <patternFill patternType="solid">
          <fgColor rgb="FFF3F6FA"/>
          <bgColor rgb="FF000000"/>
        </patternFill>
      </fill>
    </dxf>
    <dxf>
      <fill>
        <patternFill patternType="solid">
          <fgColor rgb="FFFFF4CC"/>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bgColor rgb="FF2E7D32"/>
        </patternFill>
      </fill>
    </dxf>
    <dxf>
      <fill>
        <patternFill>
          <bgColor rgb="FF9CCC9C"/>
        </patternFill>
      </fill>
    </dxf>
    <dxf>
      <fill>
        <patternFill>
          <bgColor rgb="FFF2A900"/>
        </patternFill>
      </fill>
    </dxf>
    <dxf>
      <fill>
        <patternFill>
          <bgColor rgb="FFDCEFDC"/>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CCC9C"/>
      <rgbColor rgb="FF808080"/>
      <rgbColor rgb="FF9999FF"/>
      <rgbColor rgb="FF993366"/>
      <rgbColor rgb="FFFFF4CC"/>
      <rgbColor rgb="FFDCE5F0"/>
      <rgbColor rgb="FF660066"/>
      <rgbColor rgb="FFFF8080"/>
      <rgbColor rgb="FF0066CC"/>
      <rgbColor rgb="FFC9D2DE"/>
      <rgbColor rgb="FF000080"/>
      <rgbColor rgb="FFFF00FF"/>
      <rgbColor rgb="FFFFFF00"/>
      <rgbColor rgb="FF00FFFF"/>
      <rgbColor rgb="FF800080"/>
      <rgbColor rgb="FF800000"/>
      <rgbColor rgb="FF008080"/>
      <rgbColor rgb="FF0000FF"/>
      <rgbColor rgb="FF00CCFF"/>
      <rgbColor rgb="FFF3F6FA"/>
      <rgbColor rgb="FFDCEFDC"/>
      <rgbColor rgb="FFFFFF99"/>
      <rgbColor rgb="FF99CCFF"/>
      <rgbColor rgb="FFFF99CC"/>
      <rgbColor rgb="FFCC99FF"/>
      <rgbColor rgb="FFFFCC99"/>
      <rgbColor rgb="FF3366FF"/>
      <rgbColor rgb="FF33CCCC"/>
      <rgbColor rgb="FF99CC00"/>
      <rgbColor rgb="FFFFCC00"/>
      <rgbColor rgb="FFF2A900"/>
      <rgbColor rgb="FFFF6600"/>
      <rgbColor rgb="FF5B6675"/>
      <rgbColor rgb="FF969696"/>
      <rgbColor rgb="FF14325C"/>
      <rgbColor rgb="FF2E7D32"/>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23.85" hidden="false" customHeight="false" outlineLevel="0" collapsed="false">
      <c r="A20" s="2" t="s">
        <v>16</v>
      </c>
    </row>
    <row r="21" customFormat="false" ht="23.8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row>
    <row r="24" customFormat="false" ht="15" hidden="false" customHeight="false" outlineLevel="0" collapsed="false">
      <c r="A24" s="3" t="s">
        <v>19</v>
      </c>
    </row>
    <row r="25" customFormat="false" ht="23.85" hidden="false" customHeight="false" outlineLevel="0" collapsed="false">
      <c r="A25" s="2" t="s">
        <v>20</v>
      </c>
    </row>
    <row r="26" customFormat="false" ht="23.85" hidden="false" customHeight="false" outlineLevel="0" collapsed="false">
      <c r="A26" s="2" t="s">
        <v>21</v>
      </c>
    </row>
    <row r="27" customFormat="false" ht="15" hidden="false" customHeight="false" outlineLevel="0" collapsed="false">
      <c r="A27"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18"/>
    <col collapsed="false" customWidth="true" hidden="false" outlineLevel="0" max="4" min="4" style="0" width="44"/>
    <col collapsed="false" customWidth="true" hidden="false" outlineLevel="0" max="5" min="5" style="0" width="2"/>
    <col collapsed="false" customWidth="true" hidden="false" outlineLevel="0" max="6" min="6" style="0" width="34"/>
  </cols>
  <sheetData>
    <row r="1" customFormat="false" ht="16.15" hidden="false" customHeight="false" outlineLevel="0" collapsed="false">
      <c r="A1" s="4" t="s">
        <v>23</v>
      </c>
    </row>
    <row r="3" customFormat="false" ht="15" hidden="false" customHeight="false" outlineLevel="0" collapsed="false">
      <c r="A3" s="5" t="s">
        <v>24</v>
      </c>
      <c r="C3" s="5" t="s">
        <v>25</v>
      </c>
      <c r="D3" s="5" t="s">
        <v>26</v>
      </c>
      <c r="F3" s="5" t="s">
        <v>27</v>
      </c>
    </row>
    <row r="4" customFormat="false" ht="15" hidden="false" customHeight="false" outlineLevel="0" collapsed="false">
      <c r="A4" s="6" t="s">
        <v>28</v>
      </c>
      <c r="C4" s="7" t="n">
        <v>46328</v>
      </c>
      <c r="D4" s="8" t="s">
        <v>29</v>
      </c>
      <c r="F4" s="9"/>
    </row>
    <row r="5" customFormat="false" ht="15" hidden="false" customHeight="false" outlineLevel="0" collapsed="false">
      <c r="A5" s="6" t="s">
        <v>30</v>
      </c>
      <c r="C5" s="10" t="n">
        <v>0.15</v>
      </c>
      <c r="D5" s="8" t="s">
        <v>31</v>
      </c>
      <c r="F5" s="9"/>
    </row>
    <row r="6" customFormat="false" ht="15" hidden="false" customHeight="false" outlineLevel="0" collapsed="false">
      <c r="A6" s="6" t="s">
        <v>32</v>
      </c>
      <c r="C6" s="11" t="n">
        <v>8</v>
      </c>
      <c r="D6" s="8" t="s">
        <v>33</v>
      </c>
      <c r="F6" s="9"/>
    </row>
    <row r="7" customFormat="false" ht="15" hidden="false" customHeight="false" outlineLevel="0" collapsed="false">
      <c r="A7" s="6" t="s">
        <v>34</v>
      </c>
      <c r="C7" s="12" t="s">
        <v>35</v>
      </c>
      <c r="D7" s="8" t="s">
        <v>36</v>
      </c>
      <c r="F7" s="9"/>
    </row>
    <row r="8" customFormat="false" ht="15" hidden="false" customHeight="false" outlineLevel="0" collapsed="false">
      <c r="F8" s="9"/>
    </row>
    <row r="9" customFormat="false" ht="15" hidden="false" customHeight="false" outlineLevel="0" collapsed="false">
      <c r="F9" s="9"/>
    </row>
    <row r="10" customFormat="false" ht="15" hidden="false" customHeight="false" outlineLevel="0" collapsed="false">
      <c r="A10" s="13" t="s">
        <v>37</v>
      </c>
      <c r="F10" s="9"/>
    </row>
    <row r="11" customFormat="false" ht="15" hidden="false" customHeight="false" outlineLevel="0" collapsed="false">
      <c r="A11" s="5" t="s">
        <v>38</v>
      </c>
      <c r="B11" s="5" t="s">
        <v>39</v>
      </c>
      <c r="C11" s="5" t="s">
        <v>40</v>
      </c>
      <c r="F11" s="9"/>
    </row>
    <row r="12" customFormat="false" ht="15" hidden="false" customHeight="false" outlineLevel="0" collapsed="false">
      <c r="A12" s="6" t="s">
        <v>41</v>
      </c>
      <c r="B12" s="6" t="s">
        <v>42</v>
      </c>
      <c r="C12" s="14" t="n">
        <v>0</v>
      </c>
      <c r="F12" s="9"/>
    </row>
    <row r="13" customFormat="false" ht="15" hidden="false" customHeight="false" outlineLevel="0" collapsed="false">
      <c r="A13" s="6" t="s">
        <v>43</v>
      </c>
      <c r="B13" s="6" t="s">
        <v>44</v>
      </c>
      <c r="C13" s="14" t="n">
        <v>0</v>
      </c>
      <c r="F13" s="9"/>
    </row>
    <row r="14" customFormat="false" ht="15" hidden="false" customHeight="false" outlineLevel="0" collapsed="false">
      <c r="A14" s="6" t="s">
        <v>45</v>
      </c>
      <c r="B14" s="6" t="s">
        <v>46</v>
      </c>
      <c r="C14" s="14" t="n">
        <v>0</v>
      </c>
      <c r="F14" s="9"/>
    </row>
    <row r="15" customFormat="false" ht="15" hidden="false" customHeight="false" outlineLevel="0" collapsed="false">
      <c r="A15" s="6" t="s">
        <v>47</v>
      </c>
      <c r="B15" s="6" t="s">
        <v>48</v>
      </c>
      <c r="C15" s="14" t="n">
        <v>0</v>
      </c>
      <c r="F15" s="9"/>
    </row>
    <row r="16" customFormat="false" ht="15" hidden="false" customHeight="false" outlineLevel="0" collapsed="false">
      <c r="A16" s="6" t="s">
        <v>49</v>
      </c>
      <c r="B16" s="6" t="s">
        <v>50</v>
      </c>
      <c r="C16" s="14" t="n">
        <v>0</v>
      </c>
      <c r="F16" s="9"/>
    </row>
    <row r="17" customFormat="false" ht="15" hidden="false" customHeight="false" outlineLevel="0" collapsed="false">
      <c r="A17" s="6" t="s">
        <v>51</v>
      </c>
      <c r="B17" s="6" t="s">
        <v>52</v>
      </c>
      <c r="C17" s="14" t="n">
        <v>0</v>
      </c>
      <c r="F17" s="9"/>
    </row>
    <row r="18" customFormat="false" ht="15" hidden="false" customHeight="false" outlineLevel="0" collapsed="false">
      <c r="A18" s="6" t="s">
        <v>53</v>
      </c>
      <c r="B18" s="6" t="s">
        <v>54</v>
      </c>
      <c r="C18" s="14" t="n">
        <v>0</v>
      </c>
      <c r="F18" s="9"/>
    </row>
    <row r="19" customFormat="false" ht="15" hidden="false" customHeight="false" outlineLevel="0" collapsed="false">
      <c r="A19" s="6" t="s">
        <v>55</v>
      </c>
      <c r="B19" s="6" t="s">
        <v>56</v>
      </c>
      <c r="C19" s="14" t="n">
        <v>0</v>
      </c>
      <c r="F19" s="9"/>
    </row>
    <row r="20" customFormat="false" ht="15" hidden="false" customHeight="false" outlineLevel="0" collapsed="false">
      <c r="A20" s="6" t="s">
        <v>57</v>
      </c>
      <c r="B20" s="6" t="s">
        <v>58</v>
      </c>
      <c r="C20" s="14" t="n">
        <v>0</v>
      </c>
      <c r="F20" s="9"/>
    </row>
    <row r="21" customFormat="false" ht="15" hidden="false" customHeight="false" outlineLevel="0" collapsed="false">
      <c r="A21" s="6" t="s">
        <v>59</v>
      </c>
      <c r="B21" s="6" t="s">
        <v>60</v>
      </c>
      <c r="C21" s="14" t="n">
        <v>0</v>
      </c>
      <c r="F21" s="9"/>
    </row>
    <row r="22" customFormat="false" ht="15" hidden="false" customHeight="false" outlineLevel="0" collapsed="false">
      <c r="A22" s="6" t="s">
        <v>61</v>
      </c>
      <c r="B22" s="6" t="s">
        <v>62</v>
      </c>
      <c r="C22" s="14" t="n">
        <v>0</v>
      </c>
      <c r="F22" s="9"/>
    </row>
    <row r="23" customFormat="false" ht="15" hidden="false" customHeight="false" outlineLevel="0" collapsed="false">
      <c r="F23" s="9"/>
    </row>
    <row r="24" customFormat="false" ht="15" hidden="false" customHeight="false" outlineLevel="0" collapsed="false">
      <c r="F24" s="9"/>
    </row>
    <row r="25" customFormat="false" ht="15" hidden="false" customHeight="false" outlineLevel="0" collapsed="false">
      <c r="F25" s="9"/>
    </row>
    <row r="26" customFormat="false" ht="15" hidden="false" customHeight="false" outlineLevel="0" collapsed="false">
      <c r="F26" s="9"/>
    </row>
    <row r="27" customFormat="false" ht="15" hidden="false" customHeight="false" outlineLevel="0" collapsed="false">
      <c r="F27" s="9"/>
    </row>
    <row r="28" customFormat="false" ht="15" hidden="false" customHeight="false" outlineLevel="0" collapsed="false">
      <c r="F28" s="9"/>
    </row>
    <row r="29" customFormat="false" ht="15" hidden="false" customHeight="false" outlineLevel="0" collapsed="false">
      <c r="F29" s="9"/>
    </row>
    <row r="30" customFormat="false" ht="15" hidden="false" customHeight="false" outlineLevel="0" collapsed="false">
      <c r="F30" s="9"/>
    </row>
    <row r="31" customFormat="false" ht="15" hidden="false" customHeight="false" outlineLevel="0" collapsed="false">
      <c r="F31" s="9"/>
    </row>
    <row r="32" customFormat="false" ht="15" hidden="false" customHeight="false" outlineLevel="0" collapsed="false">
      <c r="F32" s="9"/>
    </row>
    <row r="33" customFormat="false" ht="15" hidden="false" customHeight="false" outlineLevel="0" collapsed="false">
      <c r="F33" s="9"/>
    </row>
    <row r="34" customFormat="false" ht="15" hidden="false" customHeight="false" outlineLevel="0" collapsed="false">
      <c r="F34" s="9"/>
    </row>
    <row r="35" customFormat="false" ht="15" hidden="false" customHeight="false" outlineLevel="0" collapsed="false">
      <c r="F35" s="9"/>
    </row>
    <row r="36" customFormat="false" ht="15" hidden="false" customHeight="false" outlineLevel="0" collapsed="false">
      <c r="F36" s="9"/>
    </row>
    <row r="37" customFormat="false" ht="15" hidden="false" customHeight="false" outlineLevel="0" collapsed="false">
      <c r="F37" s="9"/>
    </row>
    <row r="38" customFormat="false" ht="15" hidden="false" customHeight="false" outlineLevel="0" collapsed="false">
      <c r="F38" s="9"/>
    </row>
    <row r="39" customFormat="false" ht="15" hidden="false" customHeight="false" outlineLevel="0" collapsed="false">
      <c r="F39" s="9"/>
    </row>
    <row r="40" customFormat="false" ht="15" hidden="false" customHeight="false" outlineLevel="0" collapsed="false">
      <c r="F40" s="9"/>
    </row>
    <row r="41" customFormat="false" ht="15" hidden="false" customHeight="false" outlineLevel="0" collapsed="false">
      <c r="F41" s="9"/>
    </row>
    <row r="42" customFormat="false" ht="15" hidden="false" customHeight="false" outlineLevel="0" collapsed="false">
      <c r="F42" s="9"/>
    </row>
    <row r="43" customFormat="false" ht="15" hidden="false" customHeight="false" outlineLevel="0" collapsed="false">
      <c r="F43" s="9"/>
    </row>
    <row r="44" customFormat="false" ht="15" hidden="false" customHeight="false" outlineLevel="0" collapsed="false">
      <c r="F44"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4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2" outlineLevelCol="0"/>
  <cols>
    <col collapsed="false" customWidth="true" hidden="false" outlineLevel="0" max="1" min="1" style="0" width="5"/>
    <col collapsed="false" customWidth="true" hidden="false" outlineLevel="0" max="2" min="2" style="0" width="7"/>
    <col collapsed="false" customWidth="true" hidden="false" outlineLevel="0" max="3" min="3" style="0" width="5"/>
    <col collapsed="false" customWidth="true" hidden="false" outlineLevel="0" max="4" min="4" style="0" width="9"/>
    <col collapsed="false" customWidth="true" hidden="false" outlineLevel="0" max="5" min="5" style="0" width="58"/>
    <col collapsed="false" customWidth="true" hidden="false" outlineLevel="0" max="6" min="6" style="0" width="9"/>
    <col collapsed="false" customWidth="true" hidden="false" outlineLevel="0" max="7" min="7" style="0" width="18"/>
    <col collapsed="false" customWidth="true" hidden="false" outlineLevel="0" max="8" min="8" style="0" width="7"/>
    <col collapsed="false" customWidth="true" hidden="false" outlineLevel="0" max="10" min="9" style="0" width="8"/>
    <col collapsed="false" customWidth="true" hidden="false" outlineLevel="0" max="12" min="11" style="0" width="11"/>
    <col collapsed="false" customWidth="true" hidden="false" outlineLevel="0" max="13" min="13" style="0" width="12"/>
    <col collapsed="false" customWidth="true" hidden="false" outlineLevel="0" max="24" min="14" style="0" width="6"/>
    <col collapsed="false" customWidth="true" hidden="false" outlineLevel="0" max="25" min="25" style="0" width="9"/>
    <col collapsed="false" customWidth="true" hidden="false" outlineLevel="0" max="26" min="26" style="0" width="10"/>
    <col collapsed="false" customWidth="true" hidden="false" outlineLevel="0" max="27" min="27" style="0" width="36"/>
    <col collapsed="false" customWidth="true" hidden="false" outlineLevel="0" max="28" min="28" style="0" width="11"/>
    <col collapsed="false" customWidth="true" hidden="false" outlineLevel="0" max="29" min="29" style="0" width="14"/>
    <col collapsed="false" customWidth="true" hidden="false" outlineLevel="0" max="30" min="30" style="0" width="8"/>
    <col collapsed="false" customWidth="true" hidden="false" outlineLevel="0" max="55" min="32" style="0" width="4.2"/>
  </cols>
  <sheetData>
    <row r="1" customFormat="false" ht="16.15" hidden="false" customHeight="false" outlineLevel="0" collapsed="false">
      <c r="A1" s="4" t="s">
        <v>63</v>
      </c>
    </row>
    <row r="2" customFormat="false" ht="15" hidden="false" customHeight="false" outlineLevel="0" collapsed="false">
      <c r="A2" s="8" t="s">
        <v>64</v>
      </c>
    </row>
    <row r="3" customFormat="false" ht="15" hidden="false" customHeight="false" outlineLevel="0" collapsed="false">
      <c r="AF3" s="13" t="s">
        <v>65</v>
      </c>
    </row>
    <row r="4" customFormat="false" ht="57.75" hidden="false" customHeight="true" outlineLevel="0" collapsed="false">
      <c r="A4" s="15" t="s">
        <v>66</v>
      </c>
      <c r="B4" s="15" t="s">
        <v>67</v>
      </c>
      <c r="C4" s="15" t="s">
        <v>68</v>
      </c>
      <c r="D4" s="15" t="s">
        <v>69</v>
      </c>
      <c r="E4" s="15" t="s">
        <v>70</v>
      </c>
      <c r="F4" s="15" t="s">
        <v>71</v>
      </c>
      <c r="G4" s="15" t="s">
        <v>72</v>
      </c>
      <c r="H4" s="15" t="s">
        <v>73</v>
      </c>
      <c r="I4" s="15" t="s">
        <v>74</v>
      </c>
      <c r="J4" s="15" t="s">
        <v>75</v>
      </c>
      <c r="K4" s="15" t="s">
        <v>76</v>
      </c>
      <c r="L4" s="15" t="s">
        <v>77</v>
      </c>
      <c r="M4" s="15" t="s">
        <v>78</v>
      </c>
      <c r="N4" s="15" t="s">
        <v>41</v>
      </c>
      <c r="O4" s="15" t="s">
        <v>43</v>
      </c>
      <c r="P4" s="15" t="s">
        <v>45</v>
      </c>
      <c r="Q4" s="15" t="s">
        <v>47</v>
      </c>
      <c r="R4" s="15" t="s">
        <v>49</v>
      </c>
      <c r="S4" s="15" t="s">
        <v>51</v>
      </c>
      <c r="T4" s="15" t="s">
        <v>53</v>
      </c>
      <c r="U4" s="15" t="s">
        <v>55</v>
      </c>
      <c r="V4" s="15" t="s">
        <v>57</v>
      </c>
      <c r="W4" s="15" t="s">
        <v>59</v>
      </c>
      <c r="X4" s="15" t="s">
        <v>61</v>
      </c>
      <c r="Y4" s="15" t="s">
        <v>79</v>
      </c>
      <c r="Z4" s="15" t="s">
        <v>80</v>
      </c>
      <c r="AA4" s="15" t="s">
        <v>81</v>
      </c>
      <c r="AB4" s="15" t="s">
        <v>82</v>
      </c>
      <c r="AC4" s="15" t="s">
        <v>83</v>
      </c>
      <c r="AD4" s="15" t="s">
        <v>84</v>
      </c>
      <c r="AF4" s="16" t="n">
        <f aca="false">EDATE(DATE(YEAR(Assumptions!$C$4),MONTH(Assumptions!$C$4),1),0)</f>
        <v>46327</v>
      </c>
      <c r="AG4" s="16" t="n">
        <f aca="false">EDATE(DATE(YEAR(Assumptions!$C$4),MONTH(Assumptions!$C$4),1),1)</f>
        <v>46357</v>
      </c>
      <c r="AH4" s="16" t="n">
        <f aca="false">EDATE(DATE(YEAR(Assumptions!$C$4),MONTH(Assumptions!$C$4),1),2)</f>
        <v>46388</v>
      </c>
      <c r="AI4" s="16" t="n">
        <f aca="false">EDATE(DATE(YEAR(Assumptions!$C$4),MONTH(Assumptions!$C$4),1),3)</f>
        <v>46419</v>
      </c>
      <c r="AJ4" s="16" t="n">
        <f aca="false">EDATE(DATE(YEAR(Assumptions!$C$4),MONTH(Assumptions!$C$4),1),4)</f>
        <v>46447</v>
      </c>
      <c r="AK4" s="16" t="n">
        <f aca="false">EDATE(DATE(YEAR(Assumptions!$C$4),MONTH(Assumptions!$C$4),1),5)</f>
        <v>46478</v>
      </c>
      <c r="AL4" s="16" t="n">
        <f aca="false">EDATE(DATE(YEAR(Assumptions!$C$4),MONTH(Assumptions!$C$4),1),6)</f>
        <v>46508</v>
      </c>
      <c r="AM4" s="16" t="n">
        <f aca="false">EDATE(DATE(YEAR(Assumptions!$C$4),MONTH(Assumptions!$C$4),1),7)</f>
        <v>46539</v>
      </c>
      <c r="AN4" s="16" t="n">
        <f aca="false">EDATE(DATE(YEAR(Assumptions!$C$4),MONTH(Assumptions!$C$4),1),8)</f>
        <v>46569</v>
      </c>
      <c r="AO4" s="16" t="n">
        <f aca="false">EDATE(DATE(YEAR(Assumptions!$C$4),MONTH(Assumptions!$C$4),1),9)</f>
        <v>46600</v>
      </c>
      <c r="AP4" s="16" t="n">
        <f aca="false">EDATE(DATE(YEAR(Assumptions!$C$4),MONTH(Assumptions!$C$4),1),10)</f>
        <v>46631</v>
      </c>
      <c r="AQ4" s="16" t="n">
        <f aca="false">EDATE(DATE(YEAR(Assumptions!$C$4),MONTH(Assumptions!$C$4),1),11)</f>
        <v>46661</v>
      </c>
      <c r="AR4" s="16" t="n">
        <f aca="false">EDATE(DATE(YEAR(Assumptions!$C$4),MONTH(Assumptions!$C$4),1),12)</f>
        <v>46692</v>
      </c>
      <c r="AS4" s="16" t="n">
        <f aca="false">EDATE(DATE(YEAR(Assumptions!$C$4),MONTH(Assumptions!$C$4),1),13)</f>
        <v>46722</v>
      </c>
      <c r="AT4" s="16" t="n">
        <f aca="false">EDATE(DATE(YEAR(Assumptions!$C$4),MONTH(Assumptions!$C$4),1),14)</f>
        <v>46753</v>
      </c>
      <c r="AU4" s="16" t="n">
        <f aca="false">EDATE(DATE(YEAR(Assumptions!$C$4),MONTH(Assumptions!$C$4),1),15)</f>
        <v>46784</v>
      </c>
      <c r="AV4" s="16" t="n">
        <f aca="false">EDATE(DATE(YEAR(Assumptions!$C$4),MONTH(Assumptions!$C$4),1),16)</f>
        <v>46813</v>
      </c>
      <c r="AW4" s="16" t="n">
        <f aca="false">EDATE(DATE(YEAR(Assumptions!$C$4),MONTH(Assumptions!$C$4),1),17)</f>
        <v>46844</v>
      </c>
      <c r="AX4" s="16" t="n">
        <f aca="false">EDATE(DATE(YEAR(Assumptions!$C$4),MONTH(Assumptions!$C$4),1),18)</f>
        <v>46874</v>
      </c>
      <c r="AY4" s="16" t="n">
        <f aca="false">EDATE(DATE(YEAR(Assumptions!$C$4),MONTH(Assumptions!$C$4),1),19)</f>
        <v>46905</v>
      </c>
      <c r="AZ4" s="16" t="n">
        <f aca="false">EDATE(DATE(YEAR(Assumptions!$C$4),MONTH(Assumptions!$C$4),1),20)</f>
        <v>46935</v>
      </c>
      <c r="BA4" s="16" t="n">
        <f aca="false">EDATE(DATE(YEAR(Assumptions!$C$4),MONTH(Assumptions!$C$4),1),21)</f>
        <v>46966</v>
      </c>
      <c r="BB4" s="16" t="n">
        <f aca="false">EDATE(DATE(YEAR(Assumptions!$C$4),MONTH(Assumptions!$C$4),1),22)</f>
        <v>46997</v>
      </c>
      <c r="BC4" s="16" t="n">
        <f aca="false">EDATE(DATE(YEAR(Assumptions!$C$4),MONTH(Assumptions!$C$4),1),23)</f>
        <v>47027</v>
      </c>
    </row>
    <row r="5" customFormat="false" ht="15" hidden="false" customHeight="false" outlineLevel="0" collapsed="false">
      <c r="A5" s="17" t="n">
        <v>1</v>
      </c>
      <c r="B5" s="17" t="s">
        <v>85</v>
      </c>
      <c r="C5" s="17" t="n">
        <v>1</v>
      </c>
      <c r="D5" s="17" t="s">
        <v>71</v>
      </c>
      <c r="E5" s="17" t="s">
        <v>86</v>
      </c>
      <c r="F5" s="17" t="s">
        <v>87</v>
      </c>
      <c r="G5" s="17"/>
      <c r="H5" s="17"/>
      <c r="I5" s="17"/>
      <c r="J5" s="17" t="n">
        <f aca="false">NETWORKDAYS(K5,L5,Assumptions!$F$4:$F$44)</f>
        <v>440</v>
      </c>
      <c r="K5" s="18" t="n">
        <f aca="false">MIN(K6:K14)</f>
        <v>46328</v>
      </c>
      <c r="L5" s="18" t="n">
        <f aca="false">MAX(L6:L14)</f>
        <v>46941</v>
      </c>
      <c r="M5" s="17"/>
      <c r="N5" s="19" t="n">
        <f aca="false">SUMPRODUCT(($C$6:$C$14=3)*(N6:N14))</f>
        <v>345</v>
      </c>
      <c r="O5" s="19" t="n">
        <f aca="false">SUMPRODUCT(($C$6:$C$14=3)*(O6:O14))</f>
        <v>30</v>
      </c>
      <c r="P5" s="19" t="n">
        <f aca="false">SUMPRODUCT(($C$6:$C$14=3)*(P6:P14))</f>
        <v>89</v>
      </c>
      <c r="Q5" s="19" t="n">
        <f aca="false">SUMPRODUCT(($C$6:$C$14=3)*(Q6:Q14))</f>
        <v>30</v>
      </c>
      <c r="R5" s="19" t="n">
        <f aca="false">SUMPRODUCT(($C$6:$C$14=3)*(R6:R14))</f>
        <v>0</v>
      </c>
      <c r="S5" s="19" t="n">
        <f aca="false">SUMPRODUCT(($C$6:$C$14=3)*(S6:S14))</f>
        <v>0</v>
      </c>
      <c r="T5" s="19" t="n">
        <f aca="false">SUMPRODUCT(($C$6:$C$14=3)*(T6:T14))</f>
        <v>0</v>
      </c>
      <c r="U5" s="19" t="n">
        <f aca="false">SUMPRODUCT(($C$6:$C$14=3)*(U6:U14))</f>
        <v>15</v>
      </c>
      <c r="V5" s="19" t="n">
        <f aca="false">SUMPRODUCT(($C$6:$C$14=3)*(V6:V14))</f>
        <v>8</v>
      </c>
      <c r="W5" s="19" t="n">
        <f aca="false">SUMPRODUCT(($C$6:$C$14=3)*(W6:W14))</f>
        <v>0</v>
      </c>
      <c r="X5" s="19" t="n">
        <f aca="false">SUMPRODUCT(($C$6:$C$14=3)*(X6:X14))</f>
        <v>10</v>
      </c>
      <c r="Y5" s="19" t="n">
        <f aca="false">SUM(N5:X5)</f>
        <v>527</v>
      </c>
      <c r="Z5" s="19" t="n">
        <f aca="false">Y5*(1+Assumptions!$C$5)</f>
        <v>606.05</v>
      </c>
      <c r="AA5" s="17"/>
      <c r="AB5" s="17"/>
      <c r="AC5" s="17"/>
      <c r="AD5" s="20"/>
      <c r="AF5" s="21" t="n">
        <v>0</v>
      </c>
      <c r="AG5" s="21" t="n">
        <v>0</v>
      </c>
      <c r="AH5" s="21" t="n">
        <v>0</v>
      </c>
      <c r="AI5" s="21" t="n">
        <v>0</v>
      </c>
      <c r="AJ5" s="21" t="n">
        <v>0</v>
      </c>
      <c r="AK5" s="21" t="n">
        <v>0</v>
      </c>
      <c r="AL5" s="21" t="n">
        <v>0</v>
      </c>
      <c r="AM5" s="21" t="n">
        <v>0</v>
      </c>
      <c r="AN5" s="21" t="n">
        <v>0</v>
      </c>
      <c r="AO5" s="21" t="n">
        <v>0</v>
      </c>
      <c r="AP5" s="21" t="n">
        <v>0</v>
      </c>
      <c r="AQ5" s="21" t="n">
        <v>0</v>
      </c>
      <c r="AR5" s="21" t="n">
        <v>0</v>
      </c>
      <c r="AS5" s="21" t="n">
        <v>0</v>
      </c>
      <c r="AT5" s="21" t="n">
        <v>0</v>
      </c>
      <c r="AU5" s="21" t="n">
        <v>0</v>
      </c>
      <c r="AV5" s="21" t="n">
        <v>0</v>
      </c>
      <c r="AW5" s="21" t="n">
        <v>0</v>
      </c>
      <c r="AX5" s="21" t="n">
        <v>0</v>
      </c>
      <c r="AY5" s="21" t="n">
        <v>0</v>
      </c>
      <c r="AZ5" s="21" t="n">
        <v>0</v>
      </c>
      <c r="BA5" s="21" t="n">
        <v>0</v>
      </c>
      <c r="BB5" s="21" t="n">
        <v>0</v>
      </c>
      <c r="BC5" s="21" t="n">
        <v>0</v>
      </c>
    </row>
    <row r="6" customFormat="false" ht="15" hidden="false" customHeight="false" outlineLevel="1" collapsed="false">
      <c r="A6" s="22" t="n">
        <v>2</v>
      </c>
      <c r="B6" s="22" t="s">
        <v>88</v>
      </c>
      <c r="C6" s="22" t="n">
        <v>2</v>
      </c>
      <c r="D6" s="22" t="s">
        <v>89</v>
      </c>
      <c r="E6" s="23" t="s">
        <v>90</v>
      </c>
      <c r="F6" s="22" t="s">
        <v>87</v>
      </c>
      <c r="G6" s="22"/>
      <c r="H6" s="22"/>
      <c r="I6" s="22"/>
      <c r="J6" s="22" t="n">
        <f aca="false">NETWORKDAYS(K6,L6,Assumptions!$F$4:$F$44)</f>
        <v>440</v>
      </c>
      <c r="K6" s="24" t="n">
        <f aca="false">MIN(K7:K11)</f>
        <v>46328</v>
      </c>
      <c r="L6" s="24" t="n">
        <f aca="false">MAX(L7:L11)</f>
        <v>46941</v>
      </c>
      <c r="M6" s="22"/>
      <c r="N6" s="25" t="n">
        <f aca="false">SUMPRODUCT(($C$7:$C$11=3)*(N7:N11))</f>
        <v>313</v>
      </c>
      <c r="O6" s="25" t="n">
        <f aca="false">SUMPRODUCT(($C$7:$C$11=3)*(O7:O11))</f>
        <v>10</v>
      </c>
      <c r="P6" s="25" t="n">
        <f aca="false">SUMPRODUCT(($C$7:$C$11=3)*(P7:P11))</f>
        <v>71</v>
      </c>
      <c r="Q6" s="25" t="n">
        <f aca="false">SUMPRODUCT(($C$7:$C$11=3)*(Q7:Q11))</f>
        <v>30</v>
      </c>
      <c r="R6" s="25" t="n">
        <f aca="false">SUMPRODUCT(($C$7:$C$11=3)*(R7:R11))</f>
        <v>0</v>
      </c>
      <c r="S6" s="25" t="n">
        <f aca="false">SUMPRODUCT(($C$7:$C$11=3)*(S7:S11))</f>
        <v>0</v>
      </c>
      <c r="T6" s="25" t="n">
        <f aca="false">SUMPRODUCT(($C$7:$C$11=3)*(T7:T11))</f>
        <v>0</v>
      </c>
      <c r="U6" s="25" t="n">
        <f aca="false">SUMPRODUCT(($C$7:$C$11=3)*(U7:U11))</f>
        <v>15</v>
      </c>
      <c r="V6" s="25" t="n">
        <f aca="false">SUMPRODUCT(($C$7:$C$11=3)*(V7:V11))</f>
        <v>0</v>
      </c>
      <c r="W6" s="25" t="n">
        <f aca="false">SUMPRODUCT(($C$7:$C$11=3)*(W7:W11))</f>
        <v>0</v>
      </c>
      <c r="X6" s="25" t="n">
        <f aca="false">SUMPRODUCT(($C$7:$C$11=3)*(X7:X11))</f>
        <v>10</v>
      </c>
      <c r="Y6" s="25" t="n">
        <f aca="false">SUM(N6:X6)</f>
        <v>449</v>
      </c>
      <c r="Z6" s="25" t="n">
        <f aca="false">Y6*(1+Assumptions!$C$5)</f>
        <v>516.35</v>
      </c>
      <c r="AA6" s="22"/>
      <c r="AB6" s="22"/>
      <c r="AC6" s="22"/>
      <c r="AD6" s="26"/>
      <c r="AF6" s="21" t="n">
        <v>0</v>
      </c>
      <c r="AG6" s="21" t="n">
        <v>0</v>
      </c>
      <c r="AH6" s="21" t="n">
        <v>0</v>
      </c>
      <c r="AI6" s="21" t="n">
        <v>0</v>
      </c>
      <c r="AJ6" s="21" t="n">
        <v>0</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1" t="n">
        <v>0</v>
      </c>
      <c r="BA6" s="21" t="n">
        <v>0</v>
      </c>
      <c r="BB6" s="21" t="n">
        <v>0</v>
      </c>
      <c r="BC6" s="21" t="n">
        <v>0</v>
      </c>
    </row>
    <row r="7" customFormat="false" ht="15" hidden="false" customHeight="false" outlineLevel="2" collapsed="false">
      <c r="A7" s="27" t="n">
        <v>3</v>
      </c>
      <c r="B7" s="27" t="s">
        <v>91</v>
      </c>
      <c r="C7" s="27" t="n">
        <v>3</v>
      </c>
      <c r="D7" s="27" t="s">
        <v>92</v>
      </c>
      <c r="E7" s="28" t="s">
        <v>93</v>
      </c>
      <c r="F7" s="27" t="s">
        <v>87</v>
      </c>
      <c r="G7" s="27"/>
      <c r="H7" s="27" t="s">
        <v>41</v>
      </c>
      <c r="I7" s="29" t="n">
        <v>0</v>
      </c>
      <c r="J7" s="29" t="n">
        <v>140</v>
      </c>
      <c r="K7" s="30" t="n">
        <f aca="false">WORKDAY(Assumptions!$C$4,I7,Assumptions!$F$4:$F$44)</f>
        <v>46328</v>
      </c>
      <c r="L7" s="30" t="n">
        <f aca="false">IF(J7=0,K7,WORKDAY(K7,J7-1,Assumptions!$F$4:$F$44))</f>
        <v>46521</v>
      </c>
      <c r="M7" s="29"/>
      <c r="N7" s="31" t="n">
        <v>70</v>
      </c>
      <c r="O7" s="31" t="n">
        <v>0</v>
      </c>
      <c r="P7" s="31" t="n">
        <v>14</v>
      </c>
      <c r="Q7" s="31" t="n">
        <v>0</v>
      </c>
      <c r="R7" s="31" t="n">
        <v>0</v>
      </c>
      <c r="S7" s="31" t="n">
        <v>0</v>
      </c>
      <c r="T7" s="31" t="n">
        <v>0</v>
      </c>
      <c r="U7" s="31" t="n">
        <v>0</v>
      </c>
      <c r="V7" s="31" t="n">
        <v>0</v>
      </c>
      <c r="W7" s="31" t="n">
        <v>0</v>
      </c>
      <c r="X7" s="31" t="n">
        <v>0</v>
      </c>
      <c r="Y7" s="32" t="n">
        <f aca="false">SUM(N7:X7)</f>
        <v>84</v>
      </c>
      <c r="Z7" s="32" t="n">
        <f aca="false">Y7*(1+Assumptions!$C$5)</f>
        <v>96.6</v>
      </c>
      <c r="AA7" s="27" t="s">
        <v>94</v>
      </c>
      <c r="AB7" s="27" t="s">
        <v>95</v>
      </c>
      <c r="AC7" s="27"/>
      <c r="AD7" s="33" t="n">
        <v>0</v>
      </c>
      <c r="AF7" s="21" t="n">
        <f aca="false">IF($J7=0,0,MAX(0,NETWORKDAYS(MAX($K7,AF$4),MIN($L7,EOMONTH(AF$4,0)),Assumptions!$F$4:$F$44))/NETWORKDAYS($K7,$L7,Assumptions!$F$4:$F$44))</f>
        <v>0.15</v>
      </c>
      <c r="AG7" s="21" t="n">
        <f aca="false">IF($J7=0,0,MAX(0,NETWORKDAYS(MAX($K7,AG$4),MIN($L7,EOMONTH(AG$4,0)),Assumptions!$F$4:$F$44))/NETWORKDAYS($K7,$L7,Assumptions!$F$4:$F$44))</f>
        <v>0.164285714285714</v>
      </c>
      <c r="AH7" s="21" t="n">
        <f aca="false">IF($J7=0,0,MAX(0,NETWORKDAYS(MAX($K7,AH$4),MIN($L7,EOMONTH(AH$4,0)),Assumptions!$F$4:$F$44))/NETWORKDAYS($K7,$L7,Assumptions!$F$4:$F$44))</f>
        <v>0.15</v>
      </c>
      <c r="AI7" s="21" t="n">
        <f aca="false">IF($J7=0,0,MAX(0,NETWORKDAYS(MAX($K7,AI$4),MIN($L7,EOMONTH(AI$4,0)),Assumptions!$F$4:$F$44))/NETWORKDAYS($K7,$L7,Assumptions!$F$4:$F$44))</f>
        <v>0.142857142857143</v>
      </c>
      <c r="AJ7" s="21" t="n">
        <f aca="false">IF($J7=0,0,MAX(0,NETWORKDAYS(MAX($K7,AJ$4),MIN($L7,EOMONTH(AJ$4,0)),Assumptions!$F$4:$F$44))/NETWORKDAYS($K7,$L7,Assumptions!$F$4:$F$44))</f>
        <v>0.164285714285714</v>
      </c>
      <c r="AK7" s="21" t="n">
        <f aca="false">IF($J7=0,0,MAX(0,NETWORKDAYS(MAX($K7,AK$4),MIN($L7,EOMONTH(AK$4,0)),Assumptions!$F$4:$F$44))/NETWORKDAYS($K7,$L7,Assumptions!$F$4:$F$44))</f>
        <v>0.157142857142857</v>
      </c>
      <c r="AL7" s="21" t="n">
        <f aca="false">IF($J7=0,0,MAX(0,NETWORKDAYS(MAX($K7,AL$4),MIN($L7,EOMONTH(AL$4,0)),Assumptions!$F$4:$F$44))/NETWORKDAYS($K7,$L7,Assumptions!$F$4:$F$44))</f>
        <v>0.0714285714285714</v>
      </c>
      <c r="AM7" s="21" t="n">
        <f aca="false">IF($J7=0,0,MAX(0,NETWORKDAYS(MAX($K7,AM$4),MIN($L7,EOMONTH(AM$4,0)),Assumptions!$F$4:$F$44))/NETWORKDAYS($K7,$L7,Assumptions!$F$4:$F$44))</f>
        <v>0</v>
      </c>
      <c r="AN7" s="21" t="n">
        <f aca="false">IF($J7=0,0,MAX(0,NETWORKDAYS(MAX($K7,AN$4),MIN($L7,EOMONTH(AN$4,0)),Assumptions!$F$4:$F$44))/NETWORKDAYS($K7,$L7,Assumptions!$F$4:$F$44))</f>
        <v>0</v>
      </c>
      <c r="AO7" s="21" t="n">
        <f aca="false">IF($J7=0,0,MAX(0,NETWORKDAYS(MAX($K7,AO$4),MIN($L7,EOMONTH(AO$4,0)),Assumptions!$F$4:$F$44))/NETWORKDAYS($K7,$L7,Assumptions!$F$4:$F$44))</f>
        <v>0</v>
      </c>
      <c r="AP7" s="21" t="n">
        <f aca="false">IF($J7=0,0,MAX(0,NETWORKDAYS(MAX($K7,AP$4),MIN($L7,EOMONTH(AP$4,0)),Assumptions!$F$4:$F$44))/NETWORKDAYS($K7,$L7,Assumptions!$F$4:$F$44))</f>
        <v>0</v>
      </c>
      <c r="AQ7" s="21" t="n">
        <f aca="false">IF($J7=0,0,MAX(0,NETWORKDAYS(MAX($K7,AQ$4),MIN($L7,EOMONTH(AQ$4,0)),Assumptions!$F$4:$F$44))/NETWORKDAYS($K7,$L7,Assumptions!$F$4:$F$44))</f>
        <v>0</v>
      </c>
      <c r="AR7" s="21" t="n">
        <f aca="false">IF($J7=0,0,MAX(0,NETWORKDAYS(MAX($K7,AR$4),MIN($L7,EOMONTH(AR$4,0)),Assumptions!$F$4:$F$44))/NETWORKDAYS($K7,$L7,Assumptions!$F$4:$F$44))</f>
        <v>0</v>
      </c>
      <c r="AS7" s="21" t="n">
        <f aca="false">IF($J7=0,0,MAX(0,NETWORKDAYS(MAX($K7,AS$4),MIN($L7,EOMONTH(AS$4,0)),Assumptions!$F$4:$F$44))/NETWORKDAYS($K7,$L7,Assumptions!$F$4:$F$44))</f>
        <v>0</v>
      </c>
      <c r="AT7" s="21" t="n">
        <f aca="false">IF($J7=0,0,MAX(0,NETWORKDAYS(MAX($K7,AT$4),MIN($L7,EOMONTH(AT$4,0)),Assumptions!$F$4:$F$44))/NETWORKDAYS($K7,$L7,Assumptions!$F$4:$F$44))</f>
        <v>0</v>
      </c>
      <c r="AU7" s="21" t="n">
        <f aca="false">IF($J7=0,0,MAX(0,NETWORKDAYS(MAX($K7,AU$4),MIN($L7,EOMONTH(AU$4,0)),Assumptions!$F$4:$F$44))/NETWORKDAYS($K7,$L7,Assumptions!$F$4:$F$44))</f>
        <v>0</v>
      </c>
      <c r="AV7" s="21" t="n">
        <f aca="false">IF($J7=0,0,MAX(0,NETWORKDAYS(MAX($K7,AV$4),MIN($L7,EOMONTH(AV$4,0)),Assumptions!$F$4:$F$44))/NETWORKDAYS($K7,$L7,Assumptions!$F$4:$F$44))</f>
        <v>0</v>
      </c>
      <c r="AW7" s="21" t="n">
        <f aca="false">IF($J7=0,0,MAX(0,NETWORKDAYS(MAX($K7,AW$4),MIN($L7,EOMONTH(AW$4,0)),Assumptions!$F$4:$F$44))/NETWORKDAYS($K7,$L7,Assumptions!$F$4:$F$44))</f>
        <v>0</v>
      </c>
      <c r="AX7" s="21" t="n">
        <f aca="false">IF($J7=0,0,MAX(0,NETWORKDAYS(MAX($K7,AX$4),MIN($L7,EOMONTH(AX$4,0)),Assumptions!$F$4:$F$44))/NETWORKDAYS($K7,$L7,Assumptions!$F$4:$F$44))</f>
        <v>0</v>
      </c>
      <c r="AY7" s="21" t="n">
        <f aca="false">IF($J7=0,0,MAX(0,NETWORKDAYS(MAX($K7,AY$4),MIN($L7,EOMONTH(AY$4,0)),Assumptions!$F$4:$F$44))/NETWORKDAYS($K7,$L7,Assumptions!$F$4:$F$44))</f>
        <v>0</v>
      </c>
      <c r="AZ7" s="21" t="n">
        <f aca="false">IF($J7=0,0,MAX(0,NETWORKDAYS(MAX($K7,AZ$4),MIN($L7,EOMONTH(AZ$4,0)),Assumptions!$F$4:$F$44))/NETWORKDAYS($K7,$L7,Assumptions!$F$4:$F$44))</f>
        <v>0</v>
      </c>
      <c r="BA7" s="21" t="n">
        <f aca="false">IF($J7=0,0,MAX(0,NETWORKDAYS(MAX($K7,BA$4),MIN($L7,EOMONTH(BA$4,0)),Assumptions!$F$4:$F$44))/NETWORKDAYS($K7,$L7,Assumptions!$F$4:$F$44))</f>
        <v>0</v>
      </c>
      <c r="BB7" s="21" t="n">
        <f aca="false">IF($J7=0,0,MAX(0,NETWORKDAYS(MAX($K7,BB$4),MIN($L7,EOMONTH(BB$4,0)),Assumptions!$F$4:$F$44))/NETWORKDAYS($K7,$L7,Assumptions!$F$4:$F$44))</f>
        <v>0</v>
      </c>
      <c r="BC7" s="21" t="n">
        <f aca="false">IF($J7=0,0,MAX(0,NETWORKDAYS(MAX($K7,BC$4),MIN($L7,EOMONTH(BC$4,0)),Assumptions!$F$4:$F$44))/NETWORKDAYS($K7,$L7,Assumptions!$F$4:$F$44))</f>
        <v>0</v>
      </c>
    </row>
    <row r="8" customFormat="false" ht="15" hidden="false" customHeight="false" outlineLevel="2" collapsed="false">
      <c r="A8" s="27" t="n">
        <v>4</v>
      </c>
      <c r="B8" s="27" t="s">
        <v>96</v>
      </c>
      <c r="C8" s="27" t="n">
        <v>3</v>
      </c>
      <c r="D8" s="27" t="s">
        <v>92</v>
      </c>
      <c r="E8" s="28" t="s">
        <v>97</v>
      </c>
      <c r="F8" s="27" t="s">
        <v>87</v>
      </c>
      <c r="G8" s="27"/>
      <c r="H8" s="27" t="s">
        <v>41</v>
      </c>
      <c r="I8" s="29" t="n">
        <v>88</v>
      </c>
      <c r="J8" s="29" t="n">
        <v>141</v>
      </c>
      <c r="K8" s="30" t="n">
        <f aca="false">WORKDAY(Assumptions!$C$4,I8,Assumptions!$F$4:$F$44)</f>
        <v>46450</v>
      </c>
      <c r="L8" s="30" t="n">
        <f aca="false">IF(J8=0,K8,WORKDAY(K8,J8-1,Assumptions!$F$4:$F$44))</f>
        <v>46646</v>
      </c>
      <c r="M8" s="29"/>
      <c r="N8" s="31" t="n">
        <v>71</v>
      </c>
      <c r="O8" s="31" t="n">
        <v>0</v>
      </c>
      <c r="P8" s="31" t="n">
        <v>14</v>
      </c>
      <c r="Q8" s="31" t="n">
        <v>0</v>
      </c>
      <c r="R8" s="31" t="n">
        <v>0</v>
      </c>
      <c r="S8" s="31" t="n">
        <v>0</v>
      </c>
      <c r="T8" s="31" t="n">
        <v>0</v>
      </c>
      <c r="U8" s="31" t="n">
        <v>0</v>
      </c>
      <c r="V8" s="31" t="n">
        <v>0</v>
      </c>
      <c r="W8" s="31" t="n">
        <v>0</v>
      </c>
      <c r="X8" s="31" t="n">
        <v>0</v>
      </c>
      <c r="Y8" s="32" t="n">
        <f aca="false">SUM(N8:X8)</f>
        <v>85</v>
      </c>
      <c r="Z8" s="32" t="n">
        <f aca="false">Y8*(1+Assumptions!$C$5)</f>
        <v>97.75</v>
      </c>
      <c r="AA8" s="27" t="s">
        <v>94</v>
      </c>
      <c r="AB8" s="27" t="s">
        <v>95</v>
      </c>
      <c r="AC8" s="27"/>
      <c r="AD8" s="33" t="n">
        <v>0</v>
      </c>
      <c r="AF8" s="21" t="n">
        <f aca="false">IF($J8=0,0,MAX(0,NETWORKDAYS(MAX($K8,AF$4),MIN($L8,EOMONTH(AF$4,0)),Assumptions!$F$4:$F$44))/NETWORKDAYS($K8,$L8,Assumptions!$F$4:$F$44))</f>
        <v>0</v>
      </c>
      <c r="AG8" s="21" t="n">
        <f aca="false">IF($J8=0,0,MAX(0,NETWORKDAYS(MAX($K8,AG$4),MIN($L8,EOMONTH(AG$4,0)),Assumptions!$F$4:$F$44))/NETWORKDAYS($K8,$L8,Assumptions!$F$4:$F$44))</f>
        <v>0</v>
      </c>
      <c r="AH8" s="21" t="n">
        <f aca="false">IF($J8=0,0,MAX(0,NETWORKDAYS(MAX($K8,AH$4),MIN($L8,EOMONTH(AH$4,0)),Assumptions!$F$4:$F$44))/NETWORKDAYS($K8,$L8,Assumptions!$F$4:$F$44))</f>
        <v>0</v>
      </c>
      <c r="AI8" s="21" t="n">
        <f aca="false">IF($J8=0,0,MAX(0,NETWORKDAYS(MAX($K8,AI$4),MIN($L8,EOMONTH(AI$4,0)),Assumptions!$F$4:$F$44))/NETWORKDAYS($K8,$L8,Assumptions!$F$4:$F$44))</f>
        <v>0</v>
      </c>
      <c r="AJ8" s="21" t="n">
        <f aca="false">IF($J8=0,0,MAX(0,NETWORKDAYS(MAX($K8,AJ$4),MIN($L8,EOMONTH(AJ$4,0)),Assumptions!$F$4:$F$44))/NETWORKDAYS($K8,$L8,Assumptions!$F$4:$F$44))</f>
        <v>0.141843971631206</v>
      </c>
      <c r="AK8" s="21" t="n">
        <f aca="false">IF($J8=0,0,MAX(0,NETWORKDAYS(MAX($K8,AK$4),MIN($L8,EOMONTH(AK$4,0)),Assumptions!$F$4:$F$44))/NETWORKDAYS($K8,$L8,Assumptions!$F$4:$F$44))</f>
        <v>0.156028368794326</v>
      </c>
      <c r="AL8" s="21" t="n">
        <f aca="false">IF($J8=0,0,MAX(0,NETWORKDAYS(MAX($K8,AL$4),MIN($L8,EOMONTH(AL$4,0)),Assumptions!$F$4:$F$44))/NETWORKDAYS($K8,$L8,Assumptions!$F$4:$F$44))</f>
        <v>0.148936170212766</v>
      </c>
      <c r="AM8" s="21" t="n">
        <f aca="false">IF($J8=0,0,MAX(0,NETWORKDAYS(MAX($K8,AM$4),MIN($L8,EOMONTH(AM$4,0)),Assumptions!$F$4:$F$44))/NETWORKDAYS($K8,$L8,Assumptions!$F$4:$F$44))</f>
        <v>0.156028368794326</v>
      </c>
      <c r="AN8" s="21" t="n">
        <f aca="false">IF($J8=0,0,MAX(0,NETWORKDAYS(MAX($K8,AN$4),MIN($L8,EOMONTH(AN$4,0)),Assumptions!$F$4:$F$44))/NETWORKDAYS($K8,$L8,Assumptions!$F$4:$F$44))</f>
        <v>0.156028368794326</v>
      </c>
      <c r="AO8" s="21" t="n">
        <f aca="false">IF($J8=0,0,MAX(0,NETWORKDAYS(MAX($K8,AO$4),MIN($L8,EOMONTH(AO$4,0)),Assumptions!$F$4:$F$44))/NETWORKDAYS($K8,$L8,Assumptions!$F$4:$F$44))</f>
        <v>0.156028368794326</v>
      </c>
      <c r="AP8" s="21" t="n">
        <f aca="false">IF($J8=0,0,MAX(0,NETWORKDAYS(MAX($K8,AP$4),MIN($L8,EOMONTH(AP$4,0)),Assumptions!$F$4:$F$44))/NETWORKDAYS($K8,$L8,Assumptions!$F$4:$F$44))</f>
        <v>0.0851063829787234</v>
      </c>
      <c r="AQ8" s="21" t="n">
        <f aca="false">IF($J8=0,0,MAX(0,NETWORKDAYS(MAX($K8,AQ$4),MIN($L8,EOMONTH(AQ$4,0)),Assumptions!$F$4:$F$44))/NETWORKDAYS($K8,$L8,Assumptions!$F$4:$F$44))</f>
        <v>0</v>
      </c>
      <c r="AR8" s="21" t="n">
        <f aca="false">IF($J8=0,0,MAX(0,NETWORKDAYS(MAX($K8,AR$4),MIN($L8,EOMONTH(AR$4,0)),Assumptions!$F$4:$F$44))/NETWORKDAYS($K8,$L8,Assumptions!$F$4:$F$44))</f>
        <v>0</v>
      </c>
      <c r="AS8" s="21" t="n">
        <f aca="false">IF($J8=0,0,MAX(0,NETWORKDAYS(MAX($K8,AS$4),MIN($L8,EOMONTH(AS$4,0)),Assumptions!$F$4:$F$44))/NETWORKDAYS($K8,$L8,Assumptions!$F$4:$F$44))</f>
        <v>0</v>
      </c>
      <c r="AT8" s="21" t="n">
        <f aca="false">IF($J8=0,0,MAX(0,NETWORKDAYS(MAX($K8,AT$4),MIN($L8,EOMONTH(AT$4,0)),Assumptions!$F$4:$F$44))/NETWORKDAYS($K8,$L8,Assumptions!$F$4:$F$44))</f>
        <v>0</v>
      </c>
      <c r="AU8" s="21" t="n">
        <f aca="false">IF($J8=0,0,MAX(0,NETWORKDAYS(MAX($K8,AU$4),MIN($L8,EOMONTH(AU$4,0)),Assumptions!$F$4:$F$44))/NETWORKDAYS($K8,$L8,Assumptions!$F$4:$F$44))</f>
        <v>0</v>
      </c>
      <c r="AV8" s="21" t="n">
        <f aca="false">IF($J8=0,0,MAX(0,NETWORKDAYS(MAX($K8,AV$4),MIN($L8,EOMONTH(AV$4,0)),Assumptions!$F$4:$F$44))/NETWORKDAYS($K8,$L8,Assumptions!$F$4:$F$44))</f>
        <v>0</v>
      </c>
      <c r="AW8" s="21" t="n">
        <f aca="false">IF($J8=0,0,MAX(0,NETWORKDAYS(MAX($K8,AW$4),MIN($L8,EOMONTH(AW$4,0)),Assumptions!$F$4:$F$44))/NETWORKDAYS($K8,$L8,Assumptions!$F$4:$F$44))</f>
        <v>0</v>
      </c>
      <c r="AX8" s="21" t="n">
        <f aca="false">IF($J8=0,0,MAX(0,NETWORKDAYS(MAX($K8,AX$4),MIN($L8,EOMONTH(AX$4,0)),Assumptions!$F$4:$F$44))/NETWORKDAYS($K8,$L8,Assumptions!$F$4:$F$44))</f>
        <v>0</v>
      </c>
      <c r="AY8" s="21" t="n">
        <f aca="false">IF($J8=0,0,MAX(0,NETWORKDAYS(MAX($K8,AY$4),MIN($L8,EOMONTH(AY$4,0)),Assumptions!$F$4:$F$44))/NETWORKDAYS($K8,$L8,Assumptions!$F$4:$F$44))</f>
        <v>0</v>
      </c>
      <c r="AZ8" s="21" t="n">
        <f aca="false">IF($J8=0,0,MAX(0,NETWORKDAYS(MAX($K8,AZ$4),MIN($L8,EOMONTH(AZ$4,0)),Assumptions!$F$4:$F$44))/NETWORKDAYS($K8,$L8,Assumptions!$F$4:$F$44))</f>
        <v>0</v>
      </c>
      <c r="BA8" s="21" t="n">
        <f aca="false">IF($J8=0,0,MAX(0,NETWORKDAYS(MAX($K8,BA$4),MIN($L8,EOMONTH(BA$4,0)),Assumptions!$F$4:$F$44))/NETWORKDAYS($K8,$L8,Assumptions!$F$4:$F$44))</f>
        <v>0</v>
      </c>
      <c r="BB8" s="21" t="n">
        <f aca="false">IF($J8=0,0,MAX(0,NETWORKDAYS(MAX($K8,BB$4),MIN($L8,EOMONTH(BB$4,0)),Assumptions!$F$4:$F$44))/NETWORKDAYS($K8,$L8,Assumptions!$F$4:$F$44))</f>
        <v>0</v>
      </c>
      <c r="BC8" s="21" t="n">
        <f aca="false">IF($J8=0,0,MAX(0,NETWORKDAYS(MAX($K8,BC$4),MIN($L8,EOMONTH(BC$4,0)),Assumptions!$F$4:$F$44))/NETWORKDAYS($K8,$L8,Assumptions!$F$4:$F$44))</f>
        <v>0</v>
      </c>
    </row>
    <row r="9" customFormat="false" ht="15" hidden="false" customHeight="false" outlineLevel="2" collapsed="false">
      <c r="A9" s="27" t="n">
        <v>5</v>
      </c>
      <c r="B9" s="27" t="s">
        <v>98</v>
      </c>
      <c r="C9" s="27" t="n">
        <v>3</v>
      </c>
      <c r="D9" s="27" t="s">
        <v>92</v>
      </c>
      <c r="E9" s="28" t="s">
        <v>99</v>
      </c>
      <c r="F9" s="27" t="s">
        <v>87</v>
      </c>
      <c r="G9" s="27"/>
      <c r="H9" s="27" t="s">
        <v>41</v>
      </c>
      <c r="I9" s="29" t="n">
        <v>176</v>
      </c>
      <c r="J9" s="29" t="n">
        <v>141</v>
      </c>
      <c r="K9" s="30" t="n">
        <f aca="false">WORKDAY(Assumptions!$C$4,I9,Assumptions!$F$4:$F$44)</f>
        <v>46574</v>
      </c>
      <c r="L9" s="30" t="n">
        <f aca="false">IF(J9=0,K9,WORKDAY(K9,J9-1,Assumptions!$F$4:$F$44))</f>
        <v>46770</v>
      </c>
      <c r="M9" s="29"/>
      <c r="N9" s="31" t="n">
        <v>71</v>
      </c>
      <c r="O9" s="31" t="n">
        <v>0</v>
      </c>
      <c r="P9" s="31" t="n">
        <v>14</v>
      </c>
      <c r="Q9" s="31" t="n">
        <v>0</v>
      </c>
      <c r="R9" s="31" t="n">
        <v>0</v>
      </c>
      <c r="S9" s="31" t="n">
        <v>0</v>
      </c>
      <c r="T9" s="31" t="n">
        <v>0</v>
      </c>
      <c r="U9" s="31" t="n">
        <v>0</v>
      </c>
      <c r="V9" s="31" t="n">
        <v>0</v>
      </c>
      <c r="W9" s="31" t="n">
        <v>0</v>
      </c>
      <c r="X9" s="31" t="n">
        <v>0</v>
      </c>
      <c r="Y9" s="32" t="n">
        <f aca="false">SUM(N9:X9)</f>
        <v>85</v>
      </c>
      <c r="Z9" s="32" t="n">
        <f aca="false">Y9*(1+Assumptions!$C$5)</f>
        <v>97.75</v>
      </c>
      <c r="AA9" s="27" t="s">
        <v>94</v>
      </c>
      <c r="AB9" s="27" t="s">
        <v>95</v>
      </c>
      <c r="AC9" s="27"/>
      <c r="AD9" s="33" t="n">
        <v>0</v>
      </c>
      <c r="AF9" s="21" t="n">
        <f aca="false">IF($J9=0,0,MAX(0,NETWORKDAYS(MAX($K9,AF$4),MIN($L9,EOMONTH(AF$4,0)),Assumptions!$F$4:$F$44))/NETWORKDAYS($K9,$L9,Assumptions!$F$4:$F$44))</f>
        <v>0</v>
      </c>
      <c r="AG9" s="21" t="n">
        <f aca="false">IF($J9=0,0,MAX(0,NETWORKDAYS(MAX($K9,AG$4),MIN($L9,EOMONTH(AG$4,0)),Assumptions!$F$4:$F$44))/NETWORKDAYS($K9,$L9,Assumptions!$F$4:$F$44))</f>
        <v>0</v>
      </c>
      <c r="AH9" s="21" t="n">
        <f aca="false">IF($J9=0,0,MAX(0,NETWORKDAYS(MAX($K9,AH$4),MIN($L9,EOMONTH(AH$4,0)),Assumptions!$F$4:$F$44))/NETWORKDAYS($K9,$L9,Assumptions!$F$4:$F$44))</f>
        <v>0</v>
      </c>
      <c r="AI9" s="21" t="n">
        <f aca="false">IF($J9=0,0,MAX(0,NETWORKDAYS(MAX($K9,AI$4),MIN($L9,EOMONTH(AI$4,0)),Assumptions!$F$4:$F$44))/NETWORKDAYS($K9,$L9,Assumptions!$F$4:$F$44))</f>
        <v>0</v>
      </c>
      <c r="AJ9" s="21" t="n">
        <f aca="false">IF($J9=0,0,MAX(0,NETWORKDAYS(MAX($K9,AJ$4),MIN($L9,EOMONTH(AJ$4,0)),Assumptions!$F$4:$F$44))/NETWORKDAYS($K9,$L9,Assumptions!$F$4:$F$44))</f>
        <v>0</v>
      </c>
      <c r="AK9" s="21" t="n">
        <f aca="false">IF($J9=0,0,MAX(0,NETWORKDAYS(MAX($K9,AK$4),MIN($L9,EOMONTH(AK$4,0)),Assumptions!$F$4:$F$44))/NETWORKDAYS($K9,$L9,Assumptions!$F$4:$F$44))</f>
        <v>0</v>
      </c>
      <c r="AL9" s="21" t="n">
        <f aca="false">IF($J9=0,0,MAX(0,NETWORKDAYS(MAX($K9,AL$4),MIN($L9,EOMONTH(AL$4,0)),Assumptions!$F$4:$F$44))/NETWORKDAYS($K9,$L9,Assumptions!$F$4:$F$44))</f>
        <v>0</v>
      </c>
      <c r="AM9" s="21" t="n">
        <f aca="false">IF($J9=0,0,MAX(0,NETWORKDAYS(MAX($K9,AM$4),MIN($L9,EOMONTH(AM$4,0)),Assumptions!$F$4:$F$44))/NETWORKDAYS($K9,$L9,Assumptions!$F$4:$F$44))</f>
        <v>0</v>
      </c>
      <c r="AN9" s="21" t="n">
        <f aca="false">IF($J9=0,0,MAX(0,NETWORKDAYS(MAX($K9,AN$4),MIN($L9,EOMONTH(AN$4,0)),Assumptions!$F$4:$F$44))/NETWORKDAYS($K9,$L9,Assumptions!$F$4:$F$44))</f>
        <v>0.134751773049645</v>
      </c>
      <c r="AO9" s="21" t="n">
        <f aca="false">IF($J9=0,0,MAX(0,NETWORKDAYS(MAX($K9,AO$4),MIN($L9,EOMONTH(AO$4,0)),Assumptions!$F$4:$F$44))/NETWORKDAYS($K9,$L9,Assumptions!$F$4:$F$44))</f>
        <v>0.156028368794326</v>
      </c>
      <c r="AP9" s="21" t="n">
        <f aca="false">IF($J9=0,0,MAX(0,NETWORKDAYS(MAX($K9,AP$4),MIN($L9,EOMONTH(AP$4,0)),Assumptions!$F$4:$F$44))/NETWORKDAYS($K9,$L9,Assumptions!$F$4:$F$44))</f>
        <v>0.156028368794326</v>
      </c>
      <c r="AQ9" s="21" t="n">
        <f aca="false">IF($J9=0,0,MAX(0,NETWORKDAYS(MAX($K9,AQ$4),MIN($L9,EOMONTH(AQ$4,0)),Assumptions!$F$4:$F$44))/NETWORKDAYS($K9,$L9,Assumptions!$F$4:$F$44))</f>
        <v>0.148936170212766</v>
      </c>
      <c r="AR9" s="21" t="n">
        <f aca="false">IF($J9=0,0,MAX(0,NETWORKDAYS(MAX($K9,AR$4),MIN($L9,EOMONTH(AR$4,0)),Assumptions!$F$4:$F$44))/NETWORKDAYS($K9,$L9,Assumptions!$F$4:$F$44))</f>
        <v>0.156028368794326</v>
      </c>
      <c r="AS9" s="21" t="n">
        <f aca="false">IF($J9=0,0,MAX(0,NETWORKDAYS(MAX($K9,AS$4),MIN($L9,EOMONTH(AS$4,0)),Assumptions!$F$4:$F$44))/NETWORKDAYS($K9,$L9,Assumptions!$F$4:$F$44))</f>
        <v>0.163120567375887</v>
      </c>
      <c r="AT9" s="21" t="n">
        <f aca="false">IF($J9=0,0,MAX(0,NETWORKDAYS(MAX($K9,AT$4),MIN($L9,EOMONTH(AT$4,0)),Assumptions!$F$4:$F$44))/NETWORKDAYS($K9,$L9,Assumptions!$F$4:$F$44))</f>
        <v>0.0851063829787234</v>
      </c>
      <c r="AU9" s="21" t="n">
        <f aca="false">IF($J9=0,0,MAX(0,NETWORKDAYS(MAX($K9,AU$4),MIN($L9,EOMONTH(AU$4,0)),Assumptions!$F$4:$F$44))/NETWORKDAYS($K9,$L9,Assumptions!$F$4:$F$44))</f>
        <v>0</v>
      </c>
      <c r="AV9" s="21" t="n">
        <f aca="false">IF($J9=0,0,MAX(0,NETWORKDAYS(MAX($K9,AV$4),MIN($L9,EOMONTH(AV$4,0)),Assumptions!$F$4:$F$44))/NETWORKDAYS($K9,$L9,Assumptions!$F$4:$F$44))</f>
        <v>0</v>
      </c>
      <c r="AW9" s="21" t="n">
        <f aca="false">IF($J9=0,0,MAX(0,NETWORKDAYS(MAX($K9,AW$4),MIN($L9,EOMONTH(AW$4,0)),Assumptions!$F$4:$F$44))/NETWORKDAYS($K9,$L9,Assumptions!$F$4:$F$44))</f>
        <v>0</v>
      </c>
      <c r="AX9" s="21" t="n">
        <f aca="false">IF($J9=0,0,MAX(0,NETWORKDAYS(MAX($K9,AX$4),MIN($L9,EOMONTH(AX$4,0)),Assumptions!$F$4:$F$44))/NETWORKDAYS($K9,$L9,Assumptions!$F$4:$F$44))</f>
        <v>0</v>
      </c>
      <c r="AY9" s="21" t="n">
        <f aca="false">IF($J9=0,0,MAX(0,NETWORKDAYS(MAX($K9,AY$4),MIN($L9,EOMONTH(AY$4,0)),Assumptions!$F$4:$F$44))/NETWORKDAYS($K9,$L9,Assumptions!$F$4:$F$44))</f>
        <v>0</v>
      </c>
      <c r="AZ9" s="21" t="n">
        <f aca="false">IF($J9=0,0,MAX(0,NETWORKDAYS(MAX($K9,AZ$4),MIN($L9,EOMONTH(AZ$4,0)),Assumptions!$F$4:$F$44))/NETWORKDAYS($K9,$L9,Assumptions!$F$4:$F$44))</f>
        <v>0</v>
      </c>
      <c r="BA9" s="21" t="n">
        <f aca="false">IF($J9=0,0,MAX(0,NETWORKDAYS(MAX($K9,BA$4),MIN($L9,EOMONTH(BA$4,0)),Assumptions!$F$4:$F$44))/NETWORKDAYS($K9,$L9,Assumptions!$F$4:$F$44))</f>
        <v>0</v>
      </c>
      <c r="BB9" s="21" t="n">
        <f aca="false">IF($J9=0,0,MAX(0,NETWORKDAYS(MAX($K9,BB$4),MIN($L9,EOMONTH(BB$4,0)),Assumptions!$F$4:$F$44))/NETWORKDAYS($K9,$L9,Assumptions!$F$4:$F$44))</f>
        <v>0</v>
      </c>
      <c r="BC9" s="21" t="n">
        <f aca="false">IF($J9=0,0,MAX(0,NETWORKDAYS(MAX($K9,BC$4),MIN($L9,EOMONTH(BC$4,0)),Assumptions!$F$4:$F$44))/NETWORKDAYS($K9,$L9,Assumptions!$F$4:$F$44))</f>
        <v>0</v>
      </c>
    </row>
    <row r="10" customFormat="false" ht="15" hidden="false" customHeight="false" outlineLevel="2" collapsed="false">
      <c r="A10" s="27" t="n">
        <v>6</v>
      </c>
      <c r="B10" s="27" t="s">
        <v>100</v>
      </c>
      <c r="C10" s="27" t="n">
        <v>3</v>
      </c>
      <c r="D10" s="27" t="s">
        <v>92</v>
      </c>
      <c r="E10" s="28" t="s">
        <v>101</v>
      </c>
      <c r="F10" s="27" t="s">
        <v>87</v>
      </c>
      <c r="G10" s="27"/>
      <c r="H10" s="27" t="s">
        <v>41</v>
      </c>
      <c r="I10" s="29" t="n">
        <v>264</v>
      </c>
      <c r="J10" s="29" t="n">
        <v>141</v>
      </c>
      <c r="K10" s="30" t="n">
        <f aca="false">WORKDAY(Assumptions!$C$4,I10,Assumptions!$F$4:$F$44)</f>
        <v>46696</v>
      </c>
      <c r="L10" s="30" t="n">
        <f aca="false">IF(J10=0,K10,WORKDAY(K10,J10-1,Assumptions!$F$4:$F$44))</f>
        <v>46892</v>
      </c>
      <c r="M10" s="29"/>
      <c r="N10" s="31" t="n">
        <v>71</v>
      </c>
      <c r="O10" s="31" t="n">
        <v>0</v>
      </c>
      <c r="P10" s="31" t="n">
        <v>14</v>
      </c>
      <c r="Q10" s="31" t="n">
        <v>0</v>
      </c>
      <c r="R10" s="31" t="n">
        <v>0</v>
      </c>
      <c r="S10" s="31" t="n">
        <v>0</v>
      </c>
      <c r="T10" s="31" t="n">
        <v>0</v>
      </c>
      <c r="U10" s="31" t="n">
        <v>0</v>
      </c>
      <c r="V10" s="31" t="n">
        <v>0</v>
      </c>
      <c r="W10" s="31" t="n">
        <v>0</v>
      </c>
      <c r="X10" s="31" t="n">
        <v>0</v>
      </c>
      <c r="Y10" s="32" t="n">
        <f aca="false">SUM(N10:X10)</f>
        <v>85</v>
      </c>
      <c r="Z10" s="32" t="n">
        <f aca="false">Y10*(1+Assumptions!$C$5)</f>
        <v>97.75</v>
      </c>
      <c r="AA10" s="27" t="s">
        <v>94</v>
      </c>
      <c r="AB10" s="27" t="s">
        <v>95</v>
      </c>
      <c r="AC10" s="27"/>
      <c r="AD10" s="33" t="n">
        <v>0</v>
      </c>
      <c r="AF10" s="21" t="n">
        <f aca="false">IF($J10=0,0,MAX(0,NETWORKDAYS(MAX($K10,AF$4),MIN($L10,EOMONTH(AF$4,0)),Assumptions!$F$4:$F$44))/NETWORKDAYS($K10,$L10,Assumptions!$F$4:$F$44))</f>
        <v>0</v>
      </c>
      <c r="AG10" s="21" t="n">
        <f aca="false">IF($J10=0,0,MAX(0,NETWORKDAYS(MAX($K10,AG$4),MIN($L10,EOMONTH(AG$4,0)),Assumptions!$F$4:$F$44))/NETWORKDAYS($K10,$L10,Assumptions!$F$4:$F$44))</f>
        <v>0</v>
      </c>
      <c r="AH10" s="21" t="n">
        <f aca="false">IF($J10=0,0,MAX(0,NETWORKDAYS(MAX($K10,AH$4),MIN($L10,EOMONTH(AH$4,0)),Assumptions!$F$4:$F$44))/NETWORKDAYS($K10,$L10,Assumptions!$F$4:$F$44))</f>
        <v>0</v>
      </c>
      <c r="AI10" s="21" t="n">
        <f aca="false">IF($J10=0,0,MAX(0,NETWORKDAYS(MAX($K10,AI$4),MIN($L10,EOMONTH(AI$4,0)),Assumptions!$F$4:$F$44))/NETWORKDAYS($K10,$L10,Assumptions!$F$4:$F$44))</f>
        <v>0</v>
      </c>
      <c r="AJ10" s="21" t="n">
        <f aca="false">IF($J10=0,0,MAX(0,NETWORKDAYS(MAX($K10,AJ$4),MIN($L10,EOMONTH(AJ$4,0)),Assumptions!$F$4:$F$44))/NETWORKDAYS($K10,$L10,Assumptions!$F$4:$F$44))</f>
        <v>0</v>
      </c>
      <c r="AK10" s="21" t="n">
        <f aca="false">IF($J10=0,0,MAX(0,NETWORKDAYS(MAX($K10,AK$4),MIN($L10,EOMONTH(AK$4,0)),Assumptions!$F$4:$F$44))/NETWORKDAYS($K10,$L10,Assumptions!$F$4:$F$44))</f>
        <v>0</v>
      </c>
      <c r="AL10" s="21" t="n">
        <f aca="false">IF($J10=0,0,MAX(0,NETWORKDAYS(MAX($K10,AL$4),MIN($L10,EOMONTH(AL$4,0)),Assumptions!$F$4:$F$44))/NETWORKDAYS($K10,$L10,Assumptions!$F$4:$F$44))</f>
        <v>0</v>
      </c>
      <c r="AM10" s="21" t="n">
        <f aca="false">IF($J10=0,0,MAX(0,NETWORKDAYS(MAX($K10,AM$4),MIN($L10,EOMONTH(AM$4,0)),Assumptions!$F$4:$F$44))/NETWORKDAYS($K10,$L10,Assumptions!$F$4:$F$44))</f>
        <v>0</v>
      </c>
      <c r="AN10" s="21" t="n">
        <f aca="false">IF($J10=0,0,MAX(0,NETWORKDAYS(MAX($K10,AN$4),MIN($L10,EOMONTH(AN$4,0)),Assumptions!$F$4:$F$44))/NETWORKDAYS($K10,$L10,Assumptions!$F$4:$F$44))</f>
        <v>0</v>
      </c>
      <c r="AO10" s="21" t="n">
        <f aca="false">IF($J10=0,0,MAX(0,NETWORKDAYS(MAX($K10,AO$4),MIN($L10,EOMONTH(AO$4,0)),Assumptions!$F$4:$F$44))/NETWORKDAYS($K10,$L10,Assumptions!$F$4:$F$44))</f>
        <v>0</v>
      </c>
      <c r="AP10" s="21" t="n">
        <f aca="false">IF($J10=0,0,MAX(0,NETWORKDAYS(MAX($K10,AP$4),MIN($L10,EOMONTH(AP$4,0)),Assumptions!$F$4:$F$44))/NETWORKDAYS($K10,$L10,Assumptions!$F$4:$F$44))</f>
        <v>0</v>
      </c>
      <c r="AQ10" s="21" t="n">
        <f aca="false">IF($J10=0,0,MAX(0,NETWORKDAYS(MAX($K10,AQ$4),MIN($L10,EOMONTH(AQ$4,0)),Assumptions!$F$4:$F$44))/NETWORKDAYS($K10,$L10,Assumptions!$F$4:$F$44))</f>
        <v>0</v>
      </c>
      <c r="AR10" s="21" t="n">
        <f aca="false">IF($J10=0,0,MAX(0,NETWORKDAYS(MAX($K10,AR$4),MIN($L10,EOMONTH(AR$4,0)),Assumptions!$F$4:$F$44))/NETWORKDAYS($K10,$L10,Assumptions!$F$4:$F$44))</f>
        <v>0.127659574468085</v>
      </c>
      <c r="AS10" s="21" t="n">
        <f aca="false">IF($J10=0,0,MAX(0,NETWORKDAYS(MAX($K10,AS$4),MIN($L10,EOMONTH(AS$4,0)),Assumptions!$F$4:$F$44))/NETWORKDAYS($K10,$L10,Assumptions!$F$4:$F$44))</f>
        <v>0.163120567375887</v>
      </c>
      <c r="AT10" s="21" t="n">
        <f aca="false">IF($J10=0,0,MAX(0,NETWORKDAYS(MAX($K10,AT$4),MIN($L10,EOMONTH(AT$4,0)),Assumptions!$F$4:$F$44))/NETWORKDAYS($K10,$L10,Assumptions!$F$4:$F$44))</f>
        <v>0.148936170212766</v>
      </c>
      <c r="AU10" s="21" t="n">
        <f aca="false">IF($J10=0,0,MAX(0,NETWORKDAYS(MAX($K10,AU$4),MIN($L10,EOMONTH(AU$4,0)),Assumptions!$F$4:$F$44))/NETWORKDAYS($K10,$L10,Assumptions!$F$4:$F$44))</f>
        <v>0.148936170212766</v>
      </c>
      <c r="AV10" s="21" t="n">
        <f aca="false">IF($J10=0,0,MAX(0,NETWORKDAYS(MAX($K10,AV$4),MIN($L10,EOMONTH(AV$4,0)),Assumptions!$F$4:$F$44))/NETWORKDAYS($K10,$L10,Assumptions!$F$4:$F$44))</f>
        <v>0.163120567375887</v>
      </c>
      <c r="AW10" s="21" t="n">
        <f aca="false">IF($J10=0,0,MAX(0,NETWORKDAYS(MAX($K10,AW$4),MIN($L10,EOMONTH(AW$4,0)),Assumptions!$F$4:$F$44))/NETWORKDAYS($K10,$L10,Assumptions!$F$4:$F$44))</f>
        <v>0.141843971631206</v>
      </c>
      <c r="AX10" s="21" t="n">
        <f aca="false">IF($J10=0,0,MAX(0,NETWORKDAYS(MAX($K10,AX$4),MIN($L10,EOMONTH(AX$4,0)),Assumptions!$F$4:$F$44))/NETWORKDAYS($K10,$L10,Assumptions!$F$4:$F$44))</f>
        <v>0.106382978723404</v>
      </c>
      <c r="AY10" s="21" t="n">
        <f aca="false">IF($J10=0,0,MAX(0,NETWORKDAYS(MAX($K10,AY$4),MIN($L10,EOMONTH(AY$4,0)),Assumptions!$F$4:$F$44))/NETWORKDAYS($K10,$L10,Assumptions!$F$4:$F$44))</f>
        <v>0</v>
      </c>
      <c r="AZ10" s="21" t="n">
        <f aca="false">IF($J10=0,0,MAX(0,NETWORKDAYS(MAX($K10,AZ$4),MIN($L10,EOMONTH(AZ$4,0)),Assumptions!$F$4:$F$44))/NETWORKDAYS($K10,$L10,Assumptions!$F$4:$F$44))</f>
        <v>0</v>
      </c>
      <c r="BA10" s="21" t="n">
        <f aca="false">IF($J10=0,0,MAX(0,NETWORKDAYS(MAX($K10,BA$4),MIN($L10,EOMONTH(BA$4,0)),Assumptions!$F$4:$F$44))/NETWORKDAYS($K10,$L10,Assumptions!$F$4:$F$44))</f>
        <v>0</v>
      </c>
      <c r="BB10" s="21" t="n">
        <f aca="false">IF($J10=0,0,MAX(0,NETWORKDAYS(MAX($K10,BB$4),MIN($L10,EOMONTH(BB$4,0)),Assumptions!$F$4:$F$44))/NETWORKDAYS($K10,$L10,Assumptions!$F$4:$F$44))</f>
        <v>0</v>
      </c>
      <c r="BC10" s="21" t="n">
        <f aca="false">IF($J10=0,0,MAX(0,NETWORKDAYS(MAX($K10,BC$4),MIN($L10,EOMONTH(BC$4,0)),Assumptions!$F$4:$F$44))/NETWORKDAYS($K10,$L10,Assumptions!$F$4:$F$44))</f>
        <v>0</v>
      </c>
    </row>
    <row r="11" customFormat="false" ht="15" hidden="false" customHeight="false" outlineLevel="2" collapsed="false">
      <c r="A11" s="27" t="n">
        <v>7</v>
      </c>
      <c r="B11" s="27" t="s">
        <v>102</v>
      </c>
      <c r="C11" s="27" t="n">
        <v>3</v>
      </c>
      <c r="D11" s="27" t="s">
        <v>92</v>
      </c>
      <c r="E11" s="28" t="s">
        <v>103</v>
      </c>
      <c r="F11" s="27" t="s">
        <v>87</v>
      </c>
      <c r="G11" s="27"/>
      <c r="H11" s="27" t="s">
        <v>41</v>
      </c>
      <c r="I11" s="29" t="n">
        <v>400</v>
      </c>
      <c r="J11" s="29" t="n">
        <v>40</v>
      </c>
      <c r="K11" s="30" t="n">
        <f aca="false">WORKDAY(Assumptions!$C$4,I11,Assumptions!$F$4:$F$44)</f>
        <v>46888</v>
      </c>
      <c r="L11" s="30" t="n">
        <f aca="false">IF(J11=0,K11,WORKDAY(K11,J11-1,Assumptions!$F$4:$F$44))</f>
        <v>46941</v>
      </c>
      <c r="M11" s="29"/>
      <c r="N11" s="31" t="n">
        <v>30</v>
      </c>
      <c r="O11" s="31" t="n">
        <v>10</v>
      </c>
      <c r="P11" s="31" t="n">
        <v>15</v>
      </c>
      <c r="Q11" s="31" t="n">
        <v>30</v>
      </c>
      <c r="R11" s="31" t="n">
        <v>0</v>
      </c>
      <c r="S11" s="31" t="n">
        <v>0</v>
      </c>
      <c r="T11" s="31" t="n">
        <v>0</v>
      </c>
      <c r="U11" s="31" t="n">
        <v>15</v>
      </c>
      <c r="V11" s="31" t="n">
        <v>0</v>
      </c>
      <c r="W11" s="31" t="n">
        <v>0</v>
      </c>
      <c r="X11" s="31" t="n">
        <v>10</v>
      </c>
      <c r="Y11" s="32" t="n">
        <f aca="false">SUM(N11:X11)</f>
        <v>110</v>
      </c>
      <c r="Z11" s="32" t="n">
        <f aca="false">Y11*(1+Assumptions!$C$5)</f>
        <v>126.5</v>
      </c>
      <c r="AA11" s="27" t="s">
        <v>104</v>
      </c>
      <c r="AB11" s="27" t="s">
        <v>95</v>
      </c>
      <c r="AC11" s="27"/>
      <c r="AD11" s="33" t="n">
        <v>0</v>
      </c>
      <c r="AF11" s="21" t="n">
        <f aca="false">IF($J11=0,0,MAX(0,NETWORKDAYS(MAX($K11,AF$4),MIN($L11,EOMONTH(AF$4,0)),Assumptions!$F$4:$F$44))/NETWORKDAYS($K11,$L11,Assumptions!$F$4:$F$44))</f>
        <v>0</v>
      </c>
      <c r="AG11" s="21" t="n">
        <f aca="false">IF($J11=0,0,MAX(0,NETWORKDAYS(MAX($K11,AG$4),MIN($L11,EOMONTH(AG$4,0)),Assumptions!$F$4:$F$44))/NETWORKDAYS($K11,$L11,Assumptions!$F$4:$F$44))</f>
        <v>0</v>
      </c>
      <c r="AH11" s="21" t="n">
        <f aca="false">IF($J11=0,0,MAX(0,NETWORKDAYS(MAX($K11,AH$4),MIN($L11,EOMONTH(AH$4,0)),Assumptions!$F$4:$F$44))/NETWORKDAYS($K11,$L11,Assumptions!$F$4:$F$44))</f>
        <v>0</v>
      </c>
      <c r="AI11" s="21" t="n">
        <f aca="false">IF($J11=0,0,MAX(0,NETWORKDAYS(MAX($K11,AI$4),MIN($L11,EOMONTH(AI$4,0)),Assumptions!$F$4:$F$44))/NETWORKDAYS($K11,$L11,Assumptions!$F$4:$F$44))</f>
        <v>0</v>
      </c>
      <c r="AJ11" s="21" t="n">
        <f aca="false">IF($J11=0,0,MAX(0,NETWORKDAYS(MAX($K11,AJ$4),MIN($L11,EOMONTH(AJ$4,0)),Assumptions!$F$4:$F$44))/NETWORKDAYS($K11,$L11,Assumptions!$F$4:$F$44))</f>
        <v>0</v>
      </c>
      <c r="AK11" s="21" t="n">
        <f aca="false">IF($J11=0,0,MAX(0,NETWORKDAYS(MAX($K11,AK$4),MIN($L11,EOMONTH(AK$4,0)),Assumptions!$F$4:$F$44))/NETWORKDAYS($K11,$L11,Assumptions!$F$4:$F$44))</f>
        <v>0</v>
      </c>
      <c r="AL11" s="21" t="n">
        <f aca="false">IF($J11=0,0,MAX(0,NETWORKDAYS(MAX($K11,AL$4),MIN($L11,EOMONTH(AL$4,0)),Assumptions!$F$4:$F$44))/NETWORKDAYS($K11,$L11,Assumptions!$F$4:$F$44))</f>
        <v>0</v>
      </c>
      <c r="AM11" s="21" t="n">
        <f aca="false">IF($J11=0,0,MAX(0,NETWORKDAYS(MAX($K11,AM$4),MIN($L11,EOMONTH(AM$4,0)),Assumptions!$F$4:$F$44))/NETWORKDAYS($K11,$L11,Assumptions!$F$4:$F$44))</f>
        <v>0</v>
      </c>
      <c r="AN11" s="21" t="n">
        <f aca="false">IF($J11=0,0,MAX(0,NETWORKDAYS(MAX($K11,AN$4),MIN($L11,EOMONTH(AN$4,0)),Assumptions!$F$4:$F$44))/NETWORKDAYS($K11,$L11,Assumptions!$F$4:$F$44))</f>
        <v>0</v>
      </c>
      <c r="AO11" s="21" t="n">
        <f aca="false">IF($J11=0,0,MAX(0,NETWORKDAYS(MAX($K11,AO$4),MIN($L11,EOMONTH(AO$4,0)),Assumptions!$F$4:$F$44))/NETWORKDAYS($K11,$L11,Assumptions!$F$4:$F$44))</f>
        <v>0</v>
      </c>
      <c r="AP11" s="21" t="n">
        <f aca="false">IF($J11=0,0,MAX(0,NETWORKDAYS(MAX($K11,AP$4),MIN($L11,EOMONTH(AP$4,0)),Assumptions!$F$4:$F$44))/NETWORKDAYS($K11,$L11,Assumptions!$F$4:$F$44))</f>
        <v>0</v>
      </c>
      <c r="AQ11" s="21" t="n">
        <f aca="false">IF($J11=0,0,MAX(0,NETWORKDAYS(MAX($K11,AQ$4),MIN($L11,EOMONTH(AQ$4,0)),Assumptions!$F$4:$F$44))/NETWORKDAYS($K11,$L11,Assumptions!$F$4:$F$44))</f>
        <v>0</v>
      </c>
      <c r="AR11" s="21" t="n">
        <f aca="false">IF($J11=0,0,MAX(0,NETWORKDAYS(MAX($K11,AR$4),MIN($L11,EOMONTH(AR$4,0)),Assumptions!$F$4:$F$44))/NETWORKDAYS($K11,$L11,Assumptions!$F$4:$F$44))</f>
        <v>0</v>
      </c>
      <c r="AS11" s="21" t="n">
        <f aca="false">IF($J11=0,0,MAX(0,NETWORKDAYS(MAX($K11,AS$4),MIN($L11,EOMONTH(AS$4,0)),Assumptions!$F$4:$F$44))/NETWORKDAYS($K11,$L11,Assumptions!$F$4:$F$44))</f>
        <v>0</v>
      </c>
      <c r="AT11" s="21" t="n">
        <f aca="false">IF($J11=0,0,MAX(0,NETWORKDAYS(MAX($K11,AT$4),MIN($L11,EOMONTH(AT$4,0)),Assumptions!$F$4:$F$44))/NETWORKDAYS($K11,$L11,Assumptions!$F$4:$F$44))</f>
        <v>0</v>
      </c>
      <c r="AU11" s="21" t="n">
        <f aca="false">IF($J11=0,0,MAX(0,NETWORKDAYS(MAX($K11,AU$4),MIN($L11,EOMONTH(AU$4,0)),Assumptions!$F$4:$F$44))/NETWORKDAYS($K11,$L11,Assumptions!$F$4:$F$44))</f>
        <v>0</v>
      </c>
      <c r="AV11" s="21" t="n">
        <f aca="false">IF($J11=0,0,MAX(0,NETWORKDAYS(MAX($K11,AV$4),MIN($L11,EOMONTH(AV$4,0)),Assumptions!$F$4:$F$44))/NETWORKDAYS($K11,$L11,Assumptions!$F$4:$F$44))</f>
        <v>0</v>
      </c>
      <c r="AW11" s="21" t="n">
        <f aca="false">IF($J11=0,0,MAX(0,NETWORKDAYS(MAX($K11,AW$4),MIN($L11,EOMONTH(AW$4,0)),Assumptions!$F$4:$F$44))/NETWORKDAYS($K11,$L11,Assumptions!$F$4:$F$44))</f>
        <v>0</v>
      </c>
      <c r="AX11" s="21" t="n">
        <f aca="false">IF($J11=0,0,MAX(0,NETWORKDAYS(MAX($K11,AX$4),MIN($L11,EOMONTH(AX$4,0)),Assumptions!$F$4:$F$44))/NETWORKDAYS($K11,$L11,Assumptions!$F$4:$F$44))</f>
        <v>0.325</v>
      </c>
      <c r="AY11" s="21" t="n">
        <f aca="false">IF($J11=0,0,MAX(0,NETWORKDAYS(MAX($K11,AY$4),MIN($L11,EOMONTH(AY$4,0)),Assumptions!$F$4:$F$44))/NETWORKDAYS($K11,$L11,Assumptions!$F$4:$F$44))</f>
        <v>0.55</v>
      </c>
      <c r="AZ11" s="21" t="n">
        <f aca="false">IF($J11=0,0,MAX(0,NETWORKDAYS(MAX($K11,AZ$4),MIN($L11,EOMONTH(AZ$4,0)),Assumptions!$F$4:$F$44))/NETWORKDAYS($K11,$L11,Assumptions!$F$4:$F$44))</f>
        <v>0.125</v>
      </c>
      <c r="BA11" s="21" t="n">
        <f aca="false">IF($J11=0,0,MAX(0,NETWORKDAYS(MAX($K11,BA$4),MIN($L11,EOMONTH(BA$4,0)),Assumptions!$F$4:$F$44))/NETWORKDAYS($K11,$L11,Assumptions!$F$4:$F$44))</f>
        <v>0</v>
      </c>
      <c r="BB11" s="21" t="n">
        <f aca="false">IF($J11=0,0,MAX(0,NETWORKDAYS(MAX($K11,BB$4),MIN($L11,EOMONTH(BB$4,0)),Assumptions!$F$4:$F$44))/NETWORKDAYS($K11,$L11,Assumptions!$F$4:$F$44))</f>
        <v>0</v>
      </c>
      <c r="BC11" s="21" t="n">
        <f aca="false">IF($J11=0,0,MAX(0,NETWORKDAYS(MAX($K11,BC$4),MIN($L11,EOMONTH(BC$4,0)),Assumptions!$F$4:$F$44))/NETWORKDAYS($K11,$L11,Assumptions!$F$4:$F$44))</f>
        <v>0</v>
      </c>
    </row>
    <row r="12" customFormat="false" ht="15" hidden="false" customHeight="false" outlineLevel="1" collapsed="false">
      <c r="A12" s="22" t="n">
        <v>8</v>
      </c>
      <c r="B12" s="22" t="s">
        <v>105</v>
      </c>
      <c r="C12" s="22" t="n">
        <v>2</v>
      </c>
      <c r="D12" s="22" t="s">
        <v>89</v>
      </c>
      <c r="E12" s="23" t="s">
        <v>106</v>
      </c>
      <c r="F12" s="22" t="s">
        <v>87</v>
      </c>
      <c r="G12" s="22"/>
      <c r="H12" s="22"/>
      <c r="I12" s="22"/>
      <c r="J12" s="22" t="n">
        <f aca="false">NETWORKDAYS(K12,L12,Assumptions!$F$4:$F$44)</f>
        <v>400</v>
      </c>
      <c r="K12" s="24" t="n">
        <f aca="false">MIN(K13:K14)</f>
        <v>46356</v>
      </c>
      <c r="L12" s="24" t="n">
        <f aca="false">MAX(L13:L14)</f>
        <v>46913</v>
      </c>
      <c r="M12" s="22"/>
      <c r="N12" s="25" t="n">
        <f aca="false">SUMPRODUCT(($C$13:$C$14=3)*(N13:N14))</f>
        <v>32</v>
      </c>
      <c r="O12" s="25" t="n">
        <f aca="false">SUMPRODUCT(($C$13:$C$14=3)*(O13:O14))</f>
        <v>20</v>
      </c>
      <c r="P12" s="25" t="n">
        <f aca="false">SUMPRODUCT(($C$13:$C$14=3)*(P13:P14))</f>
        <v>18</v>
      </c>
      <c r="Q12" s="25" t="n">
        <f aca="false">SUMPRODUCT(($C$13:$C$14=3)*(Q13:Q14))</f>
        <v>0</v>
      </c>
      <c r="R12" s="25" t="n">
        <f aca="false">SUMPRODUCT(($C$13:$C$14=3)*(R13:R14))</f>
        <v>0</v>
      </c>
      <c r="S12" s="25" t="n">
        <f aca="false">SUMPRODUCT(($C$13:$C$14=3)*(S13:S14))</f>
        <v>0</v>
      </c>
      <c r="T12" s="25" t="n">
        <f aca="false">SUMPRODUCT(($C$13:$C$14=3)*(T13:T14))</f>
        <v>0</v>
      </c>
      <c r="U12" s="25" t="n">
        <f aca="false">SUMPRODUCT(($C$13:$C$14=3)*(U13:U14))</f>
        <v>0</v>
      </c>
      <c r="V12" s="25" t="n">
        <f aca="false">SUMPRODUCT(($C$13:$C$14=3)*(V13:V14))</f>
        <v>8</v>
      </c>
      <c r="W12" s="25" t="n">
        <f aca="false">SUMPRODUCT(($C$13:$C$14=3)*(W13:W14))</f>
        <v>0</v>
      </c>
      <c r="X12" s="25" t="n">
        <f aca="false">SUMPRODUCT(($C$13:$C$14=3)*(X13:X14))</f>
        <v>0</v>
      </c>
      <c r="Y12" s="25" t="n">
        <f aca="false">SUM(N12:X12)</f>
        <v>78</v>
      </c>
      <c r="Z12" s="25" t="n">
        <f aca="false">Y12*(1+Assumptions!$C$5)</f>
        <v>89.7</v>
      </c>
      <c r="AA12" s="22"/>
      <c r="AB12" s="22"/>
      <c r="AC12" s="22"/>
      <c r="AD12" s="26"/>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row>
    <row r="13" customFormat="false" ht="15" hidden="false" customHeight="false" outlineLevel="2" collapsed="false">
      <c r="A13" s="27" t="n">
        <v>9</v>
      </c>
      <c r="B13" s="27" t="s">
        <v>107</v>
      </c>
      <c r="C13" s="27" t="n">
        <v>3</v>
      </c>
      <c r="D13" s="27" t="s">
        <v>92</v>
      </c>
      <c r="E13" s="28" t="s">
        <v>108</v>
      </c>
      <c r="F13" s="27" t="s">
        <v>87</v>
      </c>
      <c r="G13" s="27"/>
      <c r="H13" s="27" t="s">
        <v>41</v>
      </c>
      <c r="I13" s="29" t="n">
        <v>20</v>
      </c>
      <c r="J13" s="29" t="n">
        <v>400</v>
      </c>
      <c r="K13" s="30" t="n">
        <f aca="false">WORKDAY(Assumptions!$C$4,I13,Assumptions!$F$4:$F$44)</f>
        <v>46356</v>
      </c>
      <c r="L13" s="30" t="n">
        <f aca="false">IF(J13=0,K13,WORKDAY(K13,J13-1,Assumptions!$F$4:$F$44))</f>
        <v>46913</v>
      </c>
      <c r="M13" s="29"/>
      <c r="N13" s="31" t="n">
        <v>20</v>
      </c>
      <c r="O13" s="31" t="n">
        <v>20</v>
      </c>
      <c r="P13" s="31" t="n">
        <v>10</v>
      </c>
      <c r="Q13" s="31" t="n">
        <v>0</v>
      </c>
      <c r="R13" s="31" t="n">
        <v>0</v>
      </c>
      <c r="S13" s="31" t="n">
        <v>0</v>
      </c>
      <c r="T13" s="31" t="n">
        <v>0</v>
      </c>
      <c r="U13" s="31" t="n">
        <v>0</v>
      </c>
      <c r="V13" s="31" t="n">
        <v>0</v>
      </c>
      <c r="W13" s="31" t="n">
        <v>0</v>
      </c>
      <c r="X13" s="31" t="n">
        <v>0</v>
      </c>
      <c r="Y13" s="32" t="n">
        <f aca="false">SUM(N13:X13)</f>
        <v>50</v>
      </c>
      <c r="Z13" s="32" t="n">
        <f aca="false">Y13*(1+Assumptions!$C$5)</f>
        <v>57.5</v>
      </c>
      <c r="AA13" s="27" t="s">
        <v>109</v>
      </c>
      <c r="AB13" s="27" t="s">
        <v>95</v>
      </c>
      <c r="AC13" s="27"/>
      <c r="AD13" s="33" t="n">
        <v>0</v>
      </c>
      <c r="AF13" s="21" t="n">
        <f aca="false">IF($J13=0,0,MAX(0,NETWORKDAYS(MAX($K13,AF$4),MIN($L13,EOMONTH(AF$4,0)),Assumptions!$F$4:$F$44))/NETWORKDAYS($K13,$L13,Assumptions!$F$4:$F$44))</f>
        <v>0.0025</v>
      </c>
      <c r="AG13" s="21" t="n">
        <f aca="false">IF($J13=0,0,MAX(0,NETWORKDAYS(MAX($K13,AG$4),MIN($L13,EOMONTH(AG$4,0)),Assumptions!$F$4:$F$44))/NETWORKDAYS($K13,$L13,Assumptions!$F$4:$F$44))</f>
        <v>0.0575</v>
      </c>
      <c r="AH13" s="21" t="n">
        <f aca="false">IF($J13=0,0,MAX(0,NETWORKDAYS(MAX($K13,AH$4),MIN($L13,EOMONTH(AH$4,0)),Assumptions!$F$4:$F$44))/NETWORKDAYS($K13,$L13,Assumptions!$F$4:$F$44))</f>
        <v>0.0525</v>
      </c>
      <c r="AI13" s="21" t="n">
        <f aca="false">IF($J13=0,0,MAX(0,NETWORKDAYS(MAX($K13,AI$4),MIN($L13,EOMONTH(AI$4,0)),Assumptions!$F$4:$F$44))/NETWORKDAYS($K13,$L13,Assumptions!$F$4:$F$44))</f>
        <v>0.05</v>
      </c>
      <c r="AJ13" s="21" t="n">
        <f aca="false">IF($J13=0,0,MAX(0,NETWORKDAYS(MAX($K13,AJ$4),MIN($L13,EOMONTH(AJ$4,0)),Assumptions!$F$4:$F$44))/NETWORKDAYS($K13,$L13,Assumptions!$F$4:$F$44))</f>
        <v>0.0575</v>
      </c>
      <c r="AK13" s="21" t="n">
        <f aca="false">IF($J13=0,0,MAX(0,NETWORKDAYS(MAX($K13,AK$4),MIN($L13,EOMONTH(AK$4,0)),Assumptions!$F$4:$F$44))/NETWORKDAYS($K13,$L13,Assumptions!$F$4:$F$44))</f>
        <v>0.055</v>
      </c>
      <c r="AL13" s="21" t="n">
        <f aca="false">IF($J13=0,0,MAX(0,NETWORKDAYS(MAX($K13,AL$4),MIN($L13,EOMONTH(AL$4,0)),Assumptions!$F$4:$F$44))/NETWORKDAYS($K13,$L13,Assumptions!$F$4:$F$44))</f>
        <v>0.0525</v>
      </c>
      <c r="AM13" s="21" t="n">
        <f aca="false">IF($J13=0,0,MAX(0,NETWORKDAYS(MAX($K13,AM$4),MIN($L13,EOMONTH(AM$4,0)),Assumptions!$F$4:$F$44))/NETWORKDAYS($K13,$L13,Assumptions!$F$4:$F$44))</f>
        <v>0.055</v>
      </c>
      <c r="AN13" s="21" t="n">
        <f aca="false">IF($J13=0,0,MAX(0,NETWORKDAYS(MAX($K13,AN$4),MIN($L13,EOMONTH(AN$4,0)),Assumptions!$F$4:$F$44))/NETWORKDAYS($K13,$L13,Assumptions!$F$4:$F$44))</f>
        <v>0.055</v>
      </c>
      <c r="AO13" s="21" t="n">
        <f aca="false">IF($J13=0,0,MAX(0,NETWORKDAYS(MAX($K13,AO$4),MIN($L13,EOMONTH(AO$4,0)),Assumptions!$F$4:$F$44))/NETWORKDAYS($K13,$L13,Assumptions!$F$4:$F$44))</f>
        <v>0.055</v>
      </c>
      <c r="AP13" s="21" t="n">
        <f aca="false">IF($J13=0,0,MAX(0,NETWORKDAYS(MAX($K13,AP$4),MIN($L13,EOMONTH(AP$4,0)),Assumptions!$F$4:$F$44))/NETWORKDAYS($K13,$L13,Assumptions!$F$4:$F$44))</f>
        <v>0.055</v>
      </c>
      <c r="AQ13" s="21" t="n">
        <f aca="false">IF($J13=0,0,MAX(0,NETWORKDAYS(MAX($K13,AQ$4),MIN($L13,EOMONTH(AQ$4,0)),Assumptions!$F$4:$F$44))/NETWORKDAYS($K13,$L13,Assumptions!$F$4:$F$44))</f>
        <v>0.0525</v>
      </c>
      <c r="AR13" s="21" t="n">
        <f aca="false">IF($J13=0,0,MAX(0,NETWORKDAYS(MAX($K13,AR$4),MIN($L13,EOMONTH(AR$4,0)),Assumptions!$F$4:$F$44))/NETWORKDAYS($K13,$L13,Assumptions!$F$4:$F$44))</f>
        <v>0.055</v>
      </c>
      <c r="AS13" s="21" t="n">
        <f aca="false">IF($J13=0,0,MAX(0,NETWORKDAYS(MAX($K13,AS$4),MIN($L13,EOMONTH(AS$4,0)),Assumptions!$F$4:$F$44))/NETWORKDAYS($K13,$L13,Assumptions!$F$4:$F$44))</f>
        <v>0.0575</v>
      </c>
      <c r="AT13" s="21" t="n">
        <f aca="false">IF($J13=0,0,MAX(0,NETWORKDAYS(MAX($K13,AT$4),MIN($L13,EOMONTH(AT$4,0)),Assumptions!$F$4:$F$44))/NETWORKDAYS($K13,$L13,Assumptions!$F$4:$F$44))</f>
        <v>0.0525</v>
      </c>
      <c r="AU13" s="21" t="n">
        <f aca="false">IF($J13=0,0,MAX(0,NETWORKDAYS(MAX($K13,AU$4),MIN($L13,EOMONTH(AU$4,0)),Assumptions!$F$4:$F$44))/NETWORKDAYS($K13,$L13,Assumptions!$F$4:$F$44))</f>
        <v>0.0525</v>
      </c>
      <c r="AV13" s="21" t="n">
        <f aca="false">IF($J13=0,0,MAX(0,NETWORKDAYS(MAX($K13,AV$4),MIN($L13,EOMONTH(AV$4,0)),Assumptions!$F$4:$F$44))/NETWORKDAYS($K13,$L13,Assumptions!$F$4:$F$44))</f>
        <v>0.0575</v>
      </c>
      <c r="AW13" s="21" t="n">
        <f aca="false">IF($J13=0,0,MAX(0,NETWORKDAYS(MAX($K13,AW$4),MIN($L13,EOMONTH(AW$4,0)),Assumptions!$F$4:$F$44))/NETWORKDAYS($K13,$L13,Assumptions!$F$4:$F$44))</f>
        <v>0.05</v>
      </c>
      <c r="AX13" s="21" t="n">
        <f aca="false">IF($J13=0,0,MAX(0,NETWORKDAYS(MAX($K13,AX$4),MIN($L13,EOMONTH(AX$4,0)),Assumptions!$F$4:$F$44))/NETWORKDAYS($K13,$L13,Assumptions!$F$4:$F$44))</f>
        <v>0.0575</v>
      </c>
      <c r="AY13" s="21" t="n">
        <f aca="false">IF($J13=0,0,MAX(0,NETWORKDAYS(MAX($K13,AY$4),MIN($L13,EOMONTH(AY$4,0)),Assumptions!$F$4:$F$44))/NETWORKDAYS($K13,$L13,Assumptions!$F$4:$F$44))</f>
        <v>0.0175</v>
      </c>
      <c r="AZ13" s="21" t="n">
        <f aca="false">IF($J13=0,0,MAX(0,NETWORKDAYS(MAX($K13,AZ$4),MIN($L13,EOMONTH(AZ$4,0)),Assumptions!$F$4:$F$44))/NETWORKDAYS($K13,$L13,Assumptions!$F$4:$F$44))</f>
        <v>0</v>
      </c>
      <c r="BA13" s="21" t="n">
        <f aca="false">IF($J13=0,0,MAX(0,NETWORKDAYS(MAX($K13,BA$4),MIN($L13,EOMONTH(BA$4,0)),Assumptions!$F$4:$F$44))/NETWORKDAYS($K13,$L13,Assumptions!$F$4:$F$44))</f>
        <v>0</v>
      </c>
      <c r="BB13" s="21" t="n">
        <f aca="false">IF($J13=0,0,MAX(0,NETWORKDAYS(MAX($K13,BB$4),MIN($L13,EOMONTH(BB$4,0)),Assumptions!$F$4:$F$44))/NETWORKDAYS($K13,$L13,Assumptions!$F$4:$F$44))</f>
        <v>0</v>
      </c>
      <c r="BC13" s="21" t="n">
        <f aca="false">IF($J13=0,0,MAX(0,NETWORKDAYS(MAX($K13,BC$4),MIN($L13,EOMONTH(BC$4,0)),Assumptions!$F$4:$F$44))/NETWORKDAYS($K13,$L13,Assumptions!$F$4:$F$44))</f>
        <v>0</v>
      </c>
    </row>
    <row r="14" customFormat="false" ht="15" hidden="false" customHeight="false" outlineLevel="2" collapsed="false">
      <c r="A14" s="27" t="n">
        <v>10</v>
      </c>
      <c r="B14" s="27" t="s">
        <v>110</v>
      </c>
      <c r="C14" s="27" t="n">
        <v>3</v>
      </c>
      <c r="D14" s="27" t="s">
        <v>92</v>
      </c>
      <c r="E14" s="28" t="s">
        <v>111</v>
      </c>
      <c r="F14" s="27" t="s">
        <v>87</v>
      </c>
      <c r="G14" s="27"/>
      <c r="H14" s="27" t="s">
        <v>41</v>
      </c>
      <c r="I14" s="29" t="n">
        <v>100</v>
      </c>
      <c r="J14" s="29" t="n">
        <v>300</v>
      </c>
      <c r="K14" s="30" t="n">
        <f aca="false">WORKDAY(Assumptions!$C$4,I14,Assumptions!$F$4:$F$44)</f>
        <v>46468</v>
      </c>
      <c r="L14" s="30" t="n">
        <f aca="false">IF(J14=0,K14,WORKDAY(K14,J14-1,Assumptions!$F$4:$F$44))</f>
        <v>46885</v>
      </c>
      <c r="M14" s="29"/>
      <c r="N14" s="31" t="n">
        <v>12</v>
      </c>
      <c r="O14" s="31" t="n">
        <v>0</v>
      </c>
      <c r="P14" s="31" t="n">
        <v>8</v>
      </c>
      <c r="Q14" s="31" t="n">
        <v>0</v>
      </c>
      <c r="R14" s="31" t="n">
        <v>0</v>
      </c>
      <c r="S14" s="31" t="n">
        <v>0</v>
      </c>
      <c r="T14" s="31" t="n">
        <v>0</v>
      </c>
      <c r="U14" s="31" t="n">
        <v>0</v>
      </c>
      <c r="V14" s="31" t="n">
        <v>8</v>
      </c>
      <c r="W14" s="31" t="n">
        <v>0</v>
      </c>
      <c r="X14" s="31" t="n">
        <v>0</v>
      </c>
      <c r="Y14" s="32" t="n">
        <f aca="false">SUM(N14:X14)</f>
        <v>28</v>
      </c>
      <c r="Z14" s="32" t="n">
        <f aca="false">Y14*(1+Assumptions!$C$5)</f>
        <v>32.2</v>
      </c>
      <c r="AA14" s="27" t="s">
        <v>112</v>
      </c>
      <c r="AB14" s="27" t="s">
        <v>95</v>
      </c>
      <c r="AC14" s="27"/>
      <c r="AD14" s="33" t="n">
        <v>0</v>
      </c>
      <c r="AF14" s="21" t="n">
        <f aca="false">IF($J14=0,0,MAX(0,NETWORKDAYS(MAX($K14,AF$4),MIN($L14,EOMONTH(AF$4,0)),Assumptions!$F$4:$F$44))/NETWORKDAYS($K14,$L14,Assumptions!$F$4:$F$44))</f>
        <v>0</v>
      </c>
      <c r="AG14" s="21" t="n">
        <f aca="false">IF($J14=0,0,MAX(0,NETWORKDAYS(MAX($K14,AG$4),MIN($L14,EOMONTH(AG$4,0)),Assumptions!$F$4:$F$44))/NETWORKDAYS($K14,$L14,Assumptions!$F$4:$F$44))</f>
        <v>0</v>
      </c>
      <c r="AH14" s="21" t="n">
        <f aca="false">IF($J14=0,0,MAX(0,NETWORKDAYS(MAX($K14,AH$4),MIN($L14,EOMONTH(AH$4,0)),Assumptions!$F$4:$F$44))/NETWORKDAYS($K14,$L14,Assumptions!$F$4:$F$44))</f>
        <v>0</v>
      </c>
      <c r="AI14" s="21" t="n">
        <f aca="false">IF($J14=0,0,MAX(0,NETWORKDAYS(MAX($K14,AI$4),MIN($L14,EOMONTH(AI$4,0)),Assumptions!$F$4:$F$44))/NETWORKDAYS($K14,$L14,Assumptions!$F$4:$F$44))</f>
        <v>0</v>
      </c>
      <c r="AJ14" s="21" t="n">
        <f aca="false">IF($J14=0,0,MAX(0,NETWORKDAYS(MAX($K14,AJ$4),MIN($L14,EOMONTH(AJ$4,0)),Assumptions!$F$4:$F$44))/NETWORKDAYS($K14,$L14,Assumptions!$F$4:$F$44))</f>
        <v>0.0266666666666667</v>
      </c>
      <c r="AK14" s="21" t="n">
        <f aca="false">IF($J14=0,0,MAX(0,NETWORKDAYS(MAX($K14,AK$4),MIN($L14,EOMONTH(AK$4,0)),Assumptions!$F$4:$F$44))/NETWORKDAYS($K14,$L14,Assumptions!$F$4:$F$44))</f>
        <v>0.0733333333333333</v>
      </c>
      <c r="AL14" s="21" t="n">
        <f aca="false">IF($J14=0,0,MAX(0,NETWORKDAYS(MAX($K14,AL$4),MIN($L14,EOMONTH(AL$4,0)),Assumptions!$F$4:$F$44))/NETWORKDAYS($K14,$L14,Assumptions!$F$4:$F$44))</f>
        <v>0.07</v>
      </c>
      <c r="AM14" s="21" t="n">
        <f aca="false">IF($J14=0,0,MAX(0,NETWORKDAYS(MAX($K14,AM$4),MIN($L14,EOMONTH(AM$4,0)),Assumptions!$F$4:$F$44))/NETWORKDAYS($K14,$L14,Assumptions!$F$4:$F$44))</f>
        <v>0.0733333333333333</v>
      </c>
      <c r="AN14" s="21" t="n">
        <f aca="false">IF($J14=0,0,MAX(0,NETWORKDAYS(MAX($K14,AN$4),MIN($L14,EOMONTH(AN$4,0)),Assumptions!$F$4:$F$44))/NETWORKDAYS($K14,$L14,Assumptions!$F$4:$F$44))</f>
        <v>0.0733333333333333</v>
      </c>
      <c r="AO14" s="21" t="n">
        <f aca="false">IF($J14=0,0,MAX(0,NETWORKDAYS(MAX($K14,AO$4),MIN($L14,EOMONTH(AO$4,0)),Assumptions!$F$4:$F$44))/NETWORKDAYS($K14,$L14,Assumptions!$F$4:$F$44))</f>
        <v>0.0733333333333333</v>
      </c>
      <c r="AP14" s="21" t="n">
        <f aca="false">IF($J14=0,0,MAX(0,NETWORKDAYS(MAX($K14,AP$4),MIN($L14,EOMONTH(AP$4,0)),Assumptions!$F$4:$F$44))/NETWORKDAYS($K14,$L14,Assumptions!$F$4:$F$44))</f>
        <v>0.0733333333333333</v>
      </c>
      <c r="AQ14" s="21" t="n">
        <f aca="false">IF($J14=0,0,MAX(0,NETWORKDAYS(MAX($K14,AQ$4),MIN($L14,EOMONTH(AQ$4,0)),Assumptions!$F$4:$F$44))/NETWORKDAYS($K14,$L14,Assumptions!$F$4:$F$44))</f>
        <v>0.07</v>
      </c>
      <c r="AR14" s="21" t="n">
        <f aca="false">IF($J14=0,0,MAX(0,NETWORKDAYS(MAX($K14,AR$4),MIN($L14,EOMONTH(AR$4,0)),Assumptions!$F$4:$F$44))/NETWORKDAYS($K14,$L14,Assumptions!$F$4:$F$44))</f>
        <v>0.0733333333333333</v>
      </c>
      <c r="AS14" s="21" t="n">
        <f aca="false">IF($J14=0,0,MAX(0,NETWORKDAYS(MAX($K14,AS$4),MIN($L14,EOMONTH(AS$4,0)),Assumptions!$F$4:$F$44))/NETWORKDAYS($K14,$L14,Assumptions!$F$4:$F$44))</f>
        <v>0.0766666666666667</v>
      </c>
      <c r="AT14" s="21" t="n">
        <f aca="false">IF($J14=0,0,MAX(0,NETWORKDAYS(MAX($K14,AT$4),MIN($L14,EOMONTH(AT$4,0)),Assumptions!$F$4:$F$44))/NETWORKDAYS($K14,$L14,Assumptions!$F$4:$F$44))</f>
        <v>0.07</v>
      </c>
      <c r="AU14" s="21" t="n">
        <f aca="false">IF($J14=0,0,MAX(0,NETWORKDAYS(MAX($K14,AU$4),MIN($L14,EOMONTH(AU$4,0)),Assumptions!$F$4:$F$44))/NETWORKDAYS($K14,$L14,Assumptions!$F$4:$F$44))</f>
        <v>0.07</v>
      </c>
      <c r="AV14" s="21" t="n">
        <f aca="false">IF($J14=0,0,MAX(0,NETWORKDAYS(MAX($K14,AV$4),MIN($L14,EOMONTH(AV$4,0)),Assumptions!$F$4:$F$44))/NETWORKDAYS($K14,$L14,Assumptions!$F$4:$F$44))</f>
        <v>0.0766666666666667</v>
      </c>
      <c r="AW14" s="21" t="n">
        <f aca="false">IF($J14=0,0,MAX(0,NETWORKDAYS(MAX($K14,AW$4),MIN($L14,EOMONTH(AW$4,0)),Assumptions!$F$4:$F$44))/NETWORKDAYS($K14,$L14,Assumptions!$F$4:$F$44))</f>
        <v>0.0666666666666667</v>
      </c>
      <c r="AX14" s="21" t="n">
        <f aca="false">IF($J14=0,0,MAX(0,NETWORKDAYS(MAX($K14,AX$4),MIN($L14,EOMONTH(AX$4,0)),Assumptions!$F$4:$F$44))/NETWORKDAYS($K14,$L14,Assumptions!$F$4:$F$44))</f>
        <v>0.0333333333333333</v>
      </c>
      <c r="AY14" s="21" t="n">
        <f aca="false">IF($J14=0,0,MAX(0,NETWORKDAYS(MAX($K14,AY$4),MIN($L14,EOMONTH(AY$4,0)),Assumptions!$F$4:$F$44))/NETWORKDAYS($K14,$L14,Assumptions!$F$4:$F$44))</f>
        <v>0</v>
      </c>
      <c r="AZ14" s="21" t="n">
        <f aca="false">IF($J14=0,0,MAX(0,NETWORKDAYS(MAX($K14,AZ$4),MIN($L14,EOMONTH(AZ$4,0)),Assumptions!$F$4:$F$44))/NETWORKDAYS($K14,$L14,Assumptions!$F$4:$F$44))</f>
        <v>0</v>
      </c>
      <c r="BA14" s="21" t="n">
        <f aca="false">IF($J14=0,0,MAX(0,NETWORKDAYS(MAX($K14,BA$4),MIN($L14,EOMONTH(BA$4,0)),Assumptions!$F$4:$F$44))/NETWORKDAYS($K14,$L14,Assumptions!$F$4:$F$44))</f>
        <v>0</v>
      </c>
      <c r="BB14" s="21" t="n">
        <f aca="false">IF($J14=0,0,MAX(0,NETWORKDAYS(MAX($K14,BB$4),MIN($L14,EOMONTH(BB$4,0)),Assumptions!$F$4:$F$44))/NETWORKDAYS($K14,$L14,Assumptions!$F$4:$F$44))</f>
        <v>0</v>
      </c>
      <c r="BC14" s="21" t="n">
        <f aca="false">IF($J14=0,0,MAX(0,NETWORKDAYS(MAX($K14,BC$4),MIN($L14,EOMONTH(BC$4,0)),Assumptions!$F$4:$F$44))/NETWORKDAYS($K14,$L14,Assumptions!$F$4:$F$44))</f>
        <v>0</v>
      </c>
    </row>
    <row r="15" customFormat="false" ht="15" hidden="false" customHeight="false" outlineLevel="0" collapsed="false">
      <c r="A15" s="17" t="n">
        <v>11</v>
      </c>
      <c r="B15" s="17" t="s">
        <v>113</v>
      </c>
      <c r="C15" s="17" t="n">
        <v>1</v>
      </c>
      <c r="D15" s="17" t="s">
        <v>71</v>
      </c>
      <c r="E15" s="17" t="s">
        <v>114</v>
      </c>
      <c r="F15" s="17" t="s">
        <v>115</v>
      </c>
      <c r="G15" s="17"/>
      <c r="H15" s="17"/>
      <c r="I15" s="17"/>
      <c r="J15" s="17" t="n">
        <f aca="false">NETWORKDAYS(K15,L15,Assumptions!$F$4:$F$44)</f>
        <v>26</v>
      </c>
      <c r="K15" s="18" t="n">
        <f aca="false">MIN(K16:K27)</f>
        <v>46328</v>
      </c>
      <c r="L15" s="18" t="n">
        <f aca="false">MAX(L16:L27)</f>
        <v>46363</v>
      </c>
      <c r="M15" s="17"/>
      <c r="N15" s="19" t="n">
        <f aca="false">SUMPRODUCT(($C$16:$C$27=3)*(N16:N27))</f>
        <v>18</v>
      </c>
      <c r="O15" s="19" t="n">
        <f aca="false">SUMPRODUCT(($C$16:$C$27=3)*(O16:O27))</f>
        <v>50</v>
      </c>
      <c r="P15" s="19" t="n">
        <f aca="false">SUMPRODUCT(($C$16:$C$27=3)*(P16:P27))</f>
        <v>30</v>
      </c>
      <c r="Q15" s="19" t="n">
        <f aca="false">SUMPRODUCT(($C$16:$C$27=3)*(Q16:Q27))</f>
        <v>3</v>
      </c>
      <c r="R15" s="19" t="n">
        <f aca="false">SUMPRODUCT(($C$16:$C$27=3)*(R16:R27))</f>
        <v>15</v>
      </c>
      <c r="S15" s="19" t="n">
        <f aca="false">SUMPRODUCT(($C$16:$C$27=3)*(S16:S27))</f>
        <v>0</v>
      </c>
      <c r="T15" s="19" t="n">
        <f aca="false">SUMPRODUCT(($C$16:$C$27=3)*(T16:T27))</f>
        <v>0</v>
      </c>
      <c r="U15" s="19" t="n">
        <f aca="false">SUMPRODUCT(($C$16:$C$27=3)*(U16:U27))</f>
        <v>34</v>
      </c>
      <c r="V15" s="19" t="n">
        <f aca="false">SUMPRODUCT(($C$16:$C$27=3)*(V16:V27))</f>
        <v>0</v>
      </c>
      <c r="W15" s="19" t="n">
        <f aca="false">SUMPRODUCT(($C$16:$C$27=3)*(W16:W27))</f>
        <v>10</v>
      </c>
      <c r="X15" s="19" t="n">
        <f aca="false">SUMPRODUCT(($C$16:$C$27=3)*(X16:X27))</f>
        <v>0</v>
      </c>
      <c r="Y15" s="19" t="n">
        <f aca="false">SUM(N15:X15)</f>
        <v>160</v>
      </c>
      <c r="Z15" s="19" t="n">
        <f aca="false">Y15*(1+Assumptions!$C$5)</f>
        <v>184</v>
      </c>
      <c r="AA15" s="17"/>
      <c r="AB15" s="17"/>
      <c r="AC15" s="17"/>
      <c r="AD15" s="20"/>
      <c r="AF15" s="21" t="n">
        <v>0</v>
      </c>
      <c r="AG15" s="21" t="n">
        <v>0</v>
      </c>
      <c r="AH15" s="21" t="n">
        <v>0</v>
      </c>
      <c r="AI15" s="21" t="n">
        <v>0</v>
      </c>
      <c r="AJ15" s="21" t="n">
        <v>0</v>
      </c>
      <c r="AK15" s="21" t="n">
        <v>0</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row>
    <row r="16" customFormat="false" ht="15" hidden="false" customHeight="false" outlineLevel="1" collapsed="false">
      <c r="A16" s="22" t="n">
        <v>12</v>
      </c>
      <c r="B16" s="22" t="s">
        <v>116</v>
      </c>
      <c r="C16" s="22" t="n">
        <v>2</v>
      </c>
      <c r="D16" s="22" t="s">
        <v>89</v>
      </c>
      <c r="E16" s="23" t="s">
        <v>117</v>
      </c>
      <c r="F16" s="22" t="s">
        <v>115</v>
      </c>
      <c r="G16" s="22"/>
      <c r="H16" s="22"/>
      <c r="I16" s="22"/>
      <c r="J16" s="22" t="n">
        <f aca="false">NETWORKDAYS(K16,L16,Assumptions!$F$4:$F$44)</f>
        <v>25</v>
      </c>
      <c r="K16" s="24" t="n">
        <f aca="false">MIN(K17:K20)</f>
        <v>46328</v>
      </c>
      <c r="L16" s="24" t="n">
        <f aca="false">MAX(L17:L20)</f>
        <v>46360</v>
      </c>
      <c r="M16" s="22"/>
      <c r="N16" s="25" t="n">
        <f aca="false">SUMPRODUCT(($C$17:$C$20=3)*(N17:N20))</f>
        <v>11</v>
      </c>
      <c r="O16" s="25" t="n">
        <f aca="false">SUMPRODUCT(($C$17:$C$20=3)*(O17:O20))</f>
        <v>5</v>
      </c>
      <c r="P16" s="25" t="n">
        <f aca="false">SUMPRODUCT(($C$17:$C$20=3)*(P17:P20))</f>
        <v>11</v>
      </c>
      <c r="Q16" s="25" t="n">
        <f aca="false">SUMPRODUCT(($C$17:$C$20=3)*(Q17:Q20))</f>
        <v>0</v>
      </c>
      <c r="R16" s="25" t="n">
        <f aca="false">SUMPRODUCT(($C$17:$C$20=3)*(R17:R20))</f>
        <v>0</v>
      </c>
      <c r="S16" s="25" t="n">
        <f aca="false">SUMPRODUCT(($C$17:$C$20=3)*(S17:S20))</f>
        <v>0</v>
      </c>
      <c r="T16" s="25" t="n">
        <f aca="false">SUMPRODUCT(($C$17:$C$20=3)*(T17:T20))</f>
        <v>0</v>
      </c>
      <c r="U16" s="25" t="n">
        <f aca="false">SUMPRODUCT(($C$17:$C$20=3)*(U17:U20))</f>
        <v>31</v>
      </c>
      <c r="V16" s="25" t="n">
        <f aca="false">SUMPRODUCT(($C$17:$C$20=3)*(V17:V20))</f>
        <v>0</v>
      </c>
      <c r="W16" s="25" t="n">
        <f aca="false">SUMPRODUCT(($C$17:$C$20=3)*(W17:W20))</f>
        <v>0</v>
      </c>
      <c r="X16" s="25" t="n">
        <f aca="false">SUMPRODUCT(($C$17:$C$20=3)*(X17:X20))</f>
        <v>0</v>
      </c>
      <c r="Y16" s="25" t="n">
        <f aca="false">SUM(N16:X16)</f>
        <v>58</v>
      </c>
      <c r="Z16" s="25" t="n">
        <f aca="false">Y16*(1+Assumptions!$C$5)</f>
        <v>66.7</v>
      </c>
      <c r="AA16" s="22"/>
      <c r="AB16" s="22"/>
      <c r="AC16" s="22"/>
      <c r="AD16" s="26"/>
      <c r="AF16" s="21" t="n">
        <v>0</v>
      </c>
      <c r="AG16" s="21" t="n">
        <v>0</v>
      </c>
      <c r="AH16" s="21" t="n">
        <v>0</v>
      </c>
      <c r="AI16" s="21" t="n">
        <v>0</v>
      </c>
      <c r="AJ16" s="21" t="n">
        <v>0</v>
      </c>
      <c r="AK16" s="21" t="n">
        <v>0</v>
      </c>
      <c r="AL16" s="21" t="n">
        <v>0</v>
      </c>
      <c r="AM16" s="21" t="n">
        <v>0</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1" t="n">
        <v>0</v>
      </c>
      <c r="BC16" s="21" t="n">
        <v>0</v>
      </c>
    </row>
    <row r="17" customFormat="false" ht="15" hidden="false" customHeight="false" outlineLevel="2" collapsed="false">
      <c r="A17" s="27" t="n">
        <v>13</v>
      </c>
      <c r="B17" s="27" t="s">
        <v>118</v>
      </c>
      <c r="C17" s="27" t="n">
        <v>3</v>
      </c>
      <c r="D17" s="27" t="s">
        <v>92</v>
      </c>
      <c r="E17" s="28" t="s">
        <v>119</v>
      </c>
      <c r="F17" s="27" t="s">
        <v>115</v>
      </c>
      <c r="G17" s="27"/>
      <c r="H17" s="27" t="s">
        <v>41</v>
      </c>
      <c r="I17" s="29" t="n">
        <v>0</v>
      </c>
      <c r="J17" s="29" t="n">
        <v>5</v>
      </c>
      <c r="K17" s="30" t="n">
        <f aca="false">WORKDAY(Assumptions!$C$4,I17,Assumptions!$F$4:$F$44)</f>
        <v>46328</v>
      </c>
      <c r="L17" s="30" t="n">
        <f aca="false">IF(J17=0,K17,WORKDAY(K17,J17-1,Assumptions!$F$4:$F$44))</f>
        <v>46332</v>
      </c>
      <c r="M17" s="29"/>
      <c r="N17" s="31" t="n">
        <v>5</v>
      </c>
      <c r="O17" s="31" t="n">
        <v>5</v>
      </c>
      <c r="P17" s="31" t="n">
        <v>3</v>
      </c>
      <c r="Q17" s="31" t="n">
        <v>0</v>
      </c>
      <c r="R17" s="31" t="n">
        <v>0</v>
      </c>
      <c r="S17" s="31" t="n">
        <v>0</v>
      </c>
      <c r="T17" s="31" t="n">
        <v>0</v>
      </c>
      <c r="U17" s="31" t="n">
        <v>0</v>
      </c>
      <c r="V17" s="31" t="n">
        <v>0</v>
      </c>
      <c r="W17" s="31" t="n">
        <v>0</v>
      </c>
      <c r="X17" s="31" t="n">
        <v>0</v>
      </c>
      <c r="Y17" s="32" t="n">
        <f aca="false">SUM(N17:X17)</f>
        <v>13</v>
      </c>
      <c r="Z17" s="32" t="n">
        <f aca="false">Y17*(1+Assumptions!$C$5)</f>
        <v>14.95</v>
      </c>
      <c r="AA17" s="27" t="s">
        <v>120</v>
      </c>
      <c r="AB17" s="27" t="s">
        <v>95</v>
      </c>
      <c r="AC17" s="27"/>
      <c r="AD17" s="33" t="n">
        <v>0</v>
      </c>
      <c r="AF17" s="21" t="n">
        <f aca="false">IF($J17=0,0,MAX(0,NETWORKDAYS(MAX($K17,AF$4),MIN($L17,EOMONTH(AF$4,0)),Assumptions!$F$4:$F$44))/NETWORKDAYS($K17,$L17,Assumptions!$F$4:$F$44))</f>
        <v>1</v>
      </c>
      <c r="AG17" s="21" t="n">
        <f aca="false">IF($J17=0,0,MAX(0,NETWORKDAYS(MAX($K17,AG$4),MIN($L17,EOMONTH(AG$4,0)),Assumptions!$F$4:$F$44))/NETWORKDAYS($K17,$L17,Assumptions!$F$4:$F$44))</f>
        <v>0</v>
      </c>
      <c r="AH17" s="21" t="n">
        <f aca="false">IF($J17=0,0,MAX(0,NETWORKDAYS(MAX($K17,AH$4),MIN($L17,EOMONTH(AH$4,0)),Assumptions!$F$4:$F$44))/NETWORKDAYS($K17,$L17,Assumptions!$F$4:$F$44))</f>
        <v>0</v>
      </c>
      <c r="AI17" s="21" t="n">
        <f aca="false">IF($J17=0,0,MAX(0,NETWORKDAYS(MAX($K17,AI$4),MIN($L17,EOMONTH(AI$4,0)),Assumptions!$F$4:$F$44))/NETWORKDAYS($K17,$L17,Assumptions!$F$4:$F$44))</f>
        <v>0</v>
      </c>
      <c r="AJ17" s="21" t="n">
        <f aca="false">IF($J17=0,0,MAX(0,NETWORKDAYS(MAX($K17,AJ$4),MIN($L17,EOMONTH(AJ$4,0)),Assumptions!$F$4:$F$44))/NETWORKDAYS($K17,$L17,Assumptions!$F$4:$F$44))</f>
        <v>0</v>
      </c>
      <c r="AK17" s="21" t="n">
        <f aca="false">IF($J17=0,0,MAX(0,NETWORKDAYS(MAX($K17,AK$4),MIN($L17,EOMONTH(AK$4,0)),Assumptions!$F$4:$F$44))/NETWORKDAYS($K17,$L17,Assumptions!$F$4:$F$44))</f>
        <v>0</v>
      </c>
      <c r="AL17" s="21" t="n">
        <f aca="false">IF($J17=0,0,MAX(0,NETWORKDAYS(MAX($K17,AL$4),MIN($L17,EOMONTH(AL$4,0)),Assumptions!$F$4:$F$44))/NETWORKDAYS($K17,$L17,Assumptions!$F$4:$F$44))</f>
        <v>0</v>
      </c>
      <c r="AM17" s="21" t="n">
        <f aca="false">IF($J17=0,0,MAX(0,NETWORKDAYS(MAX($K17,AM$4),MIN($L17,EOMONTH(AM$4,0)),Assumptions!$F$4:$F$44))/NETWORKDAYS($K17,$L17,Assumptions!$F$4:$F$44))</f>
        <v>0</v>
      </c>
      <c r="AN17" s="21" t="n">
        <f aca="false">IF($J17=0,0,MAX(0,NETWORKDAYS(MAX($K17,AN$4),MIN($L17,EOMONTH(AN$4,0)),Assumptions!$F$4:$F$44))/NETWORKDAYS($K17,$L17,Assumptions!$F$4:$F$44))</f>
        <v>0</v>
      </c>
      <c r="AO17" s="21" t="n">
        <f aca="false">IF($J17=0,0,MAX(0,NETWORKDAYS(MAX($K17,AO$4),MIN($L17,EOMONTH(AO$4,0)),Assumptions!$F$4:$F$44))/NETWORKDAYS($K17,$L17,Assumptions!$F$4:$F$44))</f>
        <v>0</v>
      </c>
      <c r="AP17" s="21" t="n">
        <f aca="false">IF($J17=0,0,MAX(0,NETWORKDAYS(MAX($K17,AP$4),MIN($L17,EOMONTH(AP$4,0)),Assumptions!$F$4:$F$44))/NETWORKDAYS($K17,$L17,Assumptions!$F$4:$F$44))</f>
        <v>0</v>
      </c>
      <c r="AQ17" s="21" t="n">
        <f aca="false">IF($J17=0,0,MAX(0,NETWORKDAYS(MAX($K17,AQ$4),MIN($L17,EOMONTH(AQ$4,0)),Assumptions!$F$4:$F$44))/NETWORKDAYS($K17,$L17,Assumptions!$F$4:$F$44))</f>
        <v>0</v>
      </c>
      <c r="AR17" s="21" t="n">
        <f aca="false">IF($J17=0,0,MAX(0,NETWORKDAYS(MAX($K17,AR$4),MIN($L17,EOMONTH(AR$4,0)),Assumptions!$F$4:$F$44))/NETWORKDAYS($K17,$L17,Assumptions!$F$4:$F$44))</f>
        <v>0</v>
      </c>
      <c r="AS17" s="21" t="n">
        <f aca="false">IF($J17=0,0,MAX(0,NETWORKDAYS(MAX($K17,AS$4),MIN($L17,EOMONTH(AS$4,0)),Assumptions!$F$4:$F$44))/NETWORKDAYS($K17,$L17,Assumptions!$F$4:$F$44))</f>
        <v>0</v>
      </c>
      <c r="AT17" s="21" t="n">
        <f aca="false">IF($J17=0,0,MAX(0,NETWORKDAYS(MAX($K17,AT$4),MIN($L17,EOMONTH(AT$4,0)),Assumptions!$F$4:$F$44))/NETWORKDAYS($K17,$L17,Assumptions!$F$4:$F$44))</f>
        <v>0</v>
      </c>
      <c r="AU17" s="21" t="n">
        <f aca="false">IF($J17=0,0,MAX(0,NETWORKDAYS(MAX($K17,AU$4),MIN($L17,EOMONTH(AU$4,0)),Assumptions!$F$4:$F$44))/NETWORKDAYS($K17,$L17,Assumptions!$F$4:$F$44))</f>
        <v>0</v>
      </c>
      <c r="AV17" s="21" t="n">
        <f aca="false">IF($J17=0,0,MAX(0,NETWORKDAYS(MAX($K17,AV$4),MIN($L17,EOMONTH(AV$4,0)),Assumptions!$F$4:$F$44))/NETWORKDAYS($K17,$L17,Assumptions!$F$4:$F$44))</f>
        <v>0</v>
      </c>
      <c r="AW17" s="21" t="n">
        <f aca="false">IF($J17=0,0,MAX(0,NETWORKDAYS(MAX($K17,AW$4),MIN($L17,EOMONTH(AW$4,0)),Assumptions!$F$4:$F$44))/NETWORKDAYS($K17,$L17,Assumptions!$F$4:$F$44))</f>
        <v>0</v>
      </c>
      <c r="AX17" s="21" t="n">
        <f aca="false">IF($J17=0,0,MAX(0,NETWORKDAYS(MAX($K17,AX$4),MIN($L17,EOMONTH(AX$4,0)),Assumptions!$F$4:$F$44))/NETWORKDAYS($K17,$L17,Assumptions!$F$4:$F$44))</f>
        <v>0</v>
      </c>
      <c r="AY17" s="21" t="n">
        <f aca="false">IF($J17=0,0,MAX(0,NETWORKDAYS(MAX($K17,AY$4),MIN($L17,EOMONTH(AY$4,0)),Assumptions!$F$4:$F$44))/NETWORKDAYS($K17,$L17,Assumptions!$F$4:$F$44))</f>
        <v>0</v>
      </c>
      <c r="AZ17" s="21" t="n">
        <f aca="false">IF($J17=0,0,MAX(0,NETWORKDAYS(MAX($K17,AZ$4),MIN($L17,EOMONTH(AZ$4,0)),Assumptions!$F$4:$F$44))/NETWORKDAYS($K17,$L17,Assumptions!$F$4:$F$44))</f>
        <v>0</v>
      </c>
      <c r="BA17" s="21" t="n">
        <f aca="false">IF($J17=0,0,MAX(0,NETWORKDAYS(MAX($K17,BA$4),MIN($L17,EOMONTH(BA$4,0)),Assumptions!$F$4:$F$44))/NETWORKDAYS($K17,$L17,Assumptions!$F$4:$F$44))</f>
        <v>0</v>
      </c>
      <c r="BB17" s="21" t="n">
        <f aca="false">IF($J17=0,0,MAX(0,NETWORKDAYS(MAX($K17,BB$4),MIN($L17,EOMONTH(BB$4,0)),Assumptions!$F$4:$F$44))/NETWORKDAYS($K17,$L17,Assumptions!$F$4:$F$44))</f>
        <v>0</v>
      </c>
      <c r="BC17" s="21" t="n">
        <f aca="false">IF($J17=0,0,MAX(0,NETWORKDAYS(MAX($K17,BC$4),MIN($L17,EOMONTH(BC$4,0)),Assumptions!$F$4:$F$44))/NETWORKDAYS($K17,$L17,Assumptions!$F$4:$F$44))</f>
        <v>0</v>
      </c>
    </row>
    <row r="18" customFormat="false" ht="15" hidden="false" customHeight="false" outlineLevel="2" collapsed="false">
      <c r="A18" s="27" t="n">
        <v>14</v>
      </c>
      <c r="B18" s="27" t="s">
        <v>121</v>
      </c>
      <c r="C18" s="27" t="n">
        <v>3</v>
      </c>
      <c r="D18" s="27" t="s">
        <v>92</v>
      </c>
      <c r="E18" s="28" t="s">
        <v>122</v>
      </c>
      <c r="F18" s="27" t="s">
        <v>115</v>
      </c>
      <c r="G18" s="27"/>
      <c r="H18" s="27" t="s">
        <v>55</v>
      </c>
      <c r="I18" s="29" t="n">
        <v>0</v>
      </c>
      <c r="J18" s="29" t="n">
        <v>10</v>
      </c>
      <c r="K18" s="30" t="n">
        <f aca="false">WORKDAY(Assumptions!$C$4,I18,Assumptions!$F$4:$F$44)</f>
        <v>46328</v>
      </c>
      <c r="L18" s="30" t="n">
        <f aca="false">IF(J18=0,K18,WORKDAY(K18,J18-1,Assumptions!$F$4:$F$44))</f>
        <v>46339</v>
      </c>
      <c r="M18" s="29"/>
      <c r="N18" s="31" t="n">
        <v>2</v>
      </c>
      <c r="O18" s="31" t="n">
        <v>0</v>
      </c>
      <c r="P18" s="31" t="n">
        <v>3</v>
      </c>
      <c r="Q18" s="31" t="n">
        <v>0</v>
      </c>
      <c r="R18" s="31" t="n">
        <v>0</v>
      </c>
      <c r="S18" s="31" t="n">
        <v>0</v>
      </c>
      <c r="T18" s="31" t="n">
        <v>0</v>
      </c>
      <c r="U18" s="31" t="n">
        <v>10</v>
      </c>
      <c r="V18" s="31" t="n">
        <v>0</v>
      </c>
      <c r="W18" s="31" t="n">
        <v>0</v>
      </c>
      <c r="X18" s="31" t="n">
        <v>0</v>
      </c>
      <c r="Y18" s="32" t="n">
        <f aca="false">SUM(N18:X18)</f>
        <v>15</v>
      </c>
      <c r="Z18" s="32" t="n">
        <f aca="false">Y18*(1+Assumptions!$C$5)</f>
        <v>17.25</v>
      </c>
      <c r="AA18" s="27" t="s">
        <v>123</v>
      </c>
      <c r="AB18" s="27" t="s">
        <v>95</v>
      </c>
      <c r="AC18" s="27"/>
      <c r="AD18" s="33" t="n">
        <v>0</v>
      </c>
      <c r="AF18" s="21" t="n">
        <f aca="false">IF($J18=0,0,MAX(0,NETWORKDAYS(MAX($K18,AF$4),MIN($L18,EOMONTH(AF$4,0)),Assumptions!$F$4:$F$44))/NETWORKDAYS($K18,$L18,Assumptions!$F$4:$F$44))</f>
        <v>1</v>
      </c>
      <c r="AG18" s="21" t="n">
        <f aca="false">IF($J18=0,0,MAX(0,NETWORKDAYS(MAX($K18,AG$4),MIN($L18,EOMONTH(AG$4,0)),Assumptions!$F$4:$F$44))/NETWORKDAYS($K18,$L18,Assumptions!$F$4:$F$44))</f>
        <v>0</v>
      </c>
      <c r="AH18" s="21" t="n">
        <f aca="false">IF($J18=0,0,MAX(0,NETWORKDAYS(MAX($K18,AH$4),MIN($L18,EOMONTH(AH$4,0)),Assumptions!$F$4:$F$44))/NETWORKDAYS($K18,$L18,Assumptions!$F$4:$F$44))</f>
        <v>0</v>
      </c>
      <c r="AI18" s="21" t="n">
        <f aca="false">IF($J18=0,0,MAX(0,NETWORKDAYS(MAX($K18,AI$4),MIN($L18,EOMONTH(AI$4,0)),Assumptions!$F$4:$F$44))/NETWORKDAYS($K18,$L18,Assumptions!$F$4:$F$44))</f>
        <v>0</v>
      </c>
      <c r="AJ18" s="21" t="n">
        <f aca="false">IF($J18=0,0,MAX(0,NETWORKDAYS(MAX($K18,AJ$4),MIN($L18,EOMONTH(AJ$4,0)),Assumptions!$F$4:$F$44))/NETWORKDAYS($K18,$L18,Assumptions!$F$4:$F$44))</f>
        <v>0</v>
      </c>
      <c r="AK18" s="21" t="n">
        <f aca="false">IF($J18=0,0,MAX(0,NETWORKDAYS(MAX($K18,AK$4),MIN($L18,EOMONTH(AK$4,0)),Assumptions!$F$4:$F$44))/NETWORKDAYS($K18,$L18,Assumptions!$F$4:$F$44))</f>
        <v>0</v>
      </c>
      <c r="AL18" s="21" t="n">
        <f aca="false">IF($J18=0,0,MAX(0,NETWORKDAYS(MAX($K18,AL$4),MIN($L18,EOMONTH(AL$4,0)),Assumptions!$F$4:$F$44))/NETWORKDAYS($K18,$L18,Assumptions!$F$4:$F$44))</f>
        <v>0</v>
      </c>
      <c r="AM18" s="21" t="n">
        <f aca="false">IF($J18=0,0,MAX(0,NETWORKDAYS(MAX($K18,AM$4),MIN($L18,EOMONTH(AM$4,0)),Assumptions!$F$4:$F$44))/NETWORKDAYS($K18,$L18,Assumptions!$F$4:$F$44))</f>
        <v>0</v>
      </c>
      <c r="AN18" s="21" t="n">
        <f aca="false">IF($J18=0,0,MAX(0,NETWORKDAYS(MAX($K18,AN$4),MIN($L18,EOMONTH(AN$4,0)),Assumptions!$F$4:$F$44))/NETWORKDAYS($K18,$L18,Assumptions!$F$4:$F$44))</f>
        <v>0</v>
      </c>
      <c r="AO18" s="21" t="n">
        <f aca="false">IF($J18=0,0,MAX(0,NETWORKDAYS(MAX($K18,AO$4),MIN($L18,EOMONTH(AO$4,0)),Assumptions!$F$4:$F$44))/NETWORKDAYS($K18,$L18,Assumptions!$F$4:$F$44))</f>
        <v>0</v>
      </c>
      <c r="AP18" s="21" t="n">
        <f aca="false">IF($J18=0,0,MAX(0,NETWORKDAYS(MAX($K18,AP$4),MIN($L18,EOMONTH(AP$4,0)),Assumptions!$F$4:$F$44))/NETWORKDAYS($K18,$L18,Assumptions!$F$4:$F$44))</f>
        <v>0</v>
      </c>
      <c r="AQ18" s="21" t="n">
        <f aca="false">IF($J18=0,0,MAX(0,NETWORKDAYS(MAX($K18,AQ$4),MIN($L18,EOMONTH(AQ$4,0)),Assumptions!$F$4:$F$44))/NETWORKDAYS($K18,$L18,Assumptions!$F$4:$F$44))</f>
        <v>0</v>
      </c>
      <c r="AR18" s="21" t="n">
        <f aca="false">IF($J18=0,0,MAX(0,NETWORKDAYS(MAX($K18,AR$4),MIN($L18,EOMONTH(AR$4,0)),Assumptions!$F$4:$F$44))/NETWORKDAYS($K18,$L18,Assumptions!$F$4:$F$44))</f>
        <v>0</v>
      </c>
      <c r="AS18" s="21" t="n">
        <f aca="false">IF($J18=0,0,MAX(0,NETWORKDAYS(MAX($K18,AS$4),MIN($L18,EOMONTH(AS$4,0)),Assumptions!$F$4:$F$44))/NETWORKDAYS($K18,$L18,Assumptions!$F$4:$F$44))</f>
        <v>0</v>
      </c>
      <c r="AT18" s="21" t="n">
        <f aca="false">IF($J18=0,0,MAX(0,NETWORKDAYS(MAX($K18,AT$4),MIN($L18,EOMONTH(AT$4,0)),Assumptions!$F$4:$F$44))/NETWORKDAYS($K18,$L18,Assumptions!$F$4:$F$44))</f>
        <v>0</v>
      </c>
      <c r="AU18" s="21" t="n">
        <f aca="false">IF($J18=0,0,MAX(0,NETWORKDAYS(MAX($K18,AU$4),MIN($L18,EOMONTH(AU$4,0)),Assumptions!$F$4:$F$44))/NETWORKDAYS($K18,$L18,Assumptions!$F$4:$F$44))</f>
        <v>0</v>
      </c>
      <c r="AV18" s="21" t="n">
        <f aca="false">IF($J18=0,0,MAX(0,NETWORKDAYS(MAX($K18,AV$4),MIN($L18,EOMONTH(AV$4,0)),Assumptions!$F$4:$F$44))/NETWORKDAYS($K18,$L18,Assumptions!$F$4:$F$44))</f>
        <v>0</v>
      </c>
      <c r="AW18" s="21" t="n">
        <f aca="false">IF($J18=0,0,MAX(0,NETWORKDAYS(MAX($K18,AW$4),MIN($L18,EOMONTH(AW$4,0)),Assumptions!$F$4:$F$44))/NETWORKDAYS($K18,$L18,Assumptions!$F$4:$F$44))</f>
        <v>0</v>
      </c>
      <c r="AX18" s="21" t="n">
        <f aca="false">IF($J18=0,0,MAX(0,NETWORKDAYS(MAX($K18,AX$4),MIN($L18,EOMONTH(AX$4,0)),Assumptions!$F$4:$F$44))/NETWORKDAYS($K18,$L18,Assumptions!$F$4:$F$44))</f>
        <v>0</v>
      </c>
      <c r="AY18" s="21" t="n">
        <f aca="false">IF($J18=0,0,MAX(0,NETWORKDAYS(MAX($K18,AY$4),MIN($L18,EOMONTH(AY$4,0)),Assumptions!$F$4:$F$44))/NETWORKDAYS($K18,$L18,Assumptions!$F$4:$F$44))</f>
        <v>0</v>
      </c>
      <c r="AZ18" s="21" t="n">
        <f aca="false">IF($J18=0,0,MAX(0,NETWORKDAYS(MAX($K18,AZ$4),MIN($L18,EOMONTH(AZ$4,0)),Assumptions!$F$4:$F$44))/NETWORKDAYS($K18,$L18,Assumptions!$F$4:$F$44))</f>
        <v>0</v>
      </c>
      <c r="BA18" s="21" t="n">
        <f aca="false">IF($J18=0,0,MAX(0,NETWORKDAYS(MAX($K18,BA$4),MIN($L18,EOMONTH(BA$4,0)),Assumptions!$F$4:$F$44))/NETWORKDAYS($K18,$L18,Assumptions!$F$4:$F$44))</f>
        <v>0</v>
      </c>
      <c r="BB18" s="21" t="n">
        <f aca="false">IF($J18=0,0,MAX(0,NETWORKDAYS(MAX($K18,BB$4),MIN($L18,EOMONTH(BB$4,0)),Assumptions!$F$4:$F$44))/NETWORKDAYS($K18,$L18,Assumptions!$F$4:$F$44))</f>
        <v>0</v>
      </c>
      <c r="BC18" s="21" t="n">
        <f aca="false">IF($J18=0,0,MAX(0,NETWORKDAYS(MAX($K18,BC$4),MIN($L18,EOMONTH(BC$4,0)),Assumptions!$F$4:$F$44))/NETWORKDAYS($K18,$L18,Assumptions!$F$4:$F$44))</f>
        <v>0</v>
      </c>
    </row>
    <row r="19" customFormat="false" ht="15" hidden="false" customHeight="false" outlineLevel="2" collapsed="false">
      <c r="A19" s="27" t="n">
        <v>15</v>
      </c>
      <c r="B19" s="27" t="s">
        <v>124</v>
      </c>
      <c r="C19" s="27" t="n">
        <v>3</v>
      </c>
      <c r="D19" s="27" t="s">
        <v>92</v>
      </c>
      <c r="E19" s="28" t="s">
        <v>125</v>
      </c>
      <c r="F19" s="27" t="s">
        <v>115</v>
      </c>
      <c r="G19" s="27"/>
      <c r="H19" s="27" t="s">
        <v>55</v>
      </c>
      <c r="I19" s="29" t="n">
        <v>3</v>
      </c>
      <c r="J19" s="29" t="n">
        <v>15</v>
      </c>
      <c r="K19" s="30" t="n">
        <f aca="false">WORKDAY(Assumptions!$C$4,I19,Assumptions!$F$4:$F$44)</f>
        <v>46331</v>
      </c>
      <c r="L19" s="30" t="n">
        <f aca="false">IF(J19=0,K19,WORKDAY(K19,J19-1,Assumptions!$F$4:$F$44))</f>
        <v>46351</v>
      </c>
      <c r="M19" s="29"/>
      <c r="N19" s="31" t="n">
        <v>0</v>
      </c>
      <c r="O19" s="31" t="n">
        <v>0</v>
      </c>
      <c r="P19" s="31" t="n">
        <v>3</v>
      </c>
      <c r="Q19" s="31" t="n">
        <v>0</v>
      </c>
      <c r="R19" s="31" t="n">
        <v>0</v>
      </c>
      <c r="S19" s="31" t="n">
        <v>0</v>
      </c>
      <c r="T19" s="31" t="n">
        <v>0</v>
      </c>
      <c r="U19" s="31" t="n">
        <v>15</v>
      </c>
      <c r="V19" s="31" t="n">
        <v>0</v>
      </c>
      <c r="W19" s="31" t="n">
        <v>0</v>
      </c>
      <c r="X19" s="31" t="n">
        <v>0</v>
      </c>
      <c r="Y19" s="32" t="n">
        <f aca="false">SUM(N19:X19)</f>
        <v>18</v>
      </c>
      <c r="Z19" s="32" t="n">
        <f aca="false">Y19*(1+Assumptions!$C$5)</f>
        <v>20.7</v>
      </c>
      <c r="AA19" s="27" t="s">
        <v>126</v>
      </c>
      <c r="AB19" s="27" t="s">
        <v>95</v>
      </c>
      <c r="AC19" s="27"/>
      <c r="AD19" s="33" t="n">
        <v>0</v>
      </c>
      <c r="AF19" s="21" t="n">
        <f aca="false">IF($J19=0,0,MAX(0,NETWORKDAYS(MAX($K19,AF$4),MIN($L19,EOMONTH(AF$4,0)),Assumptions!$F$4:$F$44))/NETWORKDAYS($K19,$L19,Assumptions!$F$4:$F$44))</f>
        <v>1</v>
      </c>
      <c r="AG19" s="21" t="n">
        <f aca="false">IF($J19=0,0,MAX(0,NETWORKDAYS(MAX($K19,AG$4),MIN($L19,EOMONTH(AG$4,0)),Assumptions!$F$4:$F$44))/NETWORKDAYS($K19,$L19,Assumptions!$F$4:$F$44))</f>
        <v>0</v>
      </c>
      <c r="AH19" s="21" t="n">
        <f aca="false">IF($J19=0,0,MAX(0,NETWORKDAYS(MAX($K19,AH$4),MIN($L19,EOMONTH(AH$4,0)),Assumptions!$F$4:$F$44))/NETWORKDAYS($K19,$L19,Assumptions!$F$4:$F$44))</f>
        <v>0</v>
      </c>
      <c r="AI19" s="21" t="n">
        <f aca="false">IF($J19=0,0,MAX(0,NETWORKDAYS(MAX($K19,AI$4),MIN($L19,EOMONTH(AI$4,0)),Assumptions!$F$4:$F$44))/NETWORKDAYS($K19,$L19,Assumptions!$F$4:$F$44))</f>
        <v>0</v>
      </c>
      <c r="AJ19" s="21" t="n">
        <f aca="false">IF($J19=0,0,MAX(0,NETWORKDAYS(MAX($K19,AJ$4),MIN($L19,EOMONTH(AJ$4,0)),Assumptions!$F$4:$F$44))/NETWORKDAYS($K19,$L19,Assumptions!$F$4:$F$44))</f>
        <v>0</v>
      </c>
      <c r="AK19" s="21" t="n">
        <f aca="false">IF($J19=0,0,MAX(0,NETWORKDAYS(MAX($K19,AK$4),MIN($L19,EOMONTH(AK$4,0)),Assumptions!$F$4:$F$44))/NETWORKDAYS($K19,$L19,Assumptions!$F$4:$F$44))</f>
        <v>0</v>
      </c>
      <c r="AL19" s="21" t="n">
        <f aca="false">IF($J19=0,0,MAX(0,NETWORKDAYS(MAX($K19,AL$4),MIN($L19,EOMONTH(AL$4,0)),Assumptions!$F$4:$F$44))/NETWORKDAYS($K19,$L19,Assumptions!$F$4:$F$44))</f>
        <v>0</v>
      </c>
      <c r="AM19" s="21" t="n">
        <f aca="false">IF($J19=0,0,MAX(0,NETWORKDAYS(MAX($K19,AM$4),MIN($L19,EOMONTH(AM$4,0)),Assumptions!$F$4:$F$44))/NETWORKDAYS($K19,$L19,Assumptions!$F$4:$F$44))</f>
        <v>0</v>
      </c>
      <c r="AN19" s="21" t="n">
        <f aca="false">IF($J19=0,0,MAX(0,NETWORKDAYS(MAX($K19,AN$4),MIN($L19,EOMONTH(AN$4,0)),Assumptions!$F$4:$F$44))/NETWORKDAYS($K19,$L19,Assumptions!$F$4:$F$44))</f>
        <v>0</v>
      </c>
      <c r="AO19" s="21" t="n">
        <f aca="false">IF($J19=0,0,MAX(0,NETWORKDAYS(MAX($K19,AO$4),MIN($L19,EOMONTH(AO$4,0)),Assumptions!$F$4:$F$44))/NETWORKDAYS($K19,$L19,Assumptions!$F$4:$F$44))</f>
        <v>0</v>
      </c>
      <c r="AP19" s="21" t="n">
        <f aca="false">IF($J19=0,0,MAX(0,NETWORKDAYS(MAX($K19,AP$4),MIN($L19,EOMONTH(AP$4,0)),Assumptions!$F$4:$F$44))/NETWORKDAYS($K19,$L19,Assumptions!$F$4:$F$44))</f>
        <v>0</v>
      </c>
      <c r="AQ19" s="21" t="n">
        <f aca="false">IF($J19=0,0,MAX(0,NETWORKDAYS(MAX($K19,AQ$4),MIN($L19,EOMONTH(AQ$4,0)),Assumptions!$F$4:$F$44))/NETWORKDAYS($K19,$L19,Assumptions!$F$4:$F$44))</f>
        <v>0</v>
      </c>
      <c r="AR19" s="21" t="n">
        <f aca="false">IF($J19=0,0,MAX(0,NETWORKDAYS(MAX($K19,AR$4),MIN($L19,EOMONTH(AR$4,0)),Assumptions!$F$4:$F$44))/NETWORKDAYS($K19,$L19,Assumptions!$F$4:$F$44))</f>
        <v>0</v>
      </c>
      <c r="AS19" s="21" t="n">
        <f aca="false">IF($J19=0,0,MAX(0,NETWORKDAYS(MAX($K19,AS$4),MIN($L19,EOMONTH(AS$4,0)),Assumptions!$F$4:$F$44))/NETWORKDAYS($K19,$L19,Assumptions!$F$4:$F$44))</f>
        <v>0</v>
      </c>
      <c r="AT19" s="21" t="n">
        <f aca="false">IF($J19=0,0,MAX(0,NETWORKDAYS(MAX($K19,AT$4),MIN($L19,EOMONTH(AT$4,0)),Assumptions!$F$4:$F$44))/NETWORKDAYS($K19,$L19,Assumptions!$F$4:$F$44))</f>
        <v>0</v>
      </c>
      <c r="AU19" s="21" t="n">
        <f aca="false">IF($J19=0,0,MAX(0,NETWORKDAYS(MAX($K19,AU$4),MIN($L19,EOMONTH(AU$4,0)),Assumptions!$F$4:$F$44))/NETWORKDAYS($K19,$L19,Assumptions!$F$4:$F$44))</f>
        <v>0</v>
      </c>
      <c r="AV19" s="21" t="n">
        <f aca="false">IF($J19=0,0,MAX(0,NETWORKDAYS(MAX($K19,AV$4),MIN($L19,EOMONTH(AV$4,0)),Assumptions!$F$4:$F$44))/NETWORKDAYS($K19,$L19,Assumptions!$F$4:$F$44))</f>
        <v>0</v>
      </c>
      <c r="AW19" s="21" t="n">
        <f aca="false">IF($J19=0,0,MAX(0,NETWORKDAYS(MAX($K19,AW$4),MIN($L19,EOMONTH(AW$4,0)),Assumptions!$F$4:$F$44))/NETWORKDAYS($K19,$L19,Assumptions!$F$4:$F$44))</f>
        <v>0</v>
      </c>
      <c r="AX19" s="21" t="n">
        <f aca="false">IF($J19=0,0,MAX(0,NETWORKDAYS(MAX($K19,AX$4),MIN($L19,EOMONTH(AX$4,0)),Assumptions!$F$4:$F$44))/NETWORKDAYS($K19,$L19,Assumptions!$F$4:$F$44))</f>
        <v>0</v>
      </c>
      <c r="AY19" s="21" t="n">
        <f aca="false">IF($J19=0,0,MAX(0,NETWORKDAYS(MAX($K19,AY$4),MIN($L19,EOMONTH(AY$4,0)),Assumptions!$F$4:$F$44))/NETWORKDAYS($K19,$L19,Assumptions!$F$4:$F$44))</f>
        <v>0</v>
      </c>
      <c r="AZ19" s="21" t="n">
        <f aca="false">IF($J19=0,0,MAX(0,NETWORKDAYS(MAX($K19,AZ$4),MIN($L19,EOMONTH(AZ$4,0)),Assumptions!$F$4:$F$44))/NETWORKDAYS($K19,$L19,Assumptions!$F$4:$F$44))</f>
        <v>0</v>
      </c>
      <c r="BA19" s="21" t="n">
        <f aca="false">IF($J19=0,0,MAX(0,NETWORKDAYS(MAX($K19,BA$4),MIN($L19,EOMONTH(BA$4,0)),Assumptions!$F$4:$F$44))/NETWORKDAYS($K19,$L19,Assumptions!$F$4:$F$44))</f>
        <v>0</v>
      </c>
      <c r="BB19" s="21" t="n">
        <f aca="false">IF($J19=0,0,MAX(0,NETWORKDAYS(MAX($K19,BB$4),MIN($L19,EOMONTH(BB$4,0)),Assumptions!$F$4:$F$44))/NETWORKDAYS($K19,$L19,Assumptions!$F$4:$F$44))</f>
        <v>0</v>
      </c>
      <c r="BC19" s="21" t="n">
        <f aca="false">IF($J19=0,0,MAX(0,NETWORKDAYS(MAX($K19,BC$4),MIN($L19,EOMONTH(BC$4,0)),Assumptions!$F$4:$F$44))/NETWORKDAYS($K19,$L19,Assumptions!$F$4:$F$44))</f>
        <v>0</v>
      </c>
    </row>
    <row r="20" customFormat="false" ht="15" hidden="false" customHeight="false" outlineLevel="2" collapsed="false">
      <c r="A20" s="27" t="n">
        <v>16</v>
      </c>
      <c r="B20" s="27" t="s">
        <v>127</v>
      </c>
      <c r="C20" s="27" t="n">
        <v>3</v>
      </c>
      <c r="D20" s="27" t="s">
        <v>92</v>
      </c>
      <c r="E20" s="28" t="s">
        <v>128</v>
      </c>
      <c r="F20" s="27" t="s">
        <v>115</v>
      </c>
      <c r="G20" s="27"/>
      <c r="H20" s="27" t="s">
        <v>41</v>
      </c>
      <c r="I20" s="29" t="n">
        <v>0</v>
      </c>
      <c r="J20" s="29" t="n">
        <v>25</v>
      </c>
      <c r="K20" s="30" t="n">
        <f aca="false">WORKDAY(Assumptions!$C$4,I20,Assumptions!$F$4:$F$44)</f>
        <v>46328</v>
      </c>
      <c r="L20" s="30" t="n">
        <f aca="false">IF(J20=0,K20,WORKDAY(K20,J20-1,Assumptions!$F$4:$F$44))</f>
        <v>46360</v>
      </c>
      <c r="M20" s="29"/>
      <c r="N20" s="31" t="n">
        <v>4</v>
      </c>
      <c r="O20" s="31" t="n">
        <v>0</v>
      </c>
      <c r="P20" s="31" t="n">
        <v>2</v>
      </c>
      <c r="Q20" s="31" t="n">
        <v>0</v>
      </c>
      <c r="R20" s="31" t="n">
        <v>0</v>
      </c>
      <c r="S20" s="31" t="n">
        <v>0</v>
      </c>
      <c r="T20" s="31" t="n">
        <v>0</v>
      </c>
      <c r="U20" s="31" t="n">
        <v>6</v>
      </c>
      <c r="V20" s="31" t="n">
        <v>0</v>
      </c>
      <c r="W20" s="31" t="n">
        <v>0</v>
      </c>
      <c r="X20" s="31" t="n">
        <v>0</v>
      </c>
      <c r="Y20" s="32" t="n">
        <f aca="false">SUM(N20:X20)</f>
        <v>12</v>
      </c>
      <c r="Z20" s="32" t="n">
        <f aca="false">Y20*(1+Assumptions!$C$5)</f>
        <v>13.8</v>
      </c>
      <c r="AA20" s="27" t="s">
        <v>129</v>
      </c>
      <c r="AB20" s="27" t="s">
        <v>95</v>
      </c>
      <c r="AC20" s="27"/>
      <c r="AD20" s="33" t="n">
        <v>0</v>
      </c>
      <c r="AF20" s="21" t="n">
        <f aca="false">IF($J20=0,0,MAX(0,NETWORKDAYS(MAX($K20,AF$4),MIN($L20,EOMONTH(AF$4,0)),Assumptions!$F$4:$F$44))/NETWORKDAYS($K20,$L20,Assumptions!$F$4:$F$44))</f>
        <v>0.84</v>
      </c>
      <c r="AG20" s="21" t="n">
        <f aca="false">IF($J20=0,0,MAX(0,NETWORKDAYS(MAX($K20,AG$4),MIN($L20,EOMONTH(AG$4,0)),Assumptions!$F$4:$F$44))/NETWORKDAYS($K20,$L20,Assumptions!$F$4:$F$44))</f>
        <v>0.16</v>
      </c>
      <c r="AH20" s="21" t="n">
        <f aca="false">IF($J20=0,0,MAX(0,NETWORKDAYS(MAX($K20,AH$4),MIN($L20,EOMONTH(AH$4,0)),Assumptions!$F$4:$F$44))/NETWORKDAYS($K20,$L20,Assumptions!$F$4:$F$44))</f>
        <v>0</v>
      </c>
      <c r="AI20" s="21" t="n">
        <f aca="false">IF($J20=0,0,MAX(0,NETWORKDAYS(MAX($K20,AI$4),MIN($L20,EOMONTH(AI$4,0)),Assumptions!$F$4:$F$44))/NETWORKDAYS($K20,$L20,Assumptions!$F$4:$F$44))</f>
        <v>0</v>
      </c>
      <c r="AJ20" s="21" t="n">
        <f aca="false">IF($J20=0,0,MAX(0,NETWORKDAYS(MAX($K20,AJ$4),MIN($L20,EOMONTH(AJ$4,0)),Assumptions!$F$4:$F$44))/NETWORKDAYS($K20,$L20,Assumptions!$F$4:$F$44))</f>
        <v>0</v>
      </c>
      <c r="AK20" s="21" t="n">
        <f aca="false">IF($J20=0,0,MAX(0,NETWORKDAYS(MAX($K20,AK$4),MIN($L20,EOMONTH(AK$4,0)),Assumptions!$F$4:$F$44))/NETWORKDAYS($K20,$L20,Assumptions!$F$4:$F$44))</f>
        <v>0</v>
      </c>
      <c r="AL20" s="21" t="n">
        <f aca="false">IF($J20=0,0,MAX(0,NETWORKDAYS(MAX($K20,AL$4),MIN($L20,EOMONTH(AL$4,0)),Assumptions!$F$4:$F$44))/NETWORKDAYS($K20,$L20,Assumptions!$F$4:$F$44))</f>
        <v>0</v>
      </c>
      <c r="AM20" s="21" t="n">
        <f aca="false">IF($J20=0,0,MAX(0,NETWORKDAYS(MAX($K20,AM$4),MIN($L20,EOMONTH(AM$4,0)),Assumptions!$F$4:$F$44))/NETWORKDAYS($K20,$L20,Assumptions!$F$4:$F$44))</f>
        <v>0</v>
      </c>
      <c r="AN20" s="21" t="n">
        <f aca="false">IF($J20=0,0,MAX(0,NETWORKDAYS(MAX($K20,AN$4),MIN($L20,EOMONTH(AN$4,0)),Assumptions!$F$4:$F$44))/NETWORKDAYS($K20,$L20,Assumptions!$F$4:$F$44))</f>
        <v>0</v>
      </c>
      <c r="AO20" s="21" t="n">
        <f aca="false">IF($J20=0,0,MAX(0,NETWORKDAYS(MAX($K20,AO$4),MIN($L20,EOMONTH(AO$4,0)),Assumptions!$F$4:$F$44))/NETWORKDAYS($K20,$L20,Assumptions!$F$4:$F$44))</f>
        <v>0</v>
      </c>
      <c r="AP20" s="21" t="n">
        <f aca="false">IF($J20=0,0,MAX(0,NETWORKDAYS(MAX($K20,AP$4),MIN($L20,EOMONTH(AP$4,0)),Assumptions!$F$4:$F$44))/NETWORKDAYS($K20,$L20,Assumptions!$F$4:$F$44))</f>
        <v>0</v>
      </c>
      <c r="AQ20" s="21" t="n">
        <f aca="false">IF($J20=0,0,MAX(0,NETWORKDAYS(MAX($K20,AQ$4),MIN($L20,EOMONTH(AQ$4,0)),Assumptions!$F$4:$F$44))/NETWORKDAYS($K20,$L20,Assumptions!$F$4:$F$44))</f>
        <v>0</v>
      </c>
      <c r="AR20" s="21" t="n">
        <f aca="false">IF($J20=0,0,MAX(0,NETWORKDAYS(MAX($K20,AR$4),MIN($L20,EOMONTH(AR$4,0)),Assumptions!$F$4:$F$44))/NETWORKDAYS($K20,$L20,Assumptions!$F$4:$F$44))</f>
        <v>0</v>
      </c>
      <c r="AS20" s="21" t="n">
        <f aca="false">IF($J20=0,0,MAX(0,NETWORKDAYS(MAX($K20,AS$4),MIN($L20,EOMONTH(AS$4,0)),Assumptions!$F$4:$F$44))/NETWORKDAYS($K20,$L20,Assumptions!$F$4:$F$44))</f>
        <v>0</v>
      </c>
      <c r="AT20" s="21" t="n">
        <f aca="false">IF($J20=0,0,MAX(0,NETWORKDAYS(MAX($K20,AT$4),MIN($L20,EOMONTH(AT$4,0)),Assumptions!$F$4:$F$44))/NETWORKDAYS($K20,$L20,Assumptions!$F$4:$F$44))</f>
        <v>0</v>
      </c>
      <c r="AU20" s="21" t="n">
        <f aca="false">IF($J20=0,0,MAX(0,NETWORKDAYS(MAX($K20,AU$4),MIN($L20,EOMONTH(AU$4,0)),Assumptions!$F$4:$F$44))/NETWORKDAYS($K20,$L20,Assumptions!$F$4:$F$44))</f>
        <v>0</v>
      </c>
      <c r="AV20" s="21" t="n">
        <f aca="false">IF($J20=0,0,MAX(0,NETWORKDAYS(MAX($K20,AV$4),MIN($L20,EOMONTH(AV$4,0)),Assumptions!$F$4:$F$44))/NETWORKDAYS($K20,$L20,Assumptions!$F$4:$F$44))</f>
        <v>0</v>
      </c>
      <c r="AW20" s="21" t="n">
        <f aca="false">IF($J20=0,0,MAX(0,NETWORKDAYS(MAX($K20,AW$4),MIN($L20,EOMONTH(AW$4,0)),Assumptions!$F$4:$F$44))/NETWORKDAYS($K20,$L20,Assumptions!$F$4:$F$44))</f>
        <v>0</v>
      </c>
      <c r="AX20" s="21" t="n">
        <f aca="false">IF($J20=0,0,MAX(0,NETWORKDAYS(MAX($K20,AX$4),MIN($L20,EOMONTH(AX$4,0)),Assumptions!$F$4:$F$44))/NETWORKDAYS($K20,$L20,Assumptions!$F$4:$F$44))</f>
        <v>0</v>
      </c>
      <c r="AY20" s="21" t="n">
        <f aca="false">IF($J20=0,0,MAX(0,NETWORKDAYS(MAX($K20,AY$4),MIN($L20,EOMONTH(AY$4,0)),Assumptions!$F$4:$F$44))/NETWORKDAYS($K20,$L20,Assumptions!$F$4:$F$44))</f>
        <v>0</v>
      </c>
      <c r="AZ20" s="21" t="n">
        <f aca="false">IF($J20=0,0,MAX(0,NETWORKDAYS(MAX($K20,AZ$4),MIN($L20,EOMONTH(AZ$4,0)),Assumptions!$F$4:$F$44))/NETWORKDAYS($K20,$L20,Assumptions!$F$4:$F$44))</f>
        <v>0</v>
      </c>
      <c r="BA20" s="21" t="n">
        <f aca="false">IF($J20=0,0,MAX(0,NETWORKDAYS(MAX($K20,BA$4),MIN($L20,EOMONTH(BA$4,0)),Assumptions!$F$4:$F$44))/NETWORKDAYS($K20,$L20,Assumptions!$F$4:$F$44))</f>
        <v>0</v>
      </c>
      <c r="BB20" s="21" t="n">
        <f aca="false">IF($J20=0,0,MAX(0,NETWORKDAYS(MAX($K20,BB$4),MIN($L20,EOMONTH(BB$4,0)),Assumptions!$F$4:$F$44))/NETWORKDAYS($K20,$L20,Assumptions!$F$4:$F$44))</f>
        <v>0</v>
      </c>
      <c r="BC20" s="21" t="n">
        <f aca="false">IF($J20=0,0,MAX(0,NETWORKDAYS(MAX($K20,BC$4),MIN($L20,EOMONTH(BC$4,0)),Assumptions!$F$4:$F$44))/NETWORKDAYS($K20,$L20,Assumptions!$F$4:$F$44))</f>
        <v>0</v>
      </c>
    </row>
    <row r="21" customFormat="false" ht="15" hidden="false" customHeight="false" outlineLevel="1" collapsed="false">
      <c r="A21" s="22" t="n">
        <v>17</v>
      </c>
      <c r="B21" s="22" t="s">
        <v>130</v>
      </c>
      <c r="C21" s="22" t="n">
        <v>2</v>
      </c>
      <c r="D21" s="22" t="s">
        <v>89</v>
      </c>
      <c r="E21" s="23" t="s">
        <v>131</v>
      </c>
      <c r="F21" s="22" t="s">
        <v>115</v>
      </c>
      <c r="G21" s="22"/>
      <c r="H21" s="22"/>
      <c r="I21" s="22"/>
      <c r="J21" s="22" t="n">
        <f aca="false">NETWORKDAYS(K21,L21,Assumptions!$F$4:$F$44)</f>
        <v>20</v>
      </c>
      <c r="K21" s="24" t="n">
        <f aca="false">MIN(K22:K26)</f>
        <v>46335</v>
      </c>
      <c r="L21" s="24" t="n">
        <f aca="false">MAX(L22:L26)</f>
        <v>46360</v>
      </c>
      <c r="M21" s="22"/>
      <c r="N21" s="25" t="n">
        <f aca="false">SUMPRODUCT(($C$22:$C$26=3)*(N22:N26))</f>
        <v>7</v>
      </c>
      <c r="O21" s="25" t="n">
        <f aca="false">SUMPRODUCT(($C$22:$C$26=3)*(O22:O26))</f>
        <v>45</v>
      </c>
      <c r="P21" s="25" t="n">
        <f aca="false">SUMPRODUCT(($C$22:$C$26=3)*(P22:P26))</f>
        <v>19</v>
      </c>
      <c r="Q21" s="25" t="n">
        <f aca="false">SUMPRODUCT(($C$22:$C$26=3)*(Q22:Q26))</f>
        <v>3</v>
      </c>
      <c r="R21" s="25" t="n">
        <f aca="false">SUMPRODUCT(($C$22:$C$26=3)*(R22:R26))</f>
        <v>15</v>
      </c>
      <c r="S21" s="25" t="n">
        <f aca="false">SUMPRODUCT(($C$22:$C$26=3)*(S22:S26))</f>
        <v>0</v>
      </c>
      <c r="T21" s="25" t="n">
        <f aca="false">SUMPRODUCT(($C$22:$C$26=3)*(T22:T26))</f>
        <v>0</v>
      </c>
      <c r="U21" s="25" t="n">
        <f aca="false">SUMPRODUCT(($C$22:$C$26=3)*(U22:U26))</f>
        <v>3</v>
      </c>
      <c r="V21" s="25" t="n">
        <f aca="false">SUMPRODUCT(($C$22:$C$26=3)*(V22:V26))</f>
        <v>0</v>
      </c>
      <c r="W21" s="25" t="n">
        <f aca="false">SUMPRODUCT(($C$22:$C$26=3)*(W22:W26))</f>
        <v>10</v>
      </c>
      <c r="X21" s="25" t="n">
        <f aca="false">SUMPRODUCT(($C$22:$C$26=3)*(X22:X26))</f>
        <v>0</v>
      </c>
      <c r="Y21" s="25" t="n">
        <f aca="false">SUM(N21:X21)</f>
        <v>102</v>
      </c>
      <c r="Z21" s="25" t="n">
        <f aca="false">Y21*(1+Assumptions!$C$5)</f>
        <v>117.3</v>
      </c>
      <c r="AA21" s="22"/>
      <c r="AB21" s="22"/>
      <c r="AC21" s="22"/>
      <c r="AD21" s="26"/>
      <c r="AF21" s="21" t="n">
        <v>0</v>
      </c>
      <c r="AG21" s="21" t="n">
        <v>0</v>
      </c>
      <c r="AH21" s="21" t="n">
        <v>0</v>
      </c>
      <c r="AI21" s="21" t="n">
        <v>0</v>
      </c>
      <c r="AJ21" s="21" t="n">
        <v>0</v>
      </c>
      <c r="AK21" s="21" t="n">
        <v>0</v>
      </c>
      <c r="AL21" s="21" t="n">
        <v>0</v>
      </c>
      <c r="AM21" s="21" t="n">
        <v>0</v>
      </c>
      <c r="AN21" s="21" t="n">
        <v>0</v>
      </c>
      <c r="AO21" s="21" t="n">
        <v>0</v>
      </c>
      <c r="AP21" s="21" t="n">
        <v>0</v>
      </c>
      <c r="AQ21" s="21" t="n">
        <v>0</v>
      </c>
      <c r="AR21" s="21" t="n">
        <v>0</v>
      </c>
      <c r="AS21" s="21" t="n">
        <v>0</v>
      </c>
      <c r="AT21" s="21" t="n">
        <v>0</v>
      </c>
      <c r="AU21" s="21" t="n">
        <v>0</v>
      </c>
      <c r="AV21" s="21" t="n">
        <v>0</v>
      </c>
      <c r="AW21" s="21" t="n">
        <v>0</v>
      </c>
      <c r="AX21" s="21" t="n">
        <v>0</v>
      </c>
      <c r="AY21" s="21" t="n">
        <v>0</v>
      </c>
      <c r="AZ21" s="21" t="n">
        <v>0</v>
      </c>
      <c r="BA21" s="21" t="n">
        <v>0</v>
      </c>
      <c r="BB21" s="21" t="n">
        <v>0</v>
      </c>
      <c r="BC21" s="21" t="n">
        <v>0</v>
      </c>
    </row>
    <row r="22" customFormat="false" ht="15" hidden="false" customHeight="false" outlineLevel="2" collapsed="false">
      <c r="A22" s="27" t="n">
        <v>18</v>
      </c>
      <c r="B22" s="27" t="s">
        <v>132</v>
      </c>
      <c r="C22" s="27" t="n">
        <v>3</v>
      </c>
      <c r="D22" s="27" t="s">
        <v>92</v>
      </c>
      <c r="E22" s="28" t="s">
        <v>133</v>
      </c>
      <c r="F22" s="27" t="s">
        <v>115</v>
      </c>
      <c r="G22" s="27"/>
      <c r="H22" s="27" t="s">
        <v>43</v>
      </c>
      <c r="I22" s="29" t="n">
        <v>5</v>
      </c>
      <c r="J22" s="29" t="n">
        <v>15</v>
      </c>
      <c r="K22" s="30" t="n">
        <f aca="false">WORKDAY(Assumptions!$C$4,I22,Assumptions!$F$4:$F$44)</f>
        <v>46335</v>
      </c>
      <c r="L22" s="30" t="n">
        <f aca="false">IF(J22=0,K22,WORKDAY(K22,J22-1,Assumptions!$F$4:$F$44))</f>
        <v>46353</v>
      </c>
      <c r="M22" s="29" t="s">
        <v>134</v>
      </c>
      <c r="N22" s="31" t="n">
        <v>4</v>
      </c>
      <c r="O22" s="31" t="n">
        <v>25</v>
      </c>
      <c r="P22" s="31" t="n">
        <v>5</v>
      </c>
      <c r="Q22" s="31" t="n">
        <v>0</v>
      </c>
      <c r="R22" s="31" t="n">
        <v>0</v>
      </c>
      <c r="S22" s="31" t="n">
        <v>0</v>
      </c>
      <c r="T22" s="31" t="n">
        <v>0</v>
      </c>
      <c r="U22" s="31" t="n">
        <v>0</v>
      </c>
      <c r="V22" s="31" t="n">
        <v>0</v>
      </c>
      <c r="W22" s="31" t="n">
        <v>0</v>
      </c>
      <c r="X22" s="31" t="n">
        <v>0</v>
      </c>
      <c r="Y22" s="32" t="n">
        <f aca="false">SUM(N22:X22)</f>
        <v>34</v>
      </c>
      <c r="Z22" s="32" t="n">
        <f aca="false">Y22*(1+Assumptions!$C$5)</f>
        <v>39.1</v>
      </c>
      <c r="AA22" s="27" t="s">
        <v>135</v>
      </c>
      <c r="AB22" s="27" t="s">
        <v>95</v>
      </c>
      <c r="AC22" s="27"/>
      <c r="AD22" s="33" t="n">
        <v>0</v>
      </c>
      <c r="AF22" s="21" t="n">
        <f aca="false">IF($J22=0,0,MAX(0,NETWORKDAYS(MAX($K22,AF$4),MIN($L22,EOMONTH(AF$4,0)),Assumptions!$F$4:$F$44))/NETWORKDAYS($K22,$L22,Assumptions!$F$4:$F$44))</f>
        <v>1</v>
      </c>
      <c r="AG22" s="21" t="n">
        <f aca="false">IF($J22=0,0,MAX(0,NETWORKDAYS(MAX($K22,AG$4),MIN($L22,EOMONTH(AG$4,0)),Assumptions!$F$4:$F$44))/NETWORKDAYS($K22,$L22,Assumptions!$F$4:$F$44))</f>
        <v>0</v>
      </c>
      <c r="AH22" s="21" t="n">
        <f aca="false">IF($J22=0,0,MAX(0,NETWORKDAYS(MAX($K22,AH$4),MIN($L22,EOMONTH(AH$4,0)),Assumptions!$F$4:$F$44))/NETWORKDAYS($K22,$L22,Assumptions!$F$4:$F$44))</f>
        <v>0</v>
      </c>
      <c r="AI22" s="21" t="n">
        <f aca="false">IF($J22=0,0,MAX(0,NETWORKDAYS(MAX($K22,AI$4),MIN($L22,EOMONTH(AI$4,0)),Assumptions!$F$4:$F$44))/NETWORKDAYS($K22,$L22,Assumptions!$F$4:$F$44))</f>
        <v>0</v>
      </c>
      <c r="AJ22" s="21" t="n">
        <f aca="false">IF($J22=0,0,MAX(0,NETWORKDAYS(MAX($K22,AJ$4),MIN($L22,EOMONTH(AJ$4,0)),Assumptions!$F$4:$F$44))/NETWORKDAYS($K22,$L22,Assumptions!$F$4:$F$44))</f>
        <v>0</v>
      </c>
      <c r="AK22" s="21" t="n">
        <f aca="false">IF($J22=0,0,MAX(0,NETWORKDAYS(MAX($K22,AK$4),MIN($L22,EOMONTH(AK$4,0)),Assumptions!$F$4:$F$44))/NETWORKDAYS($K22,$L22,Assumptions!$F$4:$F$44))</f>
        <v>0</v>
      </c>
      <c r="AL22" s="21" t="n">
        <f aca="false">IF($J22=0,0,MAX(0,NETWORKDAYS(MAX($K22,AL$4),MIN($L22,EOMONTH(AL$4,0)),Assumptions!$F$4:$F$44))/NETWORKDAYS($K22,$L22,Assumptions!$F$4:$F$44))</f>
        <v>0</v>
      </c>
      <c r="AM22" s="21" t="n">
        <f aca="false">IF($J22=0,0,MAX(0,NETWORKDAYS(MAX($K22,AM$4),MIN($L22,EOMONTH(AM$4,0)),Assumptions!$F$4:$F$44))/NETWORKDAYS($K22,$L22,Assumptions!$F$4:$F$44))</f>
        <v>0</v>
      </c>
      <c r="AN22" s="21" t="n">
        <f aca="false">IF($J22=0,0,MAX(0,NETWORKDAYS(MAX($K22,AN$4),MIN($L22,EOMONTH(AN$4,0)),Assumptions!$F$4:$F$44))/NETWORKDAYS($K22,$L22,Assumptions!$F$4:$F$44))</f>
        <v>0</v>
      </c>
      <c r="AO22" s="21" t="n">
        <f aca="false">IF($J22=0,0,MAX(0,NETWORKDAYS(MAX($K22,AO$4),MIN($L22,EOMONTH(AO$4,0)),Assumptions!$F$4:$F$44))/NETWORKDAYS($K22,$L22,Assumptions!$F$4:$F$44))</f>
        <v>0</v>
      </c>
      <c r="AP22" s="21" t="n">
        <f aca="false">IF($J22=0,0,MAX(0,NETWORKDAYS(MAX($K22,AP$4),MIN($L22,EOMONTH(AP$4,0)),Assumptions!$F$4:$F$44))/NETWORKDAYS($K22,$L22,Assumptions!$F$4:$F$44))</f>
        <v>0</v>
      </c>
      <c r="AQ22" s="21" t="n">
        <f aca="false">IF($J22=0,0,MAX(0,NETWORKDAYS(MAX($K22,AQ$4),MIN($L22,EOMONTH(AQ$4,0)),Assumptions!$F$4:$F$44))/NETWORKDAYS($K22,$L22,Assumptions!$F$4:$F$44))</f>
        <v>0</v>
      </c>
      <c r="AR22" s="21" t="n">
        <f aca="false">IF($J22=0,0,MAX(0,NETWORKDAYS(MAX($K22,AR$4),MIN($L22,EOMONTH(AR$4,0)),Assumptions!$F$4:$F$44))/NETWORKDAYS($K22,$L22,Assumptions!$F$4:$F$44))</f>
        <v>0</v>
      </c>
      <c r="AS22" s="21" t="n">
        <f aca="false">IF($J22=0,0,MAX(0,NETWORKDAYS(MAX($K22,AS$4),MIN($L22,EOMONTH(AS$4,0)),Assumptions!$F$4:$F$44))/NETWORKDAYS($K22,$L22,Assumptions!$F$4:$F$44))</f>
        <v>0</v>
      </c>
      <c r="AT22" s="21" t="n">
        <f aca="false">IF($J22=0,0,MAX(0,NETWORKDAYS(MAX($K22,AT$4),MIN($L22,EOMONTH(AT$4,0)),Assumptions!$F$4:$F$44))/NETWORKDAYS($K22,$L22,Assumptions!$F$4:$F$44))</f>
        <v>0</v>
      </c>
      <c r="AU22" s="21" t="n">
        <f aca="false">IF($J22=0,0,MAX(0,NETWORKDAYS(MAX($K22,AU$4),MIN($L22,EOMONTH(AU$4,0)),Assumptions!$F$4:$F$44))/NETWORKDAYS($K22,$L22,Assumptions!$F$4:$F$44))</f>
        <v>0</v>
      </c>
      <c r="AV22" s="21" t="n">
        <f aca="false">IF($J22=0,0,MAX(0,NETWORKDAYS(MAX($K22,AV$4),MIN($L22,EOMONTH(AV$4,0)),Assumptions!$F$4:$F$44))/NETWORKDAYS($K22,$L22,Assumptions!$F$4:$F$44))</f>
        <v>0</v>
      </c>
      <c r="AW22" s="21" t="n">
        <f aca="false">IF($J22=0,0,MAX(0,NETWORKDAYS(MAX($K22,AW$4),MIN($L22,EOMONTH(AW$4,0)),Assumptions!$F$4:$F$44))/NETWORKDAYS($K22,$L22,Assumptions!$F$4:$F$44))</f>
        <v>0</v>
      </c>
      <c r="AX22" s="21" t="n">
        <f aca="false">IF($J22=0,0,MAX(0,NETWORKDAYS(MAX($K22,AX$4),MIN($L22,EOMONTH(AX$4,0)),Assumptions!$F$4:$F$44))/NETWORKDAYS($K22,$L22,Assumptions!$F$4:$F$44))</f>
        <v>0</v>
      </c>
      <c r="AY22" s="21" t="n">
        <f aca="false">IF($J22=0,0,MAX(0,NETWORKDAYS(MAX($K22,AY$4),MIN($L22,EOMONTH(AY$4,0)),Assumptions!$F$4:$F$44))/NETWORKDAYS($K22,$L22,Assumptions!$F$4:$F$44))</f>
        <v>0</v>
      </c>
      <c r="AZ22" s="21" t="n">
        <f aca="false">IF($J22=0,0,MAX(0,NETWORKDAYS(MAX($K22,AZ$4),MIN($L22,EOMONTH(AZ$4,0)),Assumptions!$F$4:$F$44))/NETWORKDAYS($K22,$L22,Assumptions!$F$4:$F$44))</f>
        <v>0</v>
      </c>
      <c r="BA22" s="21" t="n">
        <f aca="false">IF($J22=0,0,MAX(0,NETWORKDAYS(MAX($K22,BA$4),MIN($L22,EOMONTH(BA$4,0)),Assumptions!$F$4:$F$44))/NETWORKDAYS($K22,$L22,Assumptions!$F$4:$F$44))</f>
        <v>0</v>
      </c>
      <c r="BB22" s="21" t="n">
        <f aca="false">IF($J22=0,0,MAX(0,NETWORKDAYS(MAX($K22,BB$4),MIN($L22,EOMONTH(BB$4,0)),Assumptions!$F$4:$F$44))/NETWORKDAYS($K22,$L22,Assumptions!$F$4:$F$44))</f>
        <v>0</v>
      </c>
      <c r="BC22" s="21" t="n">
        <f aca="false">IF($J22=0,0,MAX(0,NETWORKDAYS(MAX($K22,BC$4),MIN($L22,EOMONTH(BC$4,0)),Assumptions!$F$4:$F$44))/NETWORKDAYS($K22,$L22,Assumptions!$F$4:$F$44))</f>
        <v>0</v>
      </c>
    </row>
    <row r="23" customFormat="false" ht="15" hidden="false" customHeight="false" outlineLevel="2" collapsed="false">
      <c r="A23" s="27" t="n">
        <v>19</v>
      </c>
      <c r="B23" s="27" t="s">
        <v>136</v>
      </c>
      <c r="C23" s="27" t="n">
        <v>3</v>
      </c>
      <c r="D23" s="27" t="s">
        <v>92</v>
      </c>
      <c r="E23" s="28" t="s">
        <v>137</v>
      </c>
      <c r="F23" s="27" t="s">
        <v>115</v>
      </c>
      <c r="G23" s="27"/>
      <c r="H23" s="27" t="s">
        <v>43</v>
      </c>
      <c r="I23" s="29" t="n">
        <v>10</v>
      </c>
      <c r="J23" s="29" t="n">
        <v>15</v>
      </c>
      <c r="K23" s="30" t="n">
        <f aca="false">WORKDAY(Assumptions!$C$4,I23,Assumptions!$F$4:$F$44)</f>
        <v>46342</v>
      </c>
      <c r="L23" s="30" t="n">
        <f aca="false">IF(J23=0,K23,WORKDAY(K23,J23-1,Assumptions!$F$4:$F$44))</f>
        <v>46360</v>
      </c>
      <c r="M23" s="29"/>
      <c r="N23" s="31" t="n">
        <v>3</v>
      </c>
      <c r="O23" s="31" t="n">
        <v>12</v>
      </c>
      <c r="P23" s="31" t="n">
        <v>0</v>
      </c>
      <c r="Q23" s="31" t="n">
        <v>0</v>
      </c>
      <c r="R23" s="31" t="n">
        <v>0</v>
      </c>
      <c r="S23" s="31" t="n">
        <v>0</v>
      </c>
      <c r="T23" s="31" t="n">
        <v>0</v>
      </c>
      <c r="U23" s="31" t="n">
        <v>0</v>
      </c>
      <c r="V23" s="31" t="n">
        <v>0</v>
      </c>
      <c r="W23" s="31" t="n">
        <v>0</v>
      </c>
      <c r="X23" s="31" t="n">
        <v>0</v>
      </c>
      <c r="Y23" s="32" t="n">
        <f aca="false">SUM(N23:X23)</f>
        <v>15</v>
      </c>
      <c r="Z23" s="32" t="n">
        <f aca="false">Y23*(1+Assumptions!$C$5)</f>
        <v>17.25</v>
      </c>
      <c r="AA23" s="27" t="s">
        <v>138</v>
      </c>
      <c r="AB23" s="27" t="s">
        <v>95</v>
      </c>
      <c r="AC23" s="27"/>
      <c r="AD23" s="33" t="n">
        <v>0</v>
      </c>
      <c r="AF23" s="21" t="n">
        <f aca="false">IF($J23=0,0,MAX(0,NETWORKDAYS(MAX($K23,AF$4),MIN($L23,EOMONTH(AF$4,0)),Assumptions!$F$4:$F$44))/NETWORKDAYS($K23,$L23,Assumptions!$F$4:$F$44))</f>
        <v>0.733333333333333</v>
      </c>
      <c r="AG23" s="21" t="n">
        <f aca="false">IF($J23=0,0,MAX(0,NETWORKDAYS(MAX($K23,AG$4),MIN($L23,EOMONTH(AG$4,0)),Assumptions!$F$4:$F$44))/NETWORKDAYS($K23,$L23,Assumptions!$F$4:$F$44))</f>
        <v>0.266666666666667</v>
      </c>
      <c r="AH23" s="21" t="n">
        <f aca="false">IF($J23=0,0,MAX(0,NETWORKDAYS(MAX($K23,AH$4),MIN($L23,EOMONTH(AH$4,0)),Assumptions!$F$4:$F$44))/NETWORKDAYS($K23,$L23,Assumptions!$F$4:$F$44))</f>
        <v>0</v>
      </c>
      <c r="AI23" s="21" t="n">
        <f aca="false">IF($J23=0,0,MAX(0,NETWORKDAYS(MAX($K23,AI$4),MIN($L23,EOMONTH(AI$4,0)),Assumptions!$F$4:$F$44))/NETWORKDAYS($K23,$L23,Assumptions!$F$4:$F$44))</f>
        <v>0</v>
      </c>
      <c r="AJ23" s="21" t="n">
        <f aca="false">IF($J23=0,0,MAX(0,NETWORKDAYS(MAX($K23,AJ$4),MIN($L23,EOMONTH(AJ$4,0)),Assumptions!$F$4:$F$44))/NETWORKDAYS($K23,$L23,Assumptions!$F$4:$F$44))</f>
        <v>0</v>
      </c>
      <c r="AK23" s="21" t="n">
        <f aca="false">IF($J23=0,0,MAX(0,NETWORKDAYS(MAX($K23,AK$4),MIN($L23,EOMONTH(AK$4,0)),Assumptions!$F$4:$F$44))/NETWORKDAYS($K23,$L23,Assumptions!$F$4:$F$44))</f>
        <v>0</v>
      </c>
      <c r="AL23" s="21" t="n">
        <f aca="false">IF($J23=0,0,MAX(0,NETWORKDAYS(MAX($K23,AL$4),MIN($L23,EOMONTH(AL$4,0)),Assumptions!$F$4:$F$44))/NETWORKDAYS($K23,$L23,Assumptions!$F$4:$F$44))</f>
        <v>0</v>
      </c>
      <c r="AM23" s="21" t="n">
        <f aca="false">IF($J23=0,0,MAX(0,NETWORKDAYS(MAX($K23,AM$4),MIN($L23,EOMONTH(AM$4,0)),Assumptions!$F$4:$F$44))/NETWORKDAYS($K23,$L23,Assumptions!$F$4:$F$44))</f>
        <v>0</v>
      </c>
      <c r="AN23" s="21" t="n">
        <f aca="false">IF($J23=0,0,MAX(0,NETWORKDAYS(MAX($K23,AN$4),MIN($L23,EOMONTH(AN$4,0)),Assumptions!$F$4:$F$44))/NETWORKDAYS($K23,$L23,Assumptions!$F$4:$F$44))</f>
        <v>0</v>
      </c>
      <c r="AO23" s="21" t="n">
        <f aca="false">IF($J23=0,0,MAX(0,NETWORKDAYS(MAX($K23,AO$4),MIN($L23,EOMONTH(AO$4,0)),Assumptions!$F$4:$F$44))/NETWORKDAYS($K23,$L23,Assumptions!$F$4:$F$44))</f>
        <v>0</v>
      </c>
      <c r="AP23" s="21" t="n">
        <f aca="false">IF($J23=0,0,MAX(0,NETWORKDAYS(MAX($K23,AP$4),MIN($L23,EOMONTH(AP$4,0)),Assumptions!$F$4:$F$44))/NETWORKDAYS($K23,$L23,Assumptions!$F$4:$F$44))</f>
        <v>0</v>
      </c>
      <c r="AQ23" s="21" t="n">
        <f aca="false">IF($J23=0,0,MAX(0,NETWORKDAYS(MAX($K23,AQ$4),MIN($L23,EOMONTH(AQ$4,0)),Assumptions!$F$4:$F$44))/NETWORKDAYS($K23,$L23,Assumptions!$F$4:$F$44))</f>
        <v>0</v>
      </c>
      <c r="AR23" s="21" t="n">
        <f aca="false">IF($J23=0,0,MAX(0,NETWORKDAYS(MAX($K23,AR$4),MIN($L23,EOMONTH(AR$4,0)),Assumptions!$F$4:$F$44))/NETWORKDAYS($K23,$L23,Assumptions!$F$4:$F$44))</f>
        <v>0</v>
      </c>
      <c r="AS23" s="21" t="n">
        <f aca="false">IF($J23=0,0,MAX(0,NETWORKDAYS(MAX($K23,AS$4),MIN($L23,EOMONTH(AS$4,0)),Assumptions!$F$4:$F$44))/NETWORKDAYS($K23,$L23,Assumptions!$F$4:$F$44))</f>
        <v>0</v>
      </c>
      <c r="AT23" s="21" t="n">
        <f aca="false">IF($J23=0,0,MAX(0,NETWORKDAYS(MAX($K23,AT$4),MIN($L23,EOMONTH(AT$4,0)),Assumptions!$F$4:$F$44))/NETWORKDAYS($K23,$L23,Assumptions!$F$4:$F$44))</f>
        <v>0</v>
      </c>
      <c r="AU23" s="21" t="n">
        <f aca="false">IF($J23=0,0,MAX(0,NETWORKDAYS(MAX($K23,AU$4),MIN($L23,EOMONTH(AU$4,0)),Assumptions!$F$4:$F$44))/NETWORKDAYS($K23,$L23,Assumptions!$F$4:$F$44))</f>
        <v>0</v>
      </c>
      <c r="AV23" s="21" t="n">
        <f aca="false">IF($J23=0,0,MAX(0,NETWORKDAYS(MAX($K23,AV$4),MIN($L23,EOMONTH(AV$4,0)),Assumptions!$F$4:$F$44))/NETWORKDAYS($K23,$L23,Assumptions!$F$4:$F$44))</f>
        <v>0</v>
      </c>
      <c r="AW23" s="21" t="n">
        <f aca="false">IF($J23=0,0,MAX(0,NETWORKDAYS(MAX($K23,AW$4),MIN($L23,EOMONTH(AW$4,0)),Assumptions!$F$4:$F$44))/NETWORKDAYS($K23,$L23,Assumptions!$F$4:$F$44))</f>
        <v>0</v>
      </c>
      <c r="AX23" s="21" t="n">
        <f aca="false">IF($J23=0,0,MAX(0,NETWORKDAYS(MAX($K23,AX$4),MIN($L23,EOMONTH(AX$4,0)),Assumptions!$F$4:$F$44))/NETWORKDAYS($K23,$L23,Assumptions!$F$4:$F$44))</f>
        <v>0</v>
      </c>
      <c r="AY23" s="21" t="n">
        <f aca="false">IF($J23=0,0,MAX(0,NETWORKDAYS(MAX($K23,AY$4),MIN($L23,EOMONTH(AY$4,0)),Assumptions!$F$4:$F$44))/NETWORKDAYS($K23,$L23,Assumptions!$F$4:$F$44))</f>
        <v>0</v>
      </c>
      <c r="AZ23" s="21" t="n">
        <f aca="false">IF($J23=0,0,MAX(0,NETWORKDAYS(MAX($K23,AZ$4),MIN($L23,EOMONTH(AZ$4,0)),Assumptions!$F$4:$F$44))/NETWORKDAYS($K23,$L23,Assumptions!$F$4:$F$44))</f>
        <v>0</v>
      </c>
      <c r="BA23" s="21" t="n">
        <f aca="false">IF($J23=0,0,MAX(0,NETWORKDAYS(MAX($K23,BA$4),MIN($L23,EOMONTH(BA$4,0)),Assumptions!$F$4:$F$44))/NETWORKDAYS($K23,$L23,Assumptions!$F$4:$F$44))</f>
        <v>0</v>
      </c>
      <c r="BB23" s="21" t="n">
        <f aca="false">IF($J23=0,0,MAX(0,NETWORKDAYS(MAX($K23,BB$4),MIN($L23,EOMONTH(BB$4,0)),Assumptions!$F$4:$F$44))/NETWORKDAYS($K23,$L23,Assumptions!$F$4:$F$44))</f>
        <v>0</v>
      </c>
      <c r="BC23" s="21" t="n">
        <f aca="false">IF($J23=0,0,MAX(0,NETWORKDAYS(MAX($K23,BC$4),MIN($L23,EOMONTH(BC$4,0)),Assumptions!$F$4:$F$44))/NETWORKDAYS($K23,$L23,Assumptions!$F$4:$F$44))</f>
        <v>0</v>
      </c>
    </row>
    <row r="24" customFormat="false" ht="15" hidden="false" customHeight="false" outlineLevel="2" collapsed="false">
      <c r="A24" s="27" t="n">
        <v>20</v>
      </c>
      <c r="B24" s="27" t="s">
        <v>139</v>
      </c>
      <c r="C24" s="27" t="n">
        <v>3</v>
      </c>
      <c r="D24" s="27" t="s">
        <v>92</v>
      </c>
      <c r="E24" s="28" t="s">
        <v>140</v>
      </c>
      <c r="F24" s="27" t="s">
        <v>115</v>
      </c>
      <c r="G24" s="27"/>
      <c r="H24" s="27" t="s">
        <v>45</v>
      </c>
      <c r="I24" s="29" t="n">
        <v>5</v>
      </c>
      <c r="J24" s="29" t="n">
        <v>15</v>
      </c>
      <c r="K24" s="30" t="n">
        <f aca="false">WORKDAY(Assumptions!$C$4,I24,Assumptions!$F$4:$F$44)</f>
        <v>46335</v>
      </c>
      <c r="L24" s="30" t="n">
        <f aca="false">IF(J24=0,K24,WORKDAY(K24,J24-1,Assumptions!$F$4:$F$44))</f>
        <v>46353</v>
      </c>
      <c r="M24" s="29"/>
      <c r="N24" s="31" t="n">
        <v>0</v>
      </c>
      <c r="O24" s="31" t="n">
        <v>0</v>
      </c>
      <c r="P24" s="31" t="n">
        <v>12</v>
      </c>
      <c r="Q24" s="31" t="n">
        <v>3</v>
      </c>
      <c r="R24" s="31" t="n">
        <v>0</v>
      </c>
      <c r="S24" s="31" t="n">
        <v>0</v>
      </c>
      <c r="T24" s="31" t="n">
        <v>0</v>
      </c>
      <c r="U24" s="31" t="n">
        <v>3</v>
      </c>
      <c r="V24" s="31" t="n">
        <v>0</v>
      </c>
      <c r="W24" s="31" t="n">
        <v>0</v>
      </c>
      <c r="X24" s="31" t="n">
        <v>0</v>
      </c>
      <c r="Y24" s="32" t="n">
        <f aca="false">SUM(N24:X24)</f>
        <v>18</v>
      </c>
      <c r="Z24" s="32" t="n">
        <f aca="false">Y24*(1+Assumptions!$C$5)</f>
        <v>20.7</v>
      </c>
      <c r="AA24" s="27" t="s">
        <v>141</v>
      </c>
      <c r="AB24" s="27" t="s">
        <v>95</v>
      </c>
      <c r="AC24" s="27"/>
      <c r="AD24" s="33" t="n">
        <v>0</v>
      </c>
      <c r="AF24" s="21" t="n">
        <f aca="false">IF($J24=0,0,MAX(0,NETWORKDAYS(MAX($K24,AF$4),MIN($L24,EOMONTH(AF$4,0)),Assumptions!$F$4:$F$44))/NETWORKDAYS($K24,$L24,Assumptions!$F$4:$F$44))</f>
        <v>1</v>
      </c>
      <c r="AG24" s="21" t="n">
        <f aca="false">IF($J24=0,0,MAX(0,NETWORKDAYS(MAX($K24,AG$4),MIN($L24,EOMONTH(AG$4,0)),Assumptions!$F$4:$F$44))/NETWORKDAYS($K24,$L24,Assumptions!$F$4:$F$44))</f>
        <v>0</v>
      </c>
      <c r="AH24" s="21" t="n">
        <f aca="false">IF($J24=0,0,MAX(0,NETWORKDAYS(MAX($K24,AH$4),MIN($L24,EOMONTH(AH$4,0)),Assumptions!$F$4:$F$44))/NETWORKDAYS($K24,$L24,Assumptions!$F$4:$F$44))</f>
        <v>0</v>
      </c>
      <c r="AI24" s="21" t="n">
        <f aca="false">IF($J24=0,0,MAX(0,NETWORKDAYS(MAX($K24,AI$4),MIN($L24,EOMONTH(AI$4,0)),Assumptions!$F$4:$F$44))/NETWORKDAYS($K24,$L24,Assumptions!$F$4:$F$44))</f>
        <v>0</v>
      </c>
      <c r="AJ24" s="21" t="n">
        <f aca="false">IF($J24=0,0,MAX(0,NETWORKDAYS(MAX($K24,AJ$4),MIN($L24,EOMONTH(AJ$4,0)),Assumptions!$F$4:$F$44))/NETWORKDAYS($K24,$L24,Assumptions!$F$4:$F$44))</f>
        <v>0</v>
      </c>
      <c r="AK24" s="21" t="n">
        <f aca="false">IF($J24=0,0,MAX(0,NETWORKDAYS(MAX($K24,AK$4),MIN($L24,EOMONTH(AK$4,0)),Assumptions!$F$4:$F$44))/NETWORKDAYS($K24,$L24,Assumptions!$F$4:$F$44))</f>
        <v>0</v>
      </c>
      <c r="AL24" s="21" t="n">
        <f aca="false">IF($J24=0,0,MAX(0,NETWORKDAYS(MAX($K24,AL$4),MIN($L24,EOMONTH(AL$4,0)),Assumptions!$F$4:$F$44))/NETWORKDAYS($K24,$L24,Assumptions!$F$4:$F$44))</f>
        <v>0</v>
      </c>
      <c r="AM24" s="21" t="n">
        <f aca="false">IF($J24=0,0,MAX(0,NETWORKDAYS(MAX($K24,AM$4),MIN($L24,EOMONTH(AM$4,0)),Assumptions!$F$4:$F$44))/NETWORKDAYS($K24,$L24,Assumptions!$F$4:$F$44))</f>
        <v>0</v>
      </c>
      <c r="AN24" s="21" t="n">
        <f aca="false">IF($J24=0,0,MAX(0,NETWORKDAYS(MAX($K24,AN$4),MIN($L24,EOMONTH(AN$4,0)),Assumptions!$F$4:$F$44))/NETWORKDAYS($K24,$L24,Assumptions!$F$4:$F$44))</f>
        <v>0</v>
      </c>
      <c r="AO24" s="21" t="n">
        <f aca="false">IF($J24=0,0,MAX(0,NETWORKDAYS(MAX($K24,AO$4),MIN($L24,EOMONTH(AO$4,0)),Assumptions!$F$4:$F$44))/NETWORKDAYS($K24,$L24,Assumptions!$F$4:$F$44))</f>
        <v>0</v>
      </c>
      <c r="AP24" s="21" t="n">
        <f aca="false">IF($J24=0,0,MAX(0,NETWORKDAYS(MAX($K24,AP$4),MIN($L24,EOMONTH(AP$4,0)),Assumptions!$F$4:$F$44))/NETWORKDAYS($K24,$L24,Assumptions!$F$4:$F$44))</f>
        <v>0</v>
      </c>
      <c r="AQ24" s="21" t="n">
        <f aca="false">IF($J24=0,0,MAX(0,NETWORKDAYS(MAX($K24,AQ$4),MIN($L24,EOMONTH(AQ$4,0)),Assumptions!$F$4:$F$44))/NETWORKDAYS($K24,$L24,Assumptions!$F$4:$F$44))</f>
        <v>0</v>
      </c>
      <c r="AR24" s="21" t="n">
        <f aca="false">IF($J24=0,0,MAX(0,NETWORKDAYS(MAX($K24,AR$4),MIN($L24,EOMONTH(AR$4,0)),Assumptions!$F$4:$F$44))/NETWORKDAYS($K24,$L24,Assumptions!$F$4:$F$44))</f>
        <v>0</v>
      </c>
      <c r="AS24" s="21" t="n">
        <f aca="false">IF($J24=0,0,MAX(0,NETWORKDAYS(MAX($K24,AS$4),MIN($L24,EOMONTH(AS$4,0)),Assumptions!$F$4:$F$44))/NETWORKDAYS($K24,$L24,Assumptions!$F$4:$F$44))</f>
        <v>0</v>
      </c>
      <c r="AT24" s="21" t="n">
        <f aca="false">IF($J24=0,0,MAX(0,NETWORKDAYS(MAX($K24,AT$4),MIN($L24,EOMONTH(AT$4,0)),Assumptions!$F$4:$F$44))/NETWORKDAYS($K24,$L24,Assumptions!$F$4:$F$44))</f>
        <v>0</v>
      </c>
      <c r="AU24" s="21" t="n">
        <f aca="false">IF($J24=0,0,MAX(0,NETWORKDAYS(MAX($K24,AU$4),MIN($L24,EOMONTH(AU$4,0)),Assumptions!$F$4:$F$44))/NETWORKDAYS($K24,$L24,Assumptions!$F$4:$F$44))</f>
        <v>0</v>
      </c>
      <c r="AV24" s="21" t="n">
        <f aca="false">IF($J24=0,0,MAX(0,NETWORKDAYS(MAX($K24,AV$4),MIN($L24,EOMONTH(AV$4,0)),Assumptions!$F$4:$F$44))/NETWORKDAYS($K24,$L24,Assumptions!$F$4:$F$44))</f>
        <v>0</v>
      </c>
      <c r="AW24" s="21" t="n">
        <f aca="false">IF($J24=0,0,MAX(0,NETWORKDAYS(MAX($K24,AW$4),MIN($L24,EOMONTH(AW$4,0)),Assumptions!$F$4:$F$44))/NETWORKDAYS($K24,$L24,Assumptions!$F$4:$F$44))</f>
        <v>0</v>
      </c>
      <c r="AX24" s="21" t="n">
        <f aca="false">IF($J24=0,0,MAX(0,NETWORKDAYS(MAX($K24,AX$4),MIN($L24,EOMONTH(AX$4,0)),Assumptions!$F$4:$F$44))/NETWORKDAYS($K24,$L24,Assumptions!$F$4:$F$44))</f>
        <v>0</v>
      </c>
      <c r="AY24" s="21" t="n">
        <f aca="false">IF($J24=0,0,MAX(0,NETWORKDAYS(MAX($K24,AY$4),MIN($L24,EOMONTH(AY$4,0)),Assumptions!$F$4:$F$44))/NETWORKDAYS($K24,$L24,Assumptions!$F$4:$F$44))</f>
        <v>0</v>
      </c>
      <c r="AZ24" s="21" t="n">
        <f aca="false">IF($J24=0,0,MAX(0,NETWORKDAYS(MAX($K24,AZ$4),MIN($L24,EOMONTH(AZ$4,0)),Assumptions!$F$4:$F$44))/NETWORKDAYS($K24,$L24,Assumptions!$F$4:$F$44))</f>
        <v>0</v>
      </c>
      <c r="BA24" s="21" t="n">
        <f aca="false">IF($J24=0,0,MAX(0,NETWORKDAYS(MAX($K24,BA$4),MIN($L24,EOMONTH(BA$4,0)),Assumptions!$F$4:$F$44))/NETWORKDAYS($K24,$L24,Assumptions!$F$4:$F$44))</f>
        <v>0</v>
      </c>
      <c r="BB24" s="21" t="n">
        <f aca="false">IF($J24=0,0,MAX(0,NETWORKDAYS(MAX($K24,BB$4),MIN($L24,EOMONTH(BB$4,0)),Assumptions!$F$4:$F$44))/NETWORKDAYS($K24,$L24,Assumptions!$F$4:$F$44))</f>
        <v>0</v>
      </c>
      <c r="BC24" s="21" t="n">
        <f aca="false">IF($J24=0,0,MAX(0,NETWORKDAYS(MAX($K24,BC$4),MIN($L24,EOMONTH(BC$4,0)),Assumptions!$F$4:$F$44))/NETWORKDAYS($K24,$L24,Assumptions!$F$4:$F$44))</f>
        <v>0</v>
      </c>
    </row>
    <row r="25" customFormat="false" ht="15" hidden="false" customHeight="false" outlineLevel="2" collapsed="false">
      <c r="A25" s="27" t="n">
        <v>21</v>
      </c>
      <c r="B25" s="27" t="s">
        <v>142</v>
      </c>
      <c r="C25" s="27" t="n">
        <v>3</v>
      </c>
      <c r="D25" s="27" t="s">
        <v>92</v>
      </c>
      <c r="E25" s="28" t="s">
        <v>143</v>
      </c>
      <c r="F25" s="27" t="s">
        <v>115</v>
      </c>
      <c r="G25" s="27"/>
      <c r="H25" s="27" t="s">
        <v>49</v>
      </c>
      <c r="I25" s="29" t="n">
        <v>5</v>
      </c>
      <c r="J25" s="29" t="n">
        <v>20</v>
      </c>
      <c r="K25" s="30" t="n">
        <f aca="false">WORKDAY(Assumptions!$C$4,I25,Assumptions!$F$4:$F$44)</f>
        <v>46335</v>
      </c>
      <c r="L25" s="30" t="n">
        <f aca="false">IF(J25=0,K25,WORKDAY(K25,J25-1,Assumptions!$F$4:$F$44))</f>
        <v>46360</v>
      </c>
      <c r="M25" s="29"/>
      <c r="N25" s="31" t="n">
        <v>0</v>
      </c>
      <c r="O25" s="31" t="n">
        <v>4</v>
      </c>
      <c r="P25" s="31" t="n">
        <v>0</v>
      </c>
      <c r="Q25" s="31" t="n">
        <v>0</v>
      </c>
      <c r="R25" s="31" t="n">
        <v>15</v>
      </c>
      <c r="S25" s="31" t="n">
        <v>0</v>
      </c>
      <c r="T25" s="31" t="n">
        <v>0</v>
      </c>
      <c r="U25" s="31" t="n">
        <v>0</v>
      </c>
      <c r="V25" s="31" t="n">
        <v>0</v>
      </c>
      <c r="W25" s="31" t="n">
        <v>0</v>
      </c>
      <c r="X25" s="31" t="n">
        <v>0</v>
      </c>
      <c r="Y25" s="32" t="n">
        <f aca="false">SUM(N25:X25)</f>
        <v>19</v>
      </c>
      <c r="Z25" s="32" t="n">
        <f aca="false">Y25*(1+Assumptions!$C$5)</f>
        <v>21.85</v>
      </c>
      <c r="AA25" s="27" t="s">
        <v>144</v>
      </c>
      <c r="AB25" s="27" t="s">
        <v>95</v>
      </c>
      <c r="AC25" s="27"/>
      <c r="AD25" s="33" t="n">
        <v>0</v>
      </c>
      <c r="AF25" s="21" t="n">
        <f aca="false">IF($J25=0,0,MAX(0,NETWORKDAYS(MAX($K25,AF$4),MIN($L25,EOMONTH(AF$4,0)),Assumptions!$F$4:$F$44))/NETWORKDAYS($K25,$L25,Assumptions!$F$4:$F$44))</f>
        <v>0.8</v>
      </c>
      <c r="AG25" s="21" t="n">
        <f aca="false">IF($J25=0,0,MAX(0,NETWORKDAYS(MAX($K25,AG$4),MIN($L25,EOMONTH(AG$4,0)),Assumptions!$F$4:$F$44))/NETWORKDAYS($K25,$L25,Assumptions!$F$4:$F$44))</f>
        <v>0.2</v>
      </c>
      <c r="AH25" s="21" t="n">
        <f aca="false">IF($J25=0,0,MAX(0,NETWORKDAYS(MAX($K25,AH$4),MIN($L25,EOMONTH(AH$4,0)),Assumptions!$F$4:$F$44))/NETWORKDAYS($K25,$L25,Assumptions!$F$4:$F$44))</f>
        <v>0</v>
      </c>
      <c r="AI25" s="21" t="n">
        <f aca="false">IF($J25=0,0,MAX(0,NETWORKDAYS(MAX($K25,AI$4),MIN($L25,EOMONTH(AI$4,0)),Assumptions!$F$4:$F$44))/NETWORKDAYS($K25,$L25,Assumptions!$F$4:$F$44))</f>
        <v>0</v>
      </c>
      <c r="AJ25" s="21" t="n">
        <f aca="false">IF($J25=0,0,MAX(0,NETWORKDAYS(MAX($K25,AJ$4),MIN($L25,EOMONTH(AJ$4,0)),Assumptions!$F$4:$F$44))/NETWORKDAYS($K25,$L25,Assumptions!$F$4:$F$44))</f>
        <v>0</v>
      </c>
      <c r="AK25" s="21" t="n">
        <f aca="false">IF($J25=0,0,MAX(0,NETWORKDAYS(MAX($K25,AK$4),MIN($L25,EOMONTH(AK$4,0)),Assumptions!$F$4:$F$44))/NETWORKDAYS($K25,$L25,Assumptions!$F$4:$F$44))</f>
        <v>0</v>
      </c>
      <c r="AL25" s="21" t="n">
        <f aca="false">IF($J25=0,0,MAX(0,NETWORKDAYS(MAX($K25,AL$4),MIN($L25,EOMONTH(AL$4,0)),Assumptions!$F$4:$F$44))/NETWORKDAYS($K25,$L25,Assumptions!$F$4:$F$44))</f>
        <v>0</v>
      </c>
      <c r="AM25" s="21" t="n">
        <f aca="false">IF($J25=0,0,MAX(0,NETWORKDAYS(MAX($K25,AM$4),MIN($L25,EOMONTH(AM$4,0)),Assumptions!$F$4:$F$44))/NETWORKDAYS($K25,$L25,Assumptions!$F$4:$F$44))</f>
        <v>0</v>
      </c>
      <c r="AN25" s="21" t="n">
        <f aca="false">IF($J25=0,0,MAX(0,NETWORKDAYS(MAX($K25,AN$4),MIN($L25,EOMONTH(AN$4,0)),Assumptions!$F$4:$F$44))/NETWORKDAYS($K25,$L25,Assumptions!$F$4:$F$44))</f>
        <v>0</v>
      </c>
      <c r="AO25" s="21" t="n">
        <f aca="false">IF($J25=0,0,MAX(0,NETWORKDAYS(MAX($K25,AO$4),MIN($L25,EOMONTH(AO$4,0)),Assumptions!$F$4:$F$44))/NETWORKDAYS($K25,$L25,Assumptions!$F$4:$F$44))</f>
        <v>0</v>
      </c>
      <c r="AP25" s="21" t="n">
        <f aca="false">IF($J25=0,0,MAX(0,NETWORKDAYS(MAX($K25,AP$4),MIN($L25,EOMONTH(AP$4,0)),Assumptions!$F$4:$F$44))/NETWORKDAYS($K25,$L25,Assumptions!$F$4:$F$44))</f>
        <v>0</v>
      </c>
      <c r="AQ25" s="21" t="n">
        <f aca="false">IF($J25=0,0,MAX(0,NETWORKDAYS(MAX($K25,AQ$4),MIN($L25,EOMONTH(AQ$4,0)),Assumptions!$F$4:$F$44))/NETWORKDAYS($K25,$L25,Assumptions!$F$4:$F$44))</f>
        <v>0</v>
      </c>
      <c r="AR25" s="21" t="n">
        <f aca="false">IF($J25=0,0,MAX(0,NETWORKDAYS(MAX($K25,AR$4),MIN($L25,EOMONTH(AR$4,0)),Assumptions!$F$4:$F$44))/NETWORKDAYS($K25,$L25,Assumptions!$F$4:$F$44))</f>
        <v>0</v>
      </c>
      <c r="AS25" s="21" t="n">
        <f aca="false">IF($J25=0,0,MAX(0,NETWORKDAYS(MAX($K25,AS$4),MIN($L25,EOMONTH(AS$4,0)),Assumptions!$F$4:$F$44))/NETWORKDAYS($K25,$L25,Assumptions!$F$4:$F$44))</f>
        <v>0</v>
      </c>
      <c r="AT25" s="21" t="n">
        <f aca="false">IF($J25=0,0,MAX(0,NETWORKDAYS(MAX($K25,AT$4),MIN($L25,EOMONTH(AT$4,0)),Assumptions!$F$4:$F$44))/NETWORKDAYS($K25,$L25,Assumptions!$F$4:$F$44))</f>
        <v>0</v>
      </c>
      <c r="AU25" s="21" t="n">
        <f aca="false">IF($J25=0,0,MAX(0,NETWORKDAYS(MAX($K25,AU$4),MIN($L25,EOMONTH(AU$4,0)),Assumptions!$F$4:$F$44))/NETWORKDAYS($K25,$L25,Assumptions!$F$4:$F$44))</f>
        <v>0</v>
      </c>
      <c r="AV25" s="21" t="n">
        <f aca="false">IF($J25=0,0,MAX(0,NETWORKDAYS(MAX($K25,AV$4),MIN($L25,EOMONTH(AV$4,0)),Assumptions!$F$4:$F$44))/NETWORKDAYS($K25,$L25,Assumptions!$F$4:$F$44))</f>
        <v>0</v>
      </c>
      <c r="AW25" s="21" t="n">
        <f aca="false">IF($J25=0,0,MAX(0,NETWORKDAYS(MAX($K25,AW$4),MIN($L25,EOMONTH(AW$4,0)),Assumptions!$F$4:$F$44))/NETWORKDAYS($K25,$L25,Assumptions!$F$4:$F$44))</f>
        <v>0</v>
      </c>
      <c r="AX25" s="21" t="n">
        <f aca="false">IF($J25=0,0,MAX(0,NETWORKDAYS(MAX($K25,AX$4),MIN($L25,EOMONTH(AX$4,0)),Assumptions!$F$4:$F$44))/NETWORKDAYS($K25,$L25,Assumptions!$F$4:$F$44))</f>
        <v>0</v>
      </c>
      <c r="AY25" s="21" t="n">
        <f aca="false">IF($J25=0,0,MAX(0,NETWORKDAYS(MAX($K25,AY$4),MIN($L25,EOMONTH(AY$4,0)),Assumptions!$F$4:$F$44))/NETWORKDAYS($K25,$L25,Assumptions!$F$4:$F$44))</f>
        <v>0</v>
      </c>
      <c r="AZ25" s="21" t="n">
        <f aca="false">IF($J25=0,0,MAX(0,NETWORKDAYS(MAX($K25,AZ$4),MIN($L25,EOMONTH(AZ$4,0)),Assumptions!$F$4:$F$44))/NETWORKDAYS($K25,$L25,Assumptions!$F$4:$F$44))</f>
        <v>0</v>
      </c>
      <c r="BA25" s="21" t="n">
        <f aca="false">IF($J25=0,0,MAX(0,NETWORKDAYS(MAX($K25,BA$4),MIN($L25,EOMONTH(BA$4,0)),Assumptions!$F$4:$F$44))/NETWORKDAYS($K25,$L25,Assumptions!$F$4:$F$44))</f>
        <v>0</v>
      </c>
      <c r="BB25" s="21" t="n">
        <f aca="false">IF($J25=0,0,MAX(0,NETWORKDAYS(MAX($K25,BB$4),MIN($L25,EOMONTH(BB$4,0)),Assumptions!$F$4:$F$44))/NETWORKDAYS($K25,$L25,Assumptions!$F$4:$F$44))</f>
        <v>0</v>
      </c>
      <c r="BC25" s="21" t="n">
        <f aca="false">IF($J25=0,0,MAX(0,NETWORKDAYS(MAX($K25,BC$4),MIN($L25,EOMONTH(BC$4,0)),Assumptions!$F$4:$F$44))/NETWORKDAYS($K25,$L25,Assumptions!$F$4:$F$44))</f>
        <v>0</v>
      </c>
    </row>
    <row r="26" customFormat="false" ht="15" hidden="false" customHeight="false" outlineLevel="2" collapsed="false">
      <c r="A26" s="27" t="n">
        <v>22</v>
      </c>
      <c r="B26" s="27" t="s">
        <v>145</v>
      </c>
      <c r="C26" s="27" t="n">
        <v>3</v>
      </c>
      <c r="D26" s="27" t="s">
        <v>92</v>
      </c>
      <c r="E26" s="28" t="s">
        <v>146</v>
      </c>
      <c r="F26" s="27" t="s">
        <v>115</v>
      </c>
      <c r="G26" s="27"/>
      <c r="H26" s="27" t="s">
        <v>59</v>
      </c>
      <c r="I26" s="29" t="n">
        <v>10</v>
      </c>
      <c r="J26" s="29" t="n">
        <v>15</v>
      </c>
      <c r="K26" s="30" t="n">
        <f aca="false">WORKDAY(Assumptions!$C$4,I26,Assumptions!$F$4:$F$44)</f>
        <v>46342</v>
      </c>
      <c r="L26" s="30" t="n">
        <f aca="false">IF(J26=0,K26,WORKDAY(K26,J26-1,Assumptions!$F$4:$F$44))</f>
        <v>46360</v>
      </c>
      <c r="M26" s="29"/>
      <c r="N26" s="31" t="n">
        <v>0</v>
      </c>
      <c r="O26" s="31" t="n">
        <v>4</v>
      </c>
      <c r="P26" s="31" t="n">
        <v>2</v>
      </c>
      <c r="Q26" s="31" t="n">
        <v>0</v>
      </c>
      <c r="R26" s="31" t="n">
        <v>0</v>
      </c>
      <c r="S26" s="31" t="n">
        <v>0</v>
      </c>
      <c r="T26" s="31" t="n">
        <v>0</v>
      </c>
      <c r="U26" s="31" t="n">
        <v>0</v>
      </c>
      <c r="V26" s="31" t="n">
        <v>0</v>
      </c>
      <c r="W26" s="31" t="n">
        <v>10</v>
      </c>
      <c r="X26" s="31" t="n">
        <v>0</v>
      </c>
      <c r="Y26" s="32" t="n">
        <f aca="false">SUM(N26:X26)</f>
        <v>16</v>
      </c>
      <c r="Z26" s="32" t="n">
        <f aca="false">Y26*(1+Assumptions!$C$5)</f>
        <v>18.4</v>
      </c>
      <c r="AA26" s="27" t="s">
        <v>147</v>
      </c>
      <c r="AB26" s="27" t="s">
        <v>95</v>
      </c>
      <c r="AC26" s="27"/>
      <c r="AD26" s="33" t="n">
        <v>0</v>
      </c>
      <c r="AF26" s="21" t="n">
        <f aca="false">IF($J26=0,0,MAX(0,NETWORKDAYS(MAX($K26,AF$4),MIN($L26,EOMONTH(AF$4,0)),Assumptions!$F$4:$F$44))/NETWORKDAYS($K26,$L26,Assumptions!$F$4:$F$44))</f>
        <v>0.733333333333333</v>
      </c>
      <c r="AG26" s="21" t="n">
        <f aca="false">IF($J26=0,0,MAX(0,NETWORKDAYS(MAX($K26,AG$4),MIN($L26,EOMONTH(AG$4,0)),Assumptions!$F$4:$F$44))/NETWORKDAYS($K26,$L26,Assumptions!$F$4:$F$44))</f>
        <v>0.266666666666667</v>
      </c>
      <c r="AH26" s="21" t="n">
        <f aca="false">IF($J26=0,0,MAX(0,NETWORKDAYS(MAX($K26,AH$4),MIN($L26,EOMONTH(AH$4,0)),Assumptions!$F$4:$F$44))/NETWORKDAYS($K26,$L26,Assumptions!$F$4:$F$44))</f>
        <v>0</v>
      </c>
      <c r="AI26" s="21" t="n">
        <f aca="false">IF($J26=0,0,MAX(0,NETWORKDAYS(MAX($K26,AI$4),MIN($L26,EOMONTH(AI$4,0)),Assumptions!$F$4:$F$44))/NETWORKDAYS($K26,$L26,Assumptions!$F$4:$F$44))</f>
        <v>0</v>
      </c>
      <c r="AJ26" s="21" t="n">
        <f aca="false">IF($J26=0,0,MAX(0,NETWORKDAYS(MAX($K26,AJ$4),MIN($L26,EOMONTH(AJ$4,0)),Assumptions!$F$4:$F$44))/NETWORKDAYS($K26,$L26,Assumptions!$F$4:$F$44))</f>
        <v>0</v>
      </c>
      <c r="AK26" s="21" t="n">
        <f aca="false">IF($J26=0,0,MAX(0,NETWORKDAYS(MAX($K26,AK$4),MIN($L26,EOMONTH(AK$4,0)),Assumptions!$F$4:$F$44))/NETWORKDAYS($K26,$L26,Assumptions!$F$4:$F$44))</f>
        <v>0</v>
      </c>
      <c r="AL26" s="21" t="n">
        <f aca="false">IF($J26=0,0,MAX(0,NETWORKDAYS(MAX($K26,AL$4),MIN($L26,EOMONTH(AL$4,0)),Assumptions!$F$4:$F$44))/NETWORKDAYS($K26,$L26,Assumptions!$F$4:$F$44))</f>
        <v>0</v>
      </c>
      <c r="AM26" s="21" t="n">
        <f aca="false">IF($J26=0,0,MAX(0,NETWORKDAYS(MAX($K26,AM$4),MIN($L26,EOMONTH(AM$4,0)),Assumptions!$F$4:$F$44))/NETWORKDAYS($K26,$L26,Assumptions!$F$4:$F$44))</f>
        <v>0</v>
      </c>
      <c r="AN26" s="21" t="n">
        <f aca="false">IF($J26=0,0,MAX(0,NETWORKDAYS(MAX($K26,AN$4),MIN($L26,EOMONTH(AN$4,0)),Assumptions!$F$4:$F$44))/NETWORKDAYS($K26,$L26,Assumptions!$F$4:$F$44))</f>
        <v>0</v>
      </c>
      <c r="AO26" s="21" t="n">
        <f aca="false">IF($J26=0,0,MAX(0,NETWORKDAYS(MAX($K26,AO$4),MIN($L26,EOMONTH(AO$4,0)),Assumptions!$F$4:$F$44))/NETWORKDAYS($K26,$L26,Assumptions!$F$4:$F$44))</f>
        <v>0</v>
      </c>
      <c r="AP26" s="21" t="n">
        <f aca="false">IF($J26=0,0,MAX(0,NETWORKDAYS(MAX($K26,AP$4),MIN($L26,EOMONTH(AP$4,0)),Assumptions!$F$4:$F$44))/NETWORKDAYS($K26,$L26,Assumptions!$F$4:$F$44))</f>
        <v>0</v>
      </c>
      <c r="AQ26" s="21" t="n">
        <f aca="false">IF($J26=0,0,MAX(0,NETWORKDAYS(MAX($K26,AQ$4),MIN($L26,EOMONTH(AQ$4,0)),Assumptions!$F$4:$F$44))/NETWORKDAYS($K26,$L26,Assumptions!$F$4:$F$44))</f>
        <v>0</v>
      </c>
      <c r="AR26" s="21" t="n">
        <f aca="false">IF($J26=0,0,MAX(0,NETWORKDAYS(MAX($K26,AR$4),MIN($L26,EOMONTH(AR$4,0)),Assumptions!$F$4:$F$44))/NETWORKDAYS($K26,$L26,Assumptions!$F$4:$F$44))</f>
        <v>0</v>
      </c>
      <c r="AS26" s="21" t="n">
        <f aca="false">IF($J26=0,0,MAX(0,NETWORKDAYS(MAX($K26,AS$4),MIN($L26,EOMONTH(AS$4,0)),Assumptions!$F$4:$F$44))/NETWORKDAYS($K26,$L26,Assumptions!$F$4:$F$44))</f>
        <v>0</v>
      </c>
      <c r="AT26" s="21" t="n">
        <f aca="false">IF($J26=0,0,MAX(0,NETWORKDAYS(MAX($K26,AT$4),MIN($L26,EOMONTH(AT$4,0)),Assumptions!$F$4:$F$44))/NETWORKDAYS($K26,$L26,Assumptions!$F$4:$F$44))</f>
        <v>0</v>
      </c>
      <c r="AU26" s="21" t="n">
        <f aca="false">IF($J26=0,0,MAX(0,NETWORKDAYS(MAX($K26,AU$4),MIN($L26,EOMONTH(AU$4,0)),Assumptions!$F$4:$F$44))/NETWORKDAYS($K26,$L26,Assumptions!$F$4:$F$44))</f>
        <v>0</v>
      </c>
      <c r="AV26" s="21" t="n">
        <f aca="false">IF($J26=0,0,MAX(0,NETWORKDAYS(MAX($K26,AV$4),MIN($L26,EOMONTH(AV$4,0)),Assumptions!$F$4:$F$44))/NETWORKDAYS($K26,$L26,Assumptions!$F$4:$F$44))</f>
        <v>0</v>
      </c>
      <c r="AW26" s="21" t="n">
        <f aca="false">IF($J26=0,0,MAX(0,NETWORKDAYS(MAX($K26,AW$4),MIN($L26,EOMONTH(AW$4,0)),Assumptions!$F$4:$F$44))/NETWORKDAYS($K26,$L26,Assumptions!$F$4:$F$44))</f>
        <v>0</v>
      </c>
      <c r="AX26" s="21" t="n">
        <f aca="false">IF($J26=0,0,MAX(0,NETWORKDAYS(MAX($K26,AX$4),MIN($L26,EOMONTH(AX$4,0)),Assumptions!$F$4:$F$44))/NETWORKDAYS($K26,$L26,Assumptions!$F$4:$F$44))</f>
        <v>0</v>
      </c>
      <c r="AY26" s="21" t="n">
        <f aca="false">IF($J26=0,0,MAX(0,NETWORKDAYS(MAX($K26,AY$4),MIN($L26,EOMONTH(AY$4,0)),Assumptions!$F$4:$F$44))/NETWORKDAYS($K26,$L26,Assumptions!$F$4:$F$44))</f>
        <v>0</v>
      </c>
      <c r="AZ26" s="21" t="n">
        <f aca="false">IF($J26=0,0,MAX(0,NETWORKDAYS(MAX($K26,AZ$4),MIN($L26,EOMONTH(AZ$4,0)),Assumptions!$F$4:$F$44))/NETWORKDAYS($K26,$L26,Assumptions!$F$4:$F$44))</f>
        <v>0</v>
      </c>
      <c r="BA26" s="21" t="n">
        <f aca="false">IF($J26=0,0,MAX(0,NETWORKDAYS(MAX($K26,BA$4),MIN($L26,EOMONTH(BA$4,0)),Assumptions!$F$4:$F$44))/NETWORKDAYS($K26,$L26,Assumptions!$F$4:$F$44))</f>
        <v>0</v>
      </c>
      <c r="BB26" s="21" t="n">
        <f aca="false">IF($J26=0,0,MAX(0,NETWORKDAYS(MAX($K26,BB$4),MIN($L26,EOMONTH(BB$4,0)),Assumptions!$F$4:$F$44))/NETWORKDAYS($K26,$L26,Assumptions!$F$4:$F$44))</f>
        <v>0</v>
      </c>
      <c r="BC26" s="21" t="n">
        <f aca="false">IF($J26=0,0,MAX(0,NETWORKDAYS(MAX($K26,BC$4),MIN($L26,EOMONTH(BC$4,0)),Assumptions!$F$4:$F$44))/NETWORKDAYS($K26,$L26,Assumptions!$F$4:$F$44))</f>
        <v>0</v>
      </c>
    </row>
    <row r="27" customFormat="false" ht="15" hidden="false" customHeight="false" outlineLevel="1" collapsed="false">
      <c r="A27" s="34" t="n">
        <v>23</v>
      </c>
      <c r="B27" s="34" t="s">
        <v>148</v>
      </c>
      <c r="C27" s="34" t="n">
        <v>2</v>
      </c>
      <c r="D27" s="34" t="s">
        <v>149</v>
      </c>
      <c r="E27" s="35" t="s">
        <v>150</v>
      </c>
      <c r="F27" s="34" t="s">
        <v>115</v>
      </c>
      <c r="G27" s="34"/>
      <c r="H27" s="34"/>
      <c r="I27" s="36" t="n">
        <v>25</v>
      </c>
      <c r="J27" s="36" t="n">
        <v>0</v>
      </c>
      <c r="K27" s="37" t="n">
        <f aca="false">WORKDAY(Assumptions!$C$4,I27,Assumptions!$F$4:$F$44)</f>
        <v>46363</v>
      </c>
      <c r="L27" s="37" t="n">
        <f aca="false">IF(J27=0,K27,WORKDAY(K27,J27-1,Assumptions!$F$4:$F$44))</f>
        <v>46363</v>
      </c>
      <c r="M27" s="36" t="s">
        <v>151</v>
      </c>
      <c r="N27" s="38" t="n">
        <v>0</v>
      </c>
      <c r="O27" s="38" t="n">
        <v>0</v>
      </c>
      <c r="P27" s="38" t="n">
        <v>0</v>
      </c>
      <c r="Q27" s="38" t="n">
        <v>0</v>
      </c>
      <c r="R27" s="38" t="n">
        <v>0</v>
      </c>
      <c r="S27" s="38" t="n">
        <v>0</v>
      </c>
      <c r="T27" s="38" t="n">
        <v>0</v>
      </c>
      <c r="U27" s="38" t="n">
        <v>0</v>
      </c>
      <c r="V27" s="38" t="n">
        <v>0</v>
      </c>
      <c r="W27" s="38" t="n">
        <v>0</v>
      </c>
      <c r="X27" s="38" t="n">
        <v>0</v>
      </c>
      <c r="Y27" s="38" t="n">
        <f aca="false">SUM(N27:X27)</f>
        <v>0</v>
      </c>
      <c r="Z27" s="38" t="n">
        <f aca="false">Y27*(1+Assumptions!$C$5)</f>
        <v>0</v>
      </c>
      <c r="AA27" s="34"/>
      <c r="AB27" s="34" t="s">
        <v>95</v>
      </c>
      <c r="AC27" s="34"/>
      <c r="AD27" s="39" t="n">
        <v>0</v>
      </c>
      <c r="AF27" s="21" t="n">
        <v>0</v>
      </c>
      <c r="AG27" s="21" t="n">
        <v>0</v>
      </c>
      <c r="AH27" s="21" t="n">
        <v>0</v>
      </c>
      <c r="AI27" s="21" t="n">
        <v>0</v>
      </c>
      <c r="AJ27" s="21" t="n">
        <v>0</v>
      </c>
      <c r="AK27" s="21" t="n">
        <v>0</v>
      </c>
      <c r="AL27" s="21" t="n">
        <v>0</v>
      </c>
      <c r="AM27" s="21" t="n">
        <v>0</v>
      </c>
      <c r="AN27" s="21" t="n">
        <v>0</v>
      </c>
      <c r="AO27" s="21" t="n">
        <v>0</v>
      </c>
      <c r="AP27" s="21" t="n">
        <v>0</v>
      </c>
      <c r="AQ27" s="21" t="n">
        <v>0</v>
      </c>
      <c r="AR27" s="21" t="n">
        <v>0</v>
      </c>
      <c r="AS27" s="21" t="n">
        <v>0</v>
      </c>
      <c r="AT27" s="21" t="n">
        <v>0</v>
      </c>
      <c r="AU27" s="21" t="n">
        <v>0</v>
      </c>
      <c r="AV27" s="21" t="n">
        <v>0</v>
      </c>
      <c r="AW27" s="21" t="n">
        <v>0</v>
      </c>
      <c r="AX27" s="21" t="n">
        <v>0</v>
      </c>
      <c r="AY27" s="21" t="n">
        <v>0</v>
      </c>
      <c r="AZ27" s="21" t="n">
        <v>0</v>
      </c>
      <c r="BA27" s="21" t="n">
        <v>0</v>
      </c>
      <c r="BB27" s="21" t="n">
        <v>0</v>
      </c>
      <c r="BC27" s="21" t="n">
        <v>0</v>
      </c>
    </row>
    <row r="28" customFormat="false" ht="15" hidden="false" customHeight="false" outlineLevel="0" collapsed="false">
      <c r="A28" s="17" t="n">
        <v>24</v>
      </c>
      <c r="B28" s="17" t="s">
        <v>152</v>
      </c>
      <c r="C28" s="17" t="n">
        <v>1</v>
      </c>
      <c r="D28" s="17" t="s">
        <v>71</v>
      </c>
      <c r="E28" s="17" t="s">
        <v>153</v>
      </c>
      <c r="F28" s="17" t="s">
        <v>154</v>
      </c>
      <c r="G28" s="17"/>
      <c r="H28" s="17"/>
      <c r="I28" s="17"/>
      <c r="J28" s="17" t="n">
        <f aca="false">NETWORKDAYS(K28,L28,Assumptions!$F$4:$F$44)</f>
        <v>84</v>
      </c>
      <c r="K28" s="18" t="n">
        <f aca="false">MIN(K29:K105)</f>
        <v>46342</v>
      </c>
      <c r="L28" s="18" t="n">
        <f aca="false">MAX(L29:L105)</f>
        <v>46457</v>
      </c>
      <c r="M28" s="17"/>
      <c r="N28" s="19" t="n">
        <f aca="false">SUMPRODUCT(($C$29:$C$105=3)*(N29:N105))</f>
        <v>0</v>
      </c>
      <c r="O28" s="19" t="n">
        <f aca="false">SUMPRODUCT(($C$29:$C$105=3)*(O29:O105))</f>
        <v>15</v>
      </c>
      <c r="P28" s="19" t="n">
        <f aca="false">SUMPRODUCT(($C$29:$C$105=3)*(P29:P105))</f>
        <v>56</v>
      </c>
      <c r="Q28" s="19" t="n">
        <f aca="false">SUMPRODUCT(($C$29:$C$105=3)*(Q29:Q105))</f>
        <v>320</v>
      </c>
      <c r="R28" s="19" t="n">
        <f aca="false">SUMPRODUCT(($C$29:$C$105=3)*(R29:R105))</f>
        <v>97</v>
      </c>
      <c r="S28" s="19" t="n">
        <f aca="false">SUMPRODUCT(($C$29:$C$105=3)*(S29:S105))</f>
        <v>49</v>
      </c>
      <c r="T28" s="19" t="n">
        <f aca="false">SUMPRODUCT(($C$29:$C$105=3)*(T29:T105))</f>
        <v>32</v>
      </c>
      <c r="U28" s="19" t="n">
        <f aca="false">SUMPRODUCT(($C$29:$C$105=3)*(U29:U105))</f>
        <v>95</v>
      </c>
      <c r="V28" s="19" t="n">
        <f aca="false">SUMPRODUCT(($C$29:$C$105=3)*(V29:V105))</f>
        <v>112</v>
      </c>
      <c r="W28" s="19" t="n">
        <f aca="false">SUMPRODUCT(($C$29:$C$105=3)*(W29:W105))</f>
        <v>9</v>
      </c>
      <c r="X28" s="19" t="n">
        <f aca="false">SUMPRODUCT(($C$29:$C$105=3)*(X29:X105))</f>
        <v>0</v>
      </c>
      <c r="Y28" s="19" t="n">
        <f aca="false">SUM(N28:X28)</f>
        <v>785</v>
      </c>
      <c r="Z28" s="19" t="n">
        <f aca="false">Y28*(1+Assumptions!$C$5)</f>
        <v>902.75</v>
      </c>
      <c r="AA28" s="17"/>
      <c r="AB28" s="17"/>
      <c r="AC28" s="17"/>
      <c r="AD28" s="20"/>
      <c r="AF28" s="21" t="n">
        <v>0</v>
      </c>
      <c r="AG28" s="21" t="n">
        <v>0</v>
      </c>
      <c r="AH28" s="21" t="n">
        <v>0</v>
      </c>
      <c r="AI28" s="21" t="n">
        <v>0</v>
      </c>
      <c r="AJ28" s="21" t="n">
        <v>0</v>
      </c>
      <c r="AK28" s="21" t="n">
        <v>0</v>
      </c>
      <c r="AL28" s="21" t="n">
        <v>0</v>
      </c>
      <c r="AM28" s="21" t="n">
        <v>0</v>
      </c>
      <c r="AN28" s="21" t="n">
        <v>0</v>
      </c>
      <c r="AO28" s="21" t="n">
        <v>0</v>
      </c>
      <c r="AP28" s="21" t="n">
        <v>0</v>
      </c>
      <c r="AQ28" s="21" t="n">
        <v>0</v>
      </c>
      <c r="AR28" s="21" t="n">
        <v>0</v>
      </c>
      <c r="AS28" s="21" t="n">
        <v>0</v>
      </c>
      <c r="AT28" s="21" t="n">
        <v>0</v>
      </c>
      <c r="AU28" s="21" t="n">
        <v>0</v>
      </c>
      <c r="AV28" s="21" t="n">
        <v>0</v>
      </c>
      <c r="AW28" s="21" t="n">
        <v>0</v>
      </c>
      <c r="AX28" s="21" t="n">
        <v>0</v>
      </c>
      <c r="AY28" s="21" t="n">
        <v>0</v>
      </c>
      <c r="AZ28" s="21" t="n">
        <v>0</v>
      </c>
      <c r="BA28" s="21" t="n">
        <v>0</v>
      </c>
      <c r="BB28" s="21" t="n">
        <v>0</v>
      </c>
      <c r="BC28" s="21" t="n">
        <v>0</v>
      </c>
    </row>
    <row r="29" customFormat="false" ht="15" hidden="false" customHeight="false" outlineLevel="1" collapsed="false">
      <c r="A29" s="22" t="n">
        <v>25</v>
      </c>
      <c r="B29" s="22" t="s">
        <v>155</v>
      </c>
      <c r="C29" s="22" t="n">
        <v>2</v>
      </c>
      <c r="D29" s="22" t="s">
        <v>89</v>
      </c>
      <c r="E29" s="23" t="s">
        <v>156</v>
      </c>
      <c r="F29" s="22" t="s">
        <v>154</v>
      </c>
      <c r="G29" s="22" t="s">
        <v>157</v>
      </c>
      <c r="H29" s="22"/>
      <c r="I29" s="22"/>
      <c r="J29" s="22" t="n">
        <f aca="false">NETWORKDAYS(K29,L29,Assumptions!$F$4:$F$44)</f>
        <v>51</v>
      </c>
      <c r="K29" s="24" t="n">
        <f aca="false">MIN(K30:K32)</f>
        <v>46342</v>
      </c>
      <c r="L29" s="24" t="n">
        <f aca="false">MAX(L30:L32)</f>
        <v>46412</v>
      </c>
      <c r="M29" s="22"/>
      <c r="N29" s="25" t="n">
        <f aca="false">SUMPRODUCT(($C$30:$C$32=3)*(N30:N32))</f>
        <v>0</v>
      </c>
      <c r="O29" s="25" t="n">
        <f aca="false">SUMPRODUCT(($C$30:$C$32=3)*(O30:O32))</f>
        <v>0</v>
      </c>
      <c r="P29" s="25" t="n">
        <f aca="false">SUMPRODUCT(($C$30:$C$32=3)*(P30:P32))</f>
        <v>4</v>
      </c>
      <c r="Q29" s="25" t="n">
        <f aca="false">SUMPRODUCT(($C$30:$C$32=3)*(Q30:Q32))</f>
        <v>33</v>
      </c>
      <c r="R29" s="25" t="n">
        <f aca="false">SUMPRODUCT(($C$30:$C$32=3)*(R30:R32))</f>
        <v>7</v>
      </c>
      <c r="S29" s="25" t="n">
        <f aca="false">SUMPRODUCT(($C$30:$C$32=3)*(S30:S32))</f>
        <v>0</v>
      </c>
      <c r="T29" s="25" t="n">
        <f aca="false">SUMPRODUCT(($C$30:$C$32=3)*(T30:T32))</f>
        <v>0</v>
      </c>
      <c r="U29" s="25" t="n">
        <f aca="false">SUMPRODUCT(($C$30:$C$32=3)*(U30:U32))</f>
        <v>4</v>
      </c>
      <c r="V29" s="25" t="n">
        <f aca="false">SUMPRODUCT(($C$30:$C$32=3)*(V30:V32))</f>
        <v>10</v>
      </c>
      <c r="W29" s="25" t="n">
        <f aca="false">SUMPRODUCT(($C$30:$C$32=3)*(W30:W32))</f>
        <v>0</v>
      </c>
      <c r="X29" s="25" t="n">
        <f aca="false">SUMPRODUCT(($C$30:$C$32=3)*(X30:X32))</f>
        <v>0</v>
      </c>
      <c r="Y29" s="25" t="n">
        <f aca="false">SUM(N29:X29)</f>
        <v>58</v>
      </c>
      <c r="Z29" s="25" t="n">
        <f aca="false">Y29*(1+Assumptions!$C$5)</f>
        <v>66.7</v>
      </c>
      <c r="AA29" s="22" t="s">
        <v>158</v>
      </c>
      <c r="AB29" s="22"/>
      <c r="AC29" s="22"/>
      <c r="AD29" s="26"/>
      <c r="AF29" s="21" t="n">
        <v>0</v>
      </c>
      <c r="AG29" s="21" t="n">
        <v>0</v>
      </c>
      <c r="AH29" s="21" t="n">
        <v>0</v>
      </c>
      <c r="AI29" s="21" t="n">
        <v>0</v>
      </c>
      <c r="AJ29" s="21" t="n">
        <v>0</v>
      </c>
      <c r="AK29" s="21" t="n">
        <v>0</v>
      </c>
      <c r="AL29" s="21" t="n">
        <v>0</v>
      </c>
      <c r="AM29" s="21" t="n">
        <v>0</v>
      </c>
      <c r="AN29" s="21" t="n">
        <v>0</v>
      </c>
      <c r="AO29" s="21" t="n">
        <v>0</v>
      </c>
      <c r="AP29" s="21" t="n">
        <v>0</v>
      </c>
      <c r="AQ29" s="21" t="n">
        <v>0</v>
      </c>
      <c r="AR29" s="21" t="n">
        <v>0</v>
      </c>
      <c r="AS29" s="21" t="n">
        <v>0</v>
      </c>
      <c r="AT29" s="21" t="n">
        <v>0</v>
      </c>
      <c r="AU29" s="21" t="n">
        <v>0</v>
      </c>
      <c r="AV29" s="21" t="n">
        <v>0</v>
      </c>
      <c r="AW29" s="21" t="n">
        <v>0</v>
      </c>
      <c r="AX29" s="21" t="n">
        <v>0</v>
      </c>
      <c r="AY29" s="21" t="n">
        <v>0</v>
      </c>
      <c r="AZ29" s="21" t="n">
        <v>0</v>
      </c>
      <c r="BA29" s="21" t="n">
        <v>0</v>
      </c>
      <c r="BB29" s="21" t="n">
        <v>0</v>
      </c>
      <c r="BC29" s="21" t="n">
        <v>0</v>
      </c>
    </row>
    <row r="30" customFormat="false" ht="15" hidden="false" customHeight="false" outlineLevel="2" collapsed="false">
      <c r="A30" s="27" t="n">
        <v>26</v>
      </c>
      <c r="B30" s="27" t="s">
        <v>159</v>
      </c>
      <c r="C30" s="27" t="n">
        <v>3</v>
      </c>
      <c r="D30" s="27" t="s">
        <v>92</v>
      </c>
      <c r="E30" s="28" t="s">
        <v>160</v>
      </c>
      <c r="F30" s="27" t="s">
        <v>154</v>
      </c>
      <c r="G30" s="27" t="s">
        <v>157</v>
      </c>
      <c r="H30" s="27" t="s">
        <v>45</v>
      </c>
      <c r="I30" s="29" t="n">
        <v>10</v>
      </c>
      <c r="J30" s="29" t="n">
        <v>10</v>
      </c>
      <c r="K30" s="30" t="n">
        <f aca="false">WORKDAY(Assumptions!$C$4,I30,Assumptions!$F$4:$F$44)</f>
        <v>46342</v>
      </c>
      <c r="L30" s="30" t="n">
        <f aca="false">IF(J30=0,K30,WORKDAY(K30,J30-1,Assumptions!$F$4:$F$44))</f>
        <v>46353</v>
      </c>
      <c r="M30" s="29" t="s">
        <v>161</v>
      </c>
      <c r="N30" s="31" t="n">
        <v>0</v>
      </c>
      <c r="O30" s="31" t="n">
        <v>0</v>
      </c>
      <c r="P30" s="31" t="n">
        <v>4</v>
      </c>
      <c r="Q30" s="31" t="n">
        <v>3</v>
      </c>
      <c r="R30" s="31" t="n">
        <v>0</v>
      </c>
      <c r="S30" s="31" t="n">
        <v>0</v>
      </c>
      <c r="T30" s="31" t="n">
        <v>0</v>
      </c>
      <c r="U30" s="31" t="n">
        <v>0</v>
      </c>
      <c r="V30" s="31" t="n">
        <v>0</v>
      </c>
      <c r="W30" s="31" t="n">
        <v>0</v>
      </c>
      <c r="X30" s="31" t="n">
        <v>0</v>
      </c>
      <c r="Y30" s="32" t="n">
        <f aca="false">SUM(N30:X30)</f>
        <v>7</v>
      </c>
      <c r="Z30" s="32" t="n">
        <f aca="false">Y30*(1+Assumptions!$C$5)</f>
        <v>8.05</v>
      </c>
      <c r="AA30" s="27" t="s">
        <v>162</v>
      </c>
      <c r="AB30" s="27" t="s">
        <v>95</v>
      </c>
      <c r="AC30" s="27"/>
      <c r="AD30" s="33" t="n">
        <v>0</v>
      </c>
      <c r="AF30" s="21" t="n">
        <f aca="false">IF($J30=0,0,MAX(0,NETWORKDAYS(MAX($K30,AF$4),MIN($L30,EOMONTH(AF$4,0)),Assumptions!$F$4:$F$44))/NETWORKDAYS($K30,$L30,Assumptions!$F$4:$F$44))</f>
        <v>1</v>
      </c>
      <c r="AG30" s="21" t="n">
        <f aca="false">IF($J30=0,0,MAX(0,NETWORKDAYS(MAX($K30,AG$4),MIN($L30,EOMONTH(AG$4,0)),Assumptions!$F$4:$F$44))/NETWORKDAYS($K30,$L30,Assumptions!$F$4:$F$44))</f>
        <v>0</v>
      </c>
      <c r="AH30" s="21" t="n">
        <f aca="false">IF($J30=0,0,MAX(0,NETWORKDAYS(MAX($K30,AH$4),MIN($L30,EOMONTH(AH$4,0)),Assumptions!$F$4:$F$44))/NETWORKDAYS($K30,$L30,Assumptions!$F$4:$F$44))</f>
        <v>0</v>
      </c>
      <c r="AI30" s="21" t="n">
        <f aca="false">IF($J30=0,0,MAX(0,NETWORKDAYS(MAX($K30,AI$4),MIN($L30,EOMONTH(AI$4,0)),Assumptions!$F$4:$F$44))/NETWORKDAYS($K30,$L30,Assumptions!$F$4:$F$44))</f>
        <v>0</v>
      </c>
      <c r="AJ30" s="21" t="n">
        <f aca="false">IF($J30=0,0,MAX(0,NETWORKDAYS(MAX($K30,AJ$4),MIN($L30,EOMONTH(AJ$4,0)),Assumptions!$F$4:$F$44))/NETWORKDAYS($K30,$L30,Assumptions!$F$4:$F$44))</f>
        <v>0</v>
      </c>
      <c r="AK30" s="21" t="n">
        <f aca="false">IF($J30=0,0,MAX(0,NETWORKDAYS(MAX($K30,AK$4),MIN($L30,EOMONTH(AK$4,0)),Assumptions!$F$4:$F$44))/NETWORKDAYS($K30,$L30,Assumptions!$F$4:$F$44))</f>
        <v>0</v>
      </c>
      <c r="AL30" s="21" t="n">
        <f aca="false">IF($J30=0,0,MAX(0,NETWORKDAYS(MAX($K30,AL$4),MIN($L30,EOMONTH(AL$4,0)),Assumptions!$F$4:$F$44))/NETWORKDAYS($K30,$L30,Assumptions!$F$4:$F$44))</f>
        <v>0</v>
      </c>
      <c r="AM30" s="21" t="n">
        <f aca="false">IF($J30=0,0,MAX(0,NETWORKDAYS(MAX($K30,AM$4),MIN($L30,EOMONTH(AM$4,0)),Assumptions!$F$4:$F$44))/NETWORKDAYS($K30,$L30,Assumptions!$F$4:$F$44))</f>
        <v>0</v>
      </c>
      <c r="AN30" s="21" t="n">
        <f aca="false">IF($J30=0,0,MAX(0,NETWORKDAYS(MAX($K30,AN$4),MIN($L30,EOMONTH(AN$4,0)),Assumptions!$F$4:$F$44))/NETWORKDAYS($K30,$L30,Assumptions!$F$4:$F$44))</f>
        <v>0</v>
      </c>
      <c r="AO30" s="21" t="n">
        <f aca="false">IF($J30=0,0,MAX(0,NETWORKDAYS(MAX($K30,AO$4),MIN($L30,EOMONTH(AO$4,0)),Assumptions!$F$4:$F$44))/NETWORKDAYS($K30,$L30,Assumptions!$F$4:$F$44))</f>
        <v>0</v>
      </c>
      <c r="AP30" s="21" t="n">
        <f aca="false">IF($J30=0,0,MAX(0,NETWORKDAYS(MAX($K30,AP$4),MIN($L30,EOMONTH(AP$4,0)),Assumptions!$F$4:$F$44))/NETWORKDAYS($K30,$L30,Assumptions!$F$4:$F$44))</f>
        <v>0</v>
      </c>
      <c r="AQ30" s="21" t="n">
        <f aca="false">IF($J30=0,0,MAX(0,NETWORKDAYS(MAX($K30,AQ$4),MIN($L30,EOMONTH(AQ$4,0)),Assumptions!$F$4:$F$44))/NETWORKDAYS($K30,$L30,Assumptions!$F$4:$F$44))</f>
        <v>0</v>
      </c>
      <c r="AR30" s="21" t="n">
        <f aca="false">IF($J30=0,0,MAX(0,NETWORKDAYS(MAX($K30,AR$4),MIN($L30,EOMONTH(AR$4,0)),Assumptions!$F$4:$F$44))/NETWORKDAYS($K30,$L30,Assumptions!$F$4:$F$44))</f>
        <v>0</v>
      </c>
      <c r="AS30" s="21" t="n">
        <f aca="false">IF($J30=0,0,MAX(0,NETWORKDAYS(MAX($K30,AS$4),MIN($L30,EOMONTH(AS$4,0)),Assumptions!$F$4:$F$44))/NETWORKDAYS($K30,$L30,Assumptions!$F$4:$F$44))</f>
        <v>0</v>
      </c>
      <c r="AT30" s="21" t="n">
        <f aca="false">IF($J30=0,0,MAX(0,NETWORKDAYS(MAX($K30,AT$4),MIN($L30,EOMONTH(AT$4,0)),Assumptions!$F$4:$F$44))/NETWORKDAYS($K30,$L30,Assumptions!$F$4:$F$44))</f>
        <v>0</v>
      </c>
      <c r="AU30" s="21" t="n">
        <f aca="false">IF($J30=0,0,MAX(0,NETWORKDAYS(MAX($K30,AU$4),MIN($L30,EOMONTH(AU$4,0)),Assumptions!$F$4:$F$44))/NETWORKDAYS($K30,$L30,Assumptions!$F$4:$F$44))</f>
        <v>0</v>
      </c>
      <c r="AV30" s="21" t="n">
        <f aca="false">IF($J30=0,0,MAX(0,NETWORKDAYS(MAX($K30,AV$4),MIN($L30,EOMONTH(AV$4,0)),Assumptions!$F$4:$F$44))/NETWORKDAYS($K30,$L30,Assumptions!$F$4:$F$44))</f>
        <v>0</v>
      </c>
      <c r="AW30" s="21" t="n">
        <f aca="false">IF($J30=0,0,MAX(0,NETWORKDAYS(MAX($K30,AW$4),MIN($L30,EOMONTH(AW$4,0)),Assumptions!$F$4:$F$44))/NETWORKDAYS($K30,$L30,Assumptions!$F$4:$F$44))</f>
        <v>0</v>
      </c>
      <c r="AX30" s="21" t="n">
        <f aca="false">IF($J30=0,0,MAX(0,NETWORKDAYS(MAX($K30,AX$4),MIN($L30,EOMONTH(AX$4,0)),Assumptions!$F$4:$F$44))/NETWORKDAYS($K30,$L30,Assumptions!$F$4:$F$44))</f>
        <v>0</v>
      </c>
      <c r="AY30" s="21" t="n">
        <f aca="false">IF($J30=0,0,MAX(0,NETWORKDAYS(MAX($K30,AY$4),MIN($L30,EOMONTH(AY$4,0)),Assumptions!$F$4:$F$44))/NETWORKDAYS($K30,$L30,Assumptions!$F$4:$F$44))</f>
        <v>0</v>
      </c>
      <c r="AZ30" s="21" t="n">
        <f aca="false">IF($J30=0,0,MAX(0,NETWORKDAYS(MAX($K30,AZ$4),MIN($L30,EOMONTH(AZ$4,0)),Assumptions!$F$4:$F$44))/NETWORKDAYS($K30,$L30,Assumptions!$F$4:$F$44))</f>
        <v>0</v>
      </c>
      <c r="BA30" s="21" t="n">
        <f aca="false">IF($J30=0,0,MAX(0,NETWORKDAYS(MAX($K30,BA$4),MIN($L30,EOMONTH(BA$4,0)),Assumptions!$F$4:$F$44))/NETWORKDAYS($K30,$L30,Assumptions!$F$4:$F$44))</f>
        <v>0</v>
      </c>
      <c r="BB30" s="21" t="n">
        <f aca="false">IF($J30=0,0,MAX(0,NETWORKDAYS(MAX($K30,BB$4),MIN($L30,EOMONTH(BB$4,0)),Assumptions!$F$4:$F$44))/NETWORKDAYS($K30,$L30,Assumptions!$F$4:$F$44))</f>
        <v>0</v>
      </c>
      <c r="BC30" s="21" t="n">
        <f aca="false">IF($J30=0,0,MAX(0,NETWORKDAYS(MAX($K30,BC$4),MIN($L30,EOMONTH(BC$4,0)),Assumptions!$F$4:$F$44))/NETWORKDAYS($K30,$L30,Assumptions!$F$4:$F$44))</f>
        <v>0</v>
      </c>
    </row>
    <row r="31" customFormat="false" ht="15" hidden="false" customHeight="false" outlineLevel="2" collapsed="false">
      <c r="A31" s="27" t="n">
        <v>27</v>
      </c>
      <c r="B31" s="27" t="s">
        <v>163</v>
      </c>
      <c r="C31" s="27" t="n">
        <v>3</v>
      </c>
      <c r="D31" s="27" t="s">
        <v>92</v>
      </c>
      <c r="E31" s="28" t="s">
        <v>164</v>
      </c>
      <c r="F31" s="27" t="s">
        <v>154</v>
      </c>
      <c r="G31" s="27" t="s">
        <v>157</v>
      </c>
      <c r="H31" s="27" t="s">
        <v>47</v>
      </c>
      <c r="I31" s="29" t="n">
        <v>20</v>
      </c>
      <c r="J31" s="29" t="n">
        <v>30</v>
      </c>
      <c r="K31" s="30" t="n">
        <f aca="false">WORKDAY(Assumptions!$C$4,I31,Assumptions!$F$4:$F$44)</f>
        <v>46356</v>
      </c>
      <c r="L31" s="30" t="n">
        <f aca="false">IF(J31=0,K31,WORKDAY(K31,J31-1,Assumptions!$F$4:$F$44))</f>
        <v>46395</v>
      </c>
      <c r="M31" s="29"/>
      <c r="N31" s="31" t="n">
        <v>0</v>
      </c>
      <c r="O31" s="31" t="n">
        <v>0</v>
      </c>
      <c r="P31" s="31" t="n">
        <v>0</v>
      </c>
      <c r="Q31" s="31" t="n">
        <v>27</v>
      </c>
      <c r="R31" s="31" t="n">
        <v>7</v>
      </c>
      <c r="S31" s="31" t="n">
        <v>0</v>
      </c>
      <c r="T31" s="31" t="n">
        <v>0</v>
      </c>
      <c r="U31" s="31" t="n">
        <v>4</v>
      </c>
      <c r="V31" s="31" t="n">
        <v>0</v>
      </c>
      <c r="W31" s="31" t="n">
        <v>0</v>
      </c>
      <c r="X31" s="31" t="n">
        <v>0</v>
      </c>
      <c r="Y31" s="32" t="n">
        <f aca="false">SUM(N31:X31)</f>
        <v>38</v>
      </c>
      <c r="Z31" s="32" t="n">
        <f aca="false">Y31*(1+Assumptions!$C$5)</f>
        <v>43.7</v>
      </c>
      <c r="AA31" s="27" t="s">
        <v>165</v>
      </c>
      <c r="AB31" s="27" t="s">
        <v>95</v>
      </c>
      <c r="AC31" s="27"/>
      <c r="AD31" s="33" t="n">
        <v>0</v>
      </c>
      <c r="AF31" s="21" t="n">
        <f aca="false">IF($J31=0,0,MAX(0,NETWORKDAYS(MAX($K31,AF$4),MIN($L31,EOMONTH(AF$4,0)),Assumptions!$F$4:$F$44))/NETWORKDAYS($K31,$L31,Assumptions!$F$4:$F$44))</f>
        <v>0.0333333333333333</v>
      </c>
      <c r="AG31" s="21" t="n">
        <f aca="false">IF($J31=0,0,MAX(0,NETWORKDAYS(MAX($K31,AG$4),MIN($L31,EOMONTH(AG$4,0)),Assumptions!$F$4:$F$44))/NETWORKDAYS($K31,$L31,Assumptions!$F$4:$F$44))</f>
        <v>0.766666666666667</v>
      </c>
      <c r="AH31" s="21" t="n">
        <f aca="false">IF($J31=0,0,MAX(0,NETWORKDAYS(MAX($K31,AH$4),MIN($L31,EOMONTH(AH$4,0)),Assumptions!$F$4:$F$44))/NETWORKDAYS($K31,$L31,Assumptions!$F$4:$F$44))</f>
        <v>0.2</v>
      </c>
      <c r="AI31" s="21" t="n">
        <f aca="false">IF($J31=0,0,MAX(0,NETWORKDAYS(MAX($K31,AI$4),MIN($L31,EOMONTH(AI$4,0)),Assumptions!$F$4:$F$44))/NETWORKDAYS($K31,$L31,Assumptions!$F$4:$F$44))</f>
        <v>0</v>
      </c>
      <c r="AJ31" s="21" t="n">
        <f aca="false">IF($J31=0,0,MAX(0,NETWORKDAYS(MAX($K31,AJ$4),MIN($L31,EOMONTH(AJ$4,0)),Assumptions!$F$4:$F$44))/NETWORKDAYS($K31,$L31,Assumptions!$F$4:$F$44))</f>
        <v>0</v>
      </c>
      <c r="AK31" s="21" t="n">
        <f aca="false">IF($J31=0,0,MAX(0,NETWORKDAYS(MAX($K31,AK$4),MIN($L31,EOMONTH(AK$4,0)),Assumptions!$F$4:$F$44))/NETWORKDAYS($K31,$L31,Assumptions!$F$4:$F$44))</f>
        <v>0</v>
      </c>
      <c r="AL31" s="21" t="n">
        <f aca="false">IF($J31=0,0,MAX(0,NETWORKDAYS(MAX($K31,AL$4),MIN($L31,EOMONTH(AL$4,0)),Assumptions!$F$4:$F$44))/NETWORKDAYS($K31,$L31,Assumptions!$F$4:$F$44))</f>
        <v>0</v>
      </c>
      <c r="AM31" s="21" t="n">
        <f aca="false">IF($J31=0,0,MAX(0,NETWORKDAYS(MAX($K31,AM$4),MIN($L31,EOMONTH(AM$4,0)),Assumptions!$F$4:$F$44))/NETWORKDAYS($K31,$L31,Assumptions!$F$4:$F$44))</f>
        <v>0</v>
      </c>
      <c r="AN31" s="21" t="n">
        <f aca="false">IF($J31=0,0,MAX(0,NETWORKDAYS(MAX($K31,AN$4),MIN($L31,EOMONTH(AN$4,0)),Assumptions!$F$4:$F$44))/NETWORKDAYS($K31,$L31,Assumptions!$F$4:$F$44))</f>
        <v>0</v>
      </c>
      <c r="AO31" s="21" t="n">
        <f aca="false">IF($J31=0,0,MAX(0,NETWORKDAYS(MAX($K31,AO$4),MIN($L31,EOMONTH(AO$4,0)),Assumptions!$F$4:$F$44))/NETWORKDAYS($K31,$L31,Assumptions!$F$4:$F$44))</f>
        <v>0</v>
      </c>
      <c r="AP31" s="21" t="n">
        <f aca="false">IF($J31=0,0,MAX(0,NETWORKDAYS(MAX($K31,AP$4),MIN($L31,EOMONTH(AP$4,0)),Assumptions!$F$4:$F$44))/NETWORKDAYS($K31,$L31,Assumptions!$F$4:$F$44))</f>
        <v>0</v>
      </c>
      <c r="AQ31" s="21" t="n">
        <f aca="false">IF($J31=0,0,MAX(0,NETWORKDAYS(MAX($K31,AQ$4),MIN($L31,EOMONTH(AQ$4,0)),Assumptions!$F$4:$F$44))/NETWORKDAYS($K31,$L31,Assumptions!$F$4:$F$44))</f>
        <v>0</v>
      </c>
      <c r="AR31" s="21" t="n">
        <f aca="false">IF($J31=0,0,MAX(0,NETWORKDAYS(MAX($K31,AR$4),MIN($L31,EOMONTH(AR$4,0)),Assumptions!$F$4:$F$44))/NETWORKDAYS($K31,$L31,Assumptions!$F$4:$F$44))</f>
        <v>0</v>
      </c>
      <c r="AS31" s="21" t="n">
        <f aca="false">IF($J31=0,0,MAX(0,NETWORKDAYS(MAX($K31,AS$4),MIN($L31,EOMONTH(AS$4,0)),Assumptions!$F$4:$F$44))/NETWORKDAYS($K31,$L31,Assumptions!$F$4:$F$44))</f>
        <v>0</v>
      </c>
      <c r="AT31" s="21" t="n">
        <f aca="false">IF($J31=0,0,MAX(0,NETWORKDAYS(MAX($K31,AT$4),MIN($L31,EOMONTH(AT$4,0)),Assumptions!$F$4:$F$44))/NETWORKDAYS($K31,$L31,Assumptions!$F$4:$F$44))</f>
        <v>0</v>
      </c>
      <c r="AU31" s="21" t="n">
        <f aca="false">IF($J31=0,0,MAX(0,NETWORKDAYS(MAX($K31,AU$4),MIN($L31,EOMONTH(AU$4,0)),Assumptions!$F$4:$F$44))/NETWORKDAYS($K31,$L31,Assumptions!$F$4:$F$44))</f>
        <v>0</v>
      </c>
      <c r="AV31" s="21" t="n">
        <f aca="false">IF($J31=0,0,MAX(0,NETWORKDAYS(MAX($K31,AV$4),MIN($L31,EOMONTH(AV$4,0)),Assumptions!$F$4:$F$44))/NETWORKDAYS($K31,$L31,Assumptions!$F$4:$F$44))</f>
        <v>0</v>
      </c>
      <c r="AW31" s="21" t="n">
        <f aca="false">IF($J31=0,0,MAX(0,NETWORKDAYS(MAX($K31,AW$4),MIN($L31,EOMONTH(AW$4,0)),Assumptions!$F$4:$F$44))/NETWORKDAYS($K31,$L31,Assumptions!$F$4:$F$44))</f>
        <v>0</v>
      </c>
      <c r="AX31" s="21" t="n">
        <f aca="false">IF($J31=0,0,MAX(0,NETWORKDAYS(MAX($K31,AX$4),MIN($L31,EOMONTH(AX$4,0)),Assumptions!$F$4:$F$44))/NETWORKDAYS($K31,$L31,Assumptions!$F$4:$F$44))</f>
        <v>0</v>
      </c>
      <c r="AY31" s="21" t="n">
        <f aca="false">IF($J31=0,0,MAX(0,NETWORKDAYS(MAX($K31,AY$4),MIN($L31,EOMONTH(AY$4,0)),Assumptions!$F$4:$F$44))/NETWORKDAYS($K31,$L31,Assumptions!$F$4:$F$44))</f>
        <v>0</v>
      </c>
      <c r="AZ31" s="21" t="n">
        <f aca="false">IF($J31=0,0,MAX(0,NETWORKDAYS(MAX($K31,AZ$4),MIN($L31,EOMONTH(AZ$4,0)),Assumptions!$F$4:$F$44))/NETWORKDAYS($K31,$L31,Assumptions!$F$4:$F$44))</f>
        <v>0</v>
      </c>
      <c r="BA31" s="21" t="n">
        <f aca="false">IF($J31=0,0,MAX(0,NETWORKDAYS(MAX($K31,BA$4),MIN($L31,EOMONTH(BA$4,0)),Assumptions!$F$4:$F$44))/NETWORKDAYS($K31,$L31,Assumptions!$F$4:$F$44))</f>
        <v>0</v>
      </c>
      <c r="BB31" s="21" t="n">
        <f aca="false">IF($J31=0,0,MAX(0,NETWORKDAYS(MAX($K31,BB$4),MIN($L31,EOMONTH(BB$4,0)),Assumptions!$F$4:$F$44))/NETWORKDAYS($K31,$L31,Assumptions!$F$4:$F$44))</f>
        <v>0</v>
      </c>
      <c r="BC31" s="21" t="n">
        <f aca="false">IF($J31=0,0,MAX(0,NETWORKDAYS(MAX($K31,BC$4),MIN($L31,EOMONTH(BC$4,0)),Assumptions!$F$4:$F$44))/NETWORKDAYS($K31,$L31,Assumptions!$F$4:$F$44))</f>
        <v>0</v>
      </c>
    </row>
    <row r="32" customFormat="false" ht="15" hidden="false" customHeight="false" outlineLevel="2" collapsed="false">
      <c r="A32" s="27" t="n">
        <v>28</v>
      </c>
      <c r="B32" s="27" t="s">
        <v>166</v>
      </c>
      <c r="C32" s="27" t="n">
        <v>3</v>
      </c>
      <c r="D32" s="27" t="s">
        <v>92</v>
      </c>
      <c r="E32" s="28" t="s">
        <v>167</v>
      </c>
      <c r="F32" s="27" t="s">
        <v>154</v>
      </c>
      <c r="G32" s="27" t="s">
        <v>157</v>
      </c>
      <c r="H32" s="27" t="s">
        <v>57</v>
      </c>
      <c r="I32" s="29" t="n">
        <v>48</v>
      </c>
      <c r="J32" s="29" t="n">
        <v>13</v>
      </c>
      <c r="K32" s="30" t="n">
        <f aca="false">WORKDAY(Assumptions!$C$4,I32,Assumptions!$F$4:$F$44)</f>
        <v>46394</v>
      </c>
      <c r="L32" s="30" t="n">
        <f aca="false">IF(J32=0,K32,WORKDAY(K32,J32-1,Assumptions!$F$4:$F$44))</f>
        <v>46412</v>
      </c>
      <c r="M32" s="29"/>
      <c r="N32" s="31" t="n">
        <v>0</v>
      </c>
      <c r="O32" s="31" t="n">
        <v>0</v>
      </c>
      <c r="P32" s="31" t="n">
        <v>0</v>
      </c>
      <c r="Q32" s="31" t="n">
        <v>3</v>
      </c>
      <c r="R32" s="31" t="n">
        <v>0</v>
      </c>
      <c r="S32" s="31" t="n">
        <v>0</v>
      </c>
      <c r="T32" s="31" t="n">
        <v>0</v>
      </c>
      <c r="U32" s="31" t="n">
        <v>0</v>
      </c>
      <c r="V32" s="31" t="n">
        <v>10</v>
      </c>
      <c r="W32" s="31" t="n">
        <v>0</v>
      </c>
      <c r="X32" s="31" t="n">
        <v>0</v>
      </c>
      <c r="Y32" s="32" t="n">
        <f aca="false">SUM(N32:X32)</f>
        <v>13</v>
      </c>
      <c r="Z32" s="32" t="n">
        <f aca="false">Y32*(1+Assumptions!$C$5)</f>
        <v>14.95</v>
      </c>
      <c r="AA32" s="27" t="s">
        <v>168</v>
      </c>
      <c r="AB32" s="27" t="s">
        <v>95</v>
      </c>
      <c r="AC32" s="27"/>
      <c r="AD32" s="33" t="n">
        <v>0</v>
      </c>
      <c r="AF32" s="21" t="n">
        <f aca="false">IF($J32=0,0,MAX(0,NETWORKDAYS(MAX($K32,AF$4),MIN($L32,EOMONTH(AF$4,0)),Assumptions!$F$4:$F$44))/NETWORKDAYS($K32,$L32,Assumptions!$F$4:$F$44))</f>
        <v>0</v>
      </c>
      <c r="AG32" s="21" t="n">
        <f aca="false">IF($J32=0,0,MAX(0,NETWORKDAYS(MAX($K32,AG$4),MIN($L32,EOMONTH(AG$4,0)),Assumptions!$F$4:$F$44))/NETWORKDAYS($K32,$L32,Assumptions!$F$4:$F$44))</f>
        <v>0</v>
      </c>
      <c r="AH32" s="21" t="n">
        <f aca="false">IF($J32=0,0,MAX(0,NETWORKDAYS(MAX($K32,AH$4),MIN($L32,EOMONTH(AH$4,0)),Assumptions!$F$4:$F$44))/NETWORKDAYS($K32,$L32,Assumptions!$F$4:$F$44))</f>
        <v>1</v>
      </c>
      <c r="AI32" s="21" t="n">
        <f aca="false">IF($J32=0,0,MAX(0,NETWORKDAYS(MAX($K32,AI$4),MIN($L32,EOMONTH(AI$4,0)),Assumptions!$F$4:$F$44))/NETWORKDAYS($K32,$L32,Assumptions!$F$4:$F$44))</f>
        <v>0</v>
      </c>
      <c r="AJ32" s="21" t="n">
        <f aca="false">IF($J32=0,0,MAX(0,NETWORKDAYS(MAX($K32,AJ$4),MIN($L32,EOMONTH(AJ$4,0)),Assumptions!$F$4:$F$44))/NETWORKDAYS($K32,$L32,Assumptions!$F$4:$F$44))</f>
        <v>0</v>
      </c>
      <c r="AK32" s="21" t="n">
        <f aca="false">IF($J32=0,0,MAX(0,NETWORKDAYS(MAX($K32,AK$4),MIN($L32,EOMONTH(AK$4,0)),Assumptions!$F$4:$F$44))/NETWORKDAYS($K32,$L32,Assumptions!$F$4:$F$44))</f>
        <v>0</v>
      </c>
      <c r="AL32" s="21" t="n">
        <f aca="false">IF($J32=0,0,MAX(0,NETWORKDAYS(MAX($K32,AL$4),MIN($L32,EOMONTH(AL$4,0)),Assumptions!$F$4:$F$44))/NETWORKDAYS($K32,$L32,Assumptions!$F$4:$F$44))</f>
        <v>0</v>
      </c>
      <c r="AM32" s="21" t="n">
        <f aca="false">IF($J32=0,0,MAX(0,NETWORKDAYS(MAX($K32,AM$4),MIN($L32,EOMONTH(AM$4,0)),Assumptions!$F$4:$F$44))/NETWORKDAYS($K32,$L32,Assumptions!$F$4:$F$44))</f>
        <v>0</v>
      </c>
      <c r="AN32" s="21" t="n">
        <f aca="false">IF($J32=0,0,MAX(0,NETWORKDAYS(MAX($K32,AN$4),MIN($L32,EOMONTH(AN$4,0)),Assumptions!$F$4:$F$44))/NETWORKDAYS($K32,$L32,Assumptions!$F$4:$F$44))</f>
        <v>0</v>
      </c>
      <c r="AO32" s="21" t="n">
        <f aca="false">IF($J32=0,0,MAX(0,NETWORKDAYS(MAX($K32,AO$4),MIN($L32,EOMONTH(AO$4,0)),Assumptions!$F$4:$F$44))/NETWORKDAYS($K32,$L32,Assumptions!$F$4:$F$44))</f>
        <v>0</v>
      </c>
      <c r="AP32" s="21" t="n">
        <f aca="false">IF($J32=0,0,MAX(0,NETWORKDAYS(MAX($K32,AP$4),MIN($L32,EOMONTH(AP$4,0)),Assumptions!$F$4:$F$44))/NETWORKDAYS($K32,$L32,Assumptions!$F$4:$F$44))</f>
        <v>0</v>
      </c>
      <c r="AQ32" s="21" t="n">
        <f aca="false">IF($J32=0,0,MAX(0,NETWORKDAYS(MAX($K32,AQ$4),MIN($L32,EOMONTH(AQ$4,0)),Assumptions!$F$4:$F$44))/NETWORKDAYS($K32,$L32,Assumptions!$F$4:$F$44))</f>
        <v>0</v>
      </c>
      <c r="AR32" s="21" t="n">
        <f aca="false">IF($J32=0,0,MAX(0,NETWORKDAYS(MAX($K32,AR$4),MIN($L32,EOMONTH(AR$4,0)),Assumptions!$F$4:$F$44))/NETWORKDAYS($K32,$L32,Assumptions!$F$4:$F$44))</f>
        <v>0</v>
      </c>
      <c r="AS32" s="21" t="n">
        <f aca="false">IF($J32=0,0,MAX(0,NETWORKDAYS(MAX($K32,AS$4),MIN($L32,EOMONTH(AS$4,0)),Assumptions!$F$4:$F$44))/NETWORKDAYS($K32,$L32,Assumptions!$F$4:$F$44))</f>
        <v>0</v>
      </c>
      <c r="AT32" s="21" t="n">
        <f aca="false">IF($J32=0,0,MAX(0,NETWORKDAYS(MAX($K32,AT$4),MIN($L32,EOMONTH(AT$4,0)),Assumptions!$F$4:$F$44))/NETWORKDAYS($K32,$L32,Assumptions!$F$4:$F$44))</f>
        <v>0</v>
      </c>
      <c r="AU32" s="21" t="n">
        <f aca="false">IF($J32=0,0,MAX(0,NETWORKDAYS(MAX($K32,AU$4),MIN($L32,EOMONTH(AU$4,0)),Assumptions!$F$4:$F$44))/NETWORKDAYS($K32,$L32,Assumptions!$F$4:$F$44))</f>
        <v>0</v>
      </c>
      <c r="AV32" s="21" t="n">
        <f aca="false">IF($J32=0,0,MAX(0,NETWORKDAYS(MAX($K32,AV$4),MIN($L32,EOMONTH(AV$4,0)),Assumptions!$F$4:$F$44))/NETWORKDAYS($K32,$L32,Assumptions!$F$4:$F$44))</f>
        <v>0</v>
      </c>
      <c r="AW32" s="21" t="n">
        <f aca="false">IF($J32=0,0,MAX(0,NETWORKDAYS(MAX($K32,AW$4),MIN($L32,EOMONTH(AW$4,0)),Assumptions!$F$4:$F$44))/NETWORKDAYS($K32,$L32,Assumptions!$F$4:$F$44))</f>
        <v>0</v>
      </c>
      <c r="AX32" s="21" t="n">
        <f aca="false">IF($J32=0,0,MAX(0,NETWORKDAYS(MAX($K32,AX$4),MIN($L32,EOMONTH(AX$4,0)),Assumptions!$F$4:$F$44))/NETWORKDAYS($K32,$L32,Assumptions!$F$4:$F$44))</f>
        <v>0</v>
      </c>
      <c r="AY32" s="21" t="n">
        <f aca="false">IF($J32=0,0,MAX(0,NETWORKDAYS(MAX($K32,AY$4),MIN($L32,EOMONTH(AY$4,0)),Assumptions!$F$4:$F$44))/NETWORKDAYS($K32,$L32,Assumptions!$F$4:$F$44))</f>
        <v>0</v>
      </c>
      <c r="AZ32" s="21" t="n">
        <f aca="false">IF($J32=0,0,MAX(0,NETWORKDAYS(MAX($K32,AZ$4),MIN($L32,EOMONTH(AZ$4,0)),Assumptions!$F$4:$F$44))/NETWORKDAYS($K32,$L32,Assumptions!$F$4:$F$44))</f>
        <v>0</v>
      </c>
      <c r="BA32" s="21" t="n">
        <f aca="false">IF($J32=0,0,MAX(0,NETWORKDAYS(MAX($K32,BA$4),MIN($L32,EOMONTH(BA$4,0)),Assumptions!$F$4:$F$44))/NETWORKDAYS($K32,$L32,Assumptions!$F$4:$F$44))</f>
        <v>0</v>
      </c>
      <c r="BB32" s="21" t="n">
        <f aca="false">IF($J32=0,0,MAX(0,NETWORKDAYS(MAX($K32,BB$4),MIN($L32,EOMONTH(BB$4,0)),Assumptions!$F$4:$F$44))/NETWORKDAYS($K32,$L32,Assumptions!$F$4:$F$44))</f>
        <v>0</v>
      </c>
      <c r="BC32" s="21" t="n">
        <f aca="false">IF($J32=0,0,MAX(0,NETWORKDAYS(MAX($K32,BC$4),MIN($L32,EOMONTH(BC$4,0)),Assumptions!$F$4:$F$44))/NETWORKDAYS($K32,$L32,Assumptions!$F$4:$F$44))</f>
        <v>0</v>
      </c>
    </row>
    <row r="33" customFormat="false" ht="15" hidden="false" customHeight="false" outlineLevel="1" collapsed="false">
      <c r="A33" s="22" t="n">
        <v>29</v>
      </c>
      <c r="B33" s="22" t="s">
        <v>169</v>
      </c>
      <c r="C33" s="22" t="n">
        <v>2</v>
      </c>
      <c r="D33" s="22" t="s">
        <v>89</v>
      </c>
      <c r="E33" s="23" t="s">
        <v>170</v>
      </c>
      <c r="F33" s="22" t="s">
        <v>154</v>
      </c>
      <c r="G33" s="22" t="s">
        <v>157</v>
      </c>
      <c r="H33" s="22"/>
      <c r="I33" s="22"/>
      <c r="J33" s="22" t="n">
        <f aca="false">NETWORKDAYS(K33,L33,Assumptions!$F$4:$F$44)</f>
        <v>50</v>
      </c>
      <c r="K33" s="24" t="n">
        <f aca="false">MIN(K34:K36)</f>
        <v>46350</v>
      </c>
      <c r="L33" s="24" t="n">
        <f aca="false">MAX(L34:L36)</f>
        <v>46419</v>
      </c>
      <c r="M33" s="22"/>
      <c r="N33" s="25" t="n">
        <f aca="false">SUMPRODUCT(($C$34:$C$36=3)*(N34:N36))</f>
        <v>0</v>
      </c>
      <c r="O33" s="25" t="n">
        <f aca="false">SUMPRODUCT(($C$34:$C$36=3)*(O34:O36))</f>
        <v>7</v>
      </c>
      <c r="P33" s="25" t="n">
        <f aca="false">SUMPRODUCT(($C$34:$C$36=3)*(P34:P36))</f>
        <v>3</v>
      </c>
      <c r="Q33" s="25" t="n">
        <f aca="false">SUMPRODUCT(($C$34:$C$36=3)*(Q34:Q36))</f>
        <v>26</v>
      </c>
      <c r="R33" s="25" t="n">
        <f aca="false">SUMPRODUCT(($C$34:$C$36=3)*(R34:R36))</f>
        <v>14</v>
      </c>
      <c r="S33" s="25" t="n">
        <f aca="false">SUMPRODUCT(($C$34:$C$36=3)*(S34:S36))</f>
        <v>0</v>
      </c>
      <c r="T33" s="25" t="n">
        <f aca="false">SUMPRODUCT(($C$34:$C$36=3)*(T34:T36))</f>
        <v>0</v>
      </c>
      <c r="U33" s="25" t="n">
        <f aca="false">SUMPRODUCT(($C$34:$C$36=3)*(U34:U36))</f>
        <v>0</v>
      </c>
      <c r="V33" s="25" t="n">
        <f aca="false">SUMPRODUCT(($C$34:$C$36=3)*(V34:V36))</f>
        <v>8</v>
      </c>
      <c r="W33" s="25" t="n">
        <f aca="false">SUMPRODUCT(($C$34:$C$36=3)*(W34:W36))</f>
        <v>0</v>
      </c>
      <c r="X33" s="25" t="n">
        <f aca="false">SUMPRODUCT(($C$34:$C$36=3)*(X34:X36))</f>
        <v>0</v>
      </c>
      <c r="Y33" s="25" t="n">
        <f aca="false">SUM(N33:X33)</f>
        <v>58</v>
      </c>
      <c r="Z33" s="25" t="n">
        <f aca="false">Y33*(1+Assumptions!$C$5)</f>
        <v>66.7</v>
      </c>
      <c r="AA33" s="22" t="s">
        <v>171</v>
      </c>
      <c r="AB33" s="22"/>
      <c r="AC33" s="22"/>
      <c r="AD33" s="26"/>
      <c r="AF33" s="21" t="n">
        <v>0</v>
      </c>
      <c r="AG33" s="21" t="n">
        <v>0</v>
      </c>
      <c r="AH33" s="21" t="n">
        <v>0</v>
      </c>
      <c r="AI33" s="21" t="n">
        <v>0</v>
      </c>
      <c r="AJ33" s="21" t="n">
        <v>0</v>
      </c>
      <c r="AK33" s="21" t="n">
        <v>0</v>
      </c>
      <c r="AL33" s="21" t="n">
        <v>0</v>
      </c>
      <c r="AM33" s="21" t="n">
        <v>0</v>
      </c>
      <c r="AN33" s="21" t="n">
        <v>0</v>
      </c>
      <c r="AO33" s="21" t="n">
        <v>0</v>
      </c>
      <c r="AP33" s="21" t="n">
        <v>0</v>
      </c>
      <c r="AQ33" s="21" t="n">
        <v>0</v>
      </c>
      <c r="AR33" s="21" t="n">
        <v>0</v>
      </c>
      <c r="AS33" s="21" t="n">
        <v>0</v>
      </c>
      <c r="AT33" s="21" t="n">
        <v>0</v>
      </c>
      <c r="AU33" s="21" t="n">
        <v>0</v>
      </c>
      <c r="AV33" s="21" t="n">
        <v>0</v>
      </c>
      <c r="AW33" s="21" t="n">
        <v>0</v>
      </c>
      <c r="AX33" s="21" t="n">
        <v>0</v>
      </c>
      <c r="AY33" s="21" t="n">
        <v>0</v>
      </c>
      <c r="AZ33" s="21" t="n">
        <v>0</v>
      </c>
      <c r="BA33" s="21" t="n">
        <v>0</v>
      </c>
      <c r="BB33" s="21" t="n">
        <v>0</v>
      </c>
      <c r="BC33" s="21" t="n">
        <v>0</v>
      </c>
    </row>
    <row r="34" customFormat="false" ht="15" hidden="false" customHeight="false" outlineLevel="2" collapsed="false">
      <c r="A34" s="27" t="n">
        <v>30</v>
      </c>
      <c r="B34" s="27" t="s">
        <v>172</v>
      </c>
      <c r="C34" s="27" t="n">
        <v>3</v>
      </c>
      <c r="D34" s="27" t="s">
        <v>92</v>
      </c>
      <c r="E34" s="28" t="s">
        <v>160</v>
      </c>
      <c r="F34" s="27" t="s">
        <v>154</v>
      </c>
      <c r="G34" s="27" t="s">
        <v>157</v>
      </c>
      <c r="H34" s="27" t="s">
        <v>45</v>
      </c>
      <c r="I34" s="29" t="n">
        <v>16</v>
      </c>
      <c r="J34" s="29" t="n">
        <v>10</v>
      </c>
      <c r="K34" s="30" t="n">
        <f aca="false">WORKDAY(Assumptions!$C$4,I34,Assumptions!$F$4:$F$44)</f>
        <v>46350</v>
      </c>
      <c r="L34" s="30" t="n">
        <f aca="false">IF(J34=0,K34,WORKDAY(K34,J34-1,Assumptions!$F$4:$F$44))</f>
        <v>46363</v>
      </c>
      <c r="M34" s="29" t="s">
        <v>161</v>
      </c>
      <c r="N34" s="31" t="n">
        <v>0</v>
      </c>
      <c r="O34" s="31" t="n">
        <v>0</v>
      </c>
      <c r="P34" s="31" t="n">
        <v>3</v>
      </c>
      <c r="Q34" s="31" t="n">
        <v>2</v>
      </c>
      <c r="R34" s="31" t="n">
        <v>0</v>
      </c>
      <c r="S34" s="31" t="n">
        <v>0</v>
      </c>
      <c r="T34" s="31" t="n">
        <v>0</v>
      </c>
      <c r="U34" s="31" t="n">
        <v>0</v>
      </c>
      <c r="V34" s="31" t="n">
        <v>0</v>
      </c>
      <c r="W34" s="31" t="n">
        <v>0</v>
      </c>
      <c r="X34" s="31" t="n">
        <v>0</v>
      </c>
      <c r="Y34" s="32" t="n">
        <f aca="false">SUM(N34:X34)</f>
        <v>5</v>
      </c>
      <c r="Z34" s="32" t="n">
        <f aca="false">Y34*(1+Assumptions!$C$5)</f>
        <v>5.75</v>
      </c>
      <c r="AA34" s="27" t="s">
        <v>162</v>
      </c>
      <c r="AB34" s="27" t="s">
        <v>95</v>
      </c>
      <c r="AC34" s="27"/>
      <c r="AD34" s="33" t="n">
        <v>0</v>
      </c>
      <c r="AF34" s="21" t="n">
        <f aca="false">IF($J34=0,0,MAX(0,NETWORKDAYS(MAX($K34,AF$4),MIN($L34,EOMONTH(AF$4,0)),Assumptions!$F$4:$F$44))/NETWORKDAYS($K34,$L34,Assumptions!$F$4:$F$44))</f>
        <v>0.5</v>
      </c>
      <c r="AG34" s="21" t="n">
        <f aca="false">IF($J34=0,0,MAX(0,NETWORKDAYS(MAX($K34,AG$4),MIN($L34,EOMONTH(AG$4,0)),Assumptions!$F$4:$F$44))/NETWORKDAYS($K34,$L34,Assumptions!$F$4:$F$44))</f>
        <v>0.5</v>
      </c>
      <c r="AH34" s="21" t="n">
        <f aca="false">IF($J34=0,0,MAX(0,NETWORKDAYS(MAX($K34,AH$4),MIN($L34,EOMONTH(AH$4,0)),Assumptions!$F$4:$F$44))/NETWORKDAYS($K34,$L34,Assumptions!$F$4:$F$44))</f>
        <v>0</v>
      </c>
      <c r="AI34" s="21" t="n">
        <f aca="false">IF($J34=0,0,MAX(0,NETWORKDAYS(MAX($K34,AI$4),MIN($L34,EOMONTH(AI$4,0)),Assumptions!$F$4:$F$44))/NETWORKDAYS($K34,$L34,Assumptions!$F$4:$F$44))</f>
        <v>0</v>
      </c>
      <c r="AJ34" s="21" t="n">
        <f aca="false">IF($J34=0,0,MAX(0,NETWORKDAYS(MAX($K34,AJ$4),MIN($L34,EOMONTH(AJ$4,0)),Assumptions!$F$4:$F$44))/NETWORKDAYS($K34,$L34,Assumptions!$F$4:$F$44))</f>
        <v>0</v>
      </c>
      <c r="AK34" s="21" t="n">
        <f aca="false">IF($J34=0,0,MAX(0,NETWORKDAYS(MAX($K34,AK$4),MIN($L34,EOMONTH(AK$4,0)),Assumptions!$F$4:$F$44))/NETWORKDAYS($K34,$L34,Assumptions!$F$4:$F$44))</f>
        <v>0</v>
      </c>
      <c r="AL34" s="21" t="n">
        <f aca="false">IF($J34=0,0,MAX(0,NETWORKDAYS(MAX($K34,AL$4),MIN($L34,EOMONTH(AL$4,0)),Assumptions!$F$4:$F$44))/NETWORKDAYS($K34,$L34,Assumptions!$F$4:$F$44))</f>
        <v>0</v>
      </c>
      <c r="AM34" s="21" t="n">
        <f aca="false">IF($J34=0,0,MAX(0,NETWORKDAYS(MAX($K34,AM$4),MIN($L34,EOMONTH(AM$4,0)),Assumptions!$F$4:$F$44))/NETWORKDAYS($K34,$L34,Assumptions!$F$4:$F$44))</f>
        <v>0</v>
      </c>
      <c r="AN34" s="21" t="n">
        <f aca="false">IF($J34=0,0,MAX(0,NETWORKDAYS(MAX($K34,AN$4),MIN($L34,EOMONTH(AN$4,0)),Assumptions!$F$4:$F$44))/NETWORKDAYS($K34,$L34,Assumptions!$F$4:$F$44))</f>
        <v>0</v>
      </c>
      <c r="AO34" s="21" t="n">
        <f aca="false">IF($J34=0,0,MAX(0,NETWORKDAYS(MAX($K34,AO$4),MIN($L34,EOMONTH(AO$4,0)),Assumptions!$F$4:$F$44))/NETWORKDAYS($K34,$L34,Assumptions!$F$4:$F$44))</f>
        <v>0</v>
      </c>
      <c r="AP34" s="21" t="n">
        <f aca="false">IF($J34=0,0,MAX(0,NETWORKDAYS(MAX($K34,AP$4),MIN($L34,EOMONTH(AP$4,0)),Assumptions!$F$4:$F$44))/NETWORKDAYS($K34,$L34,Assumptions!$F$4:$F$44))</f>
        <v>0</v>
      </c>
      <c r="AQ34" s="21" t="n">
        <f aca="false">IF($J34=0,0,MAX(0,NETWORKDAYS(MAX($K34,AQ$4),MIN($L34,EOMONTH(AQ$4,0)),Assumptions!$F$4:$F$44))/NETWORKDAYS($K34,$L34,Assumptions!$F$4:$F$44))</f>
        <v>0</v>
      </c>
      <c r="AR34" s="21" t="n">
        <f aca="false">IF($J34=0,0,MAX(0,NETWORKDAYS(MAX($K34,AR$4),MIN($L34,EOMONTH(AR$4,0)),Assumptions!$F$4:$F$44))/NETWORKDAYS($K34,$L34,Assumptions!$F$4:$F$44))</f>
        <v>0</v>
      </c>
      <c r="AS34" s="21" t="n">
        <f aca="false">IF($J34=0,0,MAX(0,NETWORKDAYS(MAX($K34,AS$4),MIN($L34,EOMONTH(AS$4,0)),Assumptions!$F$4:$F$44))/NETWORKDAYS($K34,$L34,Assumptions!$F$4:$F$44))</f>
        <v>0</v>
      </c>
      <c r="AT34" s="21" t="n">
        <f aca="false">IF($J34=0,0,MAX(0,NETWORKDAYS(MAX($K34,AT$4),MIN($L34,EOMONTH(AT$4,0)),Assumptions!$F$4:$F$44))/NETWORKDAYS($K34,$L34,Assumptions!$F$4:$F$44))</f>
        <v>0</v>
      </c>
      <c r="AU34" s="21" t="n">
        <f aca="false">IF($J34=0,0,MAX(0,NETWORKDAYS(MAX($K34,AU$4),MIN($L34,EOMONTH(AU$4,0)),Assumptions!$F$4:$F$44))/NETWORKDAYS($K34,$L34,Assumptions!$F$4:$F$44))</f>
        <v>0</v>
      </c>
      <c r="AV34" s="21" t="n">
        <f aca="false">IF($J34=0,0,MAX(0,NETWORKDAYS(MAX($K34,AV$4),MIN($L34,EOMONTH(AV$4,0)),Assumptions!$F$4:$F$44))/NETWORKDAYS($K34,$L34,Assumptions!$F$4:$F$44))</f>
        <v>0</v>
      </c>
      <c r="AW34" s="21" t="n">
        <f aca="false">IF($J34=0,0,MAX(0,NETWORKDAYS(MAX($K34,AW$4),MIN($L34,EOMONTH(AW$4,0)),Assumptions!$F$4:$F$44))/NETWORKDAYS($K34,$L34,Assumptions!$F$4:$F$44))</f>
        <v>0</v>
      </c>
      <c r="AX34" s="21" t="n">
        <f aca="false">IF($J34=0,0,MAX(0,NETWORKDAYS(MAX($K34,AX$4),MIN($L34,EOMONTH(AX$4,0)),Assumptions!$F$4:$F$44))/NETWORKDAYS($K34,$L34,Assumptions!$F$4:$F$44))</f>
        <v>0</v>
      </c>
      <c r="AY34" s="21" t="n">
        <f aca="false">IF($J34=0,0,MAX(0,NETWORKDAYS(MAX($K34,AY$4),MIN($L34,EOMONTH(AY$4,0)),Assumptions!$F$4:$F$44))/NETWORKDAYS($K34,$L34,Assumptions!$F$4:$F$44))</f>
        <v>0</v>
      </c>
      <c r="AZ34" s="21" t="n">
        <f aca="false">IF($J34=0,0,MAX(0,NETWORKDAYS(MAX($K34,AZ$4),MIN($L34,EOMONTH(AZ$4,0)),Assumptions!$F$4:$F$44))/NETWORKDAYS($K34,$L34,Assumptions!$F$4:$F$44))</f>
        <v>0</v>
      </c>
      <c r="BA34" s="21" t="n">
        <f aca="false">IF($J34=0,0,MAX(0,NETWORKDAYS(MAX($K34,BA$4),MIN($L34,EOMONTH(BA$4,0)),Assumptions!$F$4:$F$44))/NETWORKDAYS($K34,$L34,Assumptions!$F$4:$F$44))</f>
        <v>0</v>
      </c>
      <c r="BB34" s="21" t="n">
        <f aca="false">IF($J34=0,0,MAX(0,NETWORKDAYS(MAX($K34,BB$4),MIN($L34,EOMONTH(BB$4,0)),Assumptions!$F$4:$F$44))/NETWORKDAYS($K34,$L34,Assumptions!$F$4:$F$44))</f>
        <v>0</v>
      </c>
      <c r="BC34" s="21" t="n">
        <f aca="false">IF($J34=0,0,MAX(0,NETWORKDAYS(MAX($K34,BC$4),MIN($L34,EOMONTH(BC$4,0)),Assumptions!$F$4:$F$44))/NETWORKDAYS($K34,$L34,Assumptions!$F$4:$F$44))</f>
        <v>0</v>
      </c>
    </row>
    <row r="35" customFormat="false" ht="15" hidden="false" customHeight="false" outlineLevel="2" collapsed="false">
      <c r="A35" s="27" t="n">
        <v>31</v>
      </c>
      <c r="B35" s="27" t="s">
        <v>173</v>
      </c>
      <c r="C35" s="27" t="n">
        <v>3</v>
      </c>
      <c r="D35" s="27" t="s">
        <v>92</v>
      </c>
      <c r="E35" s="28" t="s">
        <v>164</v>
      </c>
      <c r="F35" s="27" t="s">
        <v>154</v>
      </c>
      <c r="G35" s="27" t="s">
        <v>157</v>
      </c>
      <c r="H35" s="27" t="s">
        <v>47</v>
      </c>
      <c r="I35" s="29" t="n">
        <v>26</v>
      </c>
      <c r="J35" s="29" t="n">
        <v>30</v>
      </c>
      <c r="K35" s="30" t="n">
        <f aca="false">WORKDAY(Assumptions!$C$4,I35,Assumptions!$F$4:$F$44)</f>
        <v>46364</v>
      </c>
      <c r="L35" s="30" t="n">
        <f aca="false">IF(J35=0,K35,WORKDAY(K35,J35-1,Assumptions!$F$4:$F$44))</f>
        <v>46405</v>
      </c>
      <c r="M35" s="29"/>
      <c r="N35" s="31" t="n">
        <v>0</v>
      </c>
      <c r="O35" s="31" t="n">
        <v>7</v>
      </c>
      <c r="P35" s="31" t="n">
        <v>0</v>
      </c>
      <c r="Q35" s="31" t="n">
        <v>22</v>
      </c>
      <c r="R35" s="31" t="n">
        <v>14</v>
      </c>
      <c r="S35" s="31" t="n">
        <v>0</v>
      </c>
      <c r="T35" s="31" t="n">
        <v>0</v>
      </c>
      <c r="U35" s="31" t="n">
        <v>0</v>
      </c>
      <c r="V35" s="31" t="n">
        <v>0</v>
      </c>
      <c r="W35" s="31" t="n">
        <v>0</v>
      </c>
      <c r="X35" s="31" t="n">
        <v>0</v>
      </c>
      <c r="Y35" s="32" t="n">
        <f aca="false">SUM(N35:X35)</f>
        <v>43</v>
      </c>
      <c r="Z35" s="32" t="n">
        <f aca="false">Y35*(1+Assumptions!$C$5)</f>
        <v>49.45</v>
      </c>
      <c r="AA35" s="27" t="s">
        <v>165</v>
      </c>
      <c r="AB35" s="27" t="s">
        <v>95</v>
      </c>
      <c r="AC35" s="27"/>
      <c r="AD35" s="33" t="n">
        <v>0</v>
      </c>
      <c r="AF35" s="21" t="n">
        <f aca="false">IF($J35=0,0,MAX(0,NETWORKDAYS(MAX($K35,AF$4),MIN($L35,EOMONTH(AF$4,0)),Assumptions!$F$4:$F$44))/NETWORKDAYS($K35,$L35,Assumptions!$F$4:$F$44))</f>
        <v>0</v>
      </c>
      <c r="AG35" s="21" t="n">
        <f aca="false">IF($J35=0,0,MAX(0,NETWORKDAYS(MAX($K35,AG$4),MIN($L35,EOMONTH(AG$4,0)),Assumptions!$F$4:$F$44))/NETWORKDAYS($K35,$L35,Assumptions!$F$4:$F$44))</f>
        <v>0.6</v>
      </c>
      <c r="AH35" s="21" t="n">
        <f aca="false">IF($J35=0,0,MAX(0,NETWORKDAYS(MAX($K35,AH$4),MIN($L35,EOMONTH(AH$4,0)),Assumptions!$F$4:$F$44))/NETWORKDAYS($K35,$L35,Assumptions!$F$4:$F$44))</f>
        <v>0.4</v>
      </c>
      <c r="AI35" s="21" t="n">
        <f aca="false">IF($J35=0,0,MAX(0,NETWORKDAYS(MAX($K35,AI$4),MIN($L35,EOMONTH(AI$4,0)),Assumptions!$F$4:$F$44))/NETWORKDAYS($K35,$L35,Assumptions!$F$4:$F$44))</f>
        <v>0</v>
      </c>
      <c r="AJ35" s="21" t="n">
        <f aca="false">IF($J35=0,0,MAX(0,NETWORKDAYS(MAX($K35,AJ$4),MIN($L35,EOMONTH(AJ$4,0)),Assumptions!$F$4:$F$44))/NETWORKDAYS($K35,$L35,Assumptions!$F$4:$F$44))</f>
        <v>0</v>
      </c>
      <c r="AK35" s="21" t="n">
        <f aca="false">IF($J35=0,0,MAX(0,NETWORKDAYS(MAX($K35,AK$4),MIN($L35,EOMONTH(AK$4,0)),Assumptions!$F$4:$F$44))/NETWORKDAYS($K35,$L35,Assumptions!$F$4:$F$44))</f>
        <v>0</v>
      </c>
      <c r="AL35" s="21" t="n">
        <f aca="false">IF($J35=0,0,MAX(0,NETWORKDAYS(MAX($K35,AL$4),MIN($L35,EOMONTH(AL$4,0)),Assumptions!$F$4:$F$44))/NETWORKDAYS($K35,$L35,Assumptions!$F$4:$F$44))</f>
        <v>0</v>
      </c>
      <c r="AM35" s="21" t="n">
        <f aca="false">IF($J35=0,0,MAX(0,NETWORKDAYS(MAX($K35,AM$4),MIN($L35,EOMONTH(AM$4,0)),Assumptions!$F$4:$F$44))/NETWORKDAYS($K35,$L35,Assumptions!$F$4:$F$44))</f>
        <v>0</v>
      </c>
      <c r="AN35" s="21" t="n">
        <f aca="false">IF($J35=0,0,MAX(0,NETWORKDAYS(MAX($K35,AN$4),MIN($L35,EOMONTH(AN$4,0)),Assumptions!$F$4:$F$44))/NETWORKDAYS($K35,$L35,Assumptions!$F$4:$F$44))</f>
        <v>0</v>
      </c>
      <c r="AO35" s="21" t="n">
        <f aca="false">IF($J35=0,0,MAX(0,NETWORKDAYS(MAX($K35,AO$4),MIN($L35,EOMONTH(AO$4,0)),Assumptions!$F$4:$F$44))/NETWORKDAYS($K35,$L35,Assumptions!$F$4:$F$44))</f>
        <v>0</v>
      </c>
      <c r="AP35" s="21" t="n">
        <f aca="false">IF($J35=0,0,MAX(0,NETWORKDAYS(MAX($K35,AP$4),MIN($L35,EOMONTH(AP$4,0)),Assumptions!$F$4:$F$44))/NETWORKDAYS($K35,$L35,Assumptions!$F$4:$F$44))</f>
        <v>0</v>
      </c>
      <c r="AQ35" s="21" t="n">
        <f aca="false">IF($J35=0,0,MAX(0,NETWORKDAYS(MAX($K35,AQ$4),MIN($L35,EOMONTH(AQ$4,0)),Assumptions!$F$4:$F$44))/NETWORKDAYS($K35,$L35,Assumptions!$F$4:$F$44))</f>
        <v>0</v>
      </c>
      <c r="AR35" s="21" t="n">
        <f aca="false">IF($J35=0,0,MAX(0,NETWORKDAYS(MAX($K35,AR$4),MIN($L35,EOMONTH(AR$4,0)),Assumptions!$F$4:$F$44))/NETWORKDAYS($K35,$L35,Assumptions!$F$4:$F$44))</f>
        <v>0</v>
      </c>
      <c r="AS35" s="21" t="n">
        <f aca="false">IF($J35=0,0,MAX(0,NETWORKDAYS(MAX($K35,AS$4),MIN($L35,EOMONTH(AS$4,0)),Assumptions!$F$4:$F$44))/NETWORKDAYS($K35,$L35,Assumptions!$F$4:$F$44))</f>
        <v>0</v>
      </c>
      <c r="AT35" s="21" t="n">
        <f aca="false">IF($J35=0,0,MAX(0,NETWORKDAYS(MAX($K35,AT$4),MIN($L35,EOMONTH(AT$4,0)),Assumptions!$F$4:$F$44))/NETWORKDAYS($K35,$L35,Assumptions!$F$4:$F$44))</f>
        <v>0</v>
      </c>
      <c r="AU35" s="21" t="n">
        <f aca="false">IF($J35=0,0,MAX(0,NETWORKDAYS(MAX($K35,AU$4),MIN($L35,EOMONTH(AU$4,0)),Assumptions!$F$4:$F$44))/NETWORKDAYS($K35,$L35,Assumptions!$F$4:$F$44))</f>
        <v>0</v>
      </c>
      <c r="AV35" s="21" t="n">
        <f aca="false">IF($J35=0,0,MAX(0,NETWORKDAYS(MAX($K35,AV$4),MIN($L35,EOMONTH(AV$4,0)),Assumptions!$F$4:$F$44))/NETWORKDAYS($K35,$L35,Assumptions!$F$4:$F$44))</f>
        <v>0</v>
      </c>
      <c r="AW35" s="21" t="n">
        <f aca="false">IF($J35=0,0,MAX(0,NETWORKDAYS(MAX($K35,AW$4),MIN($L35,EOMONTH(AW$4,0)),Assumptions!$F$4:$F$44))/NETWORKDAYS($K35,$L35,Assumptions!$F$4:$F$44))</f>
        <v>0</v>
      </c>
      <c r="AX35" s="21" t="n">
        <f aca="false">IF($J35=0,0,MAX(0,NETWORKDAYS(MAX($K35,AX$4),MIN($L35,EOMONTH(AX$4,0)),Assumptions!$F$4:$F$44))/NETWORKDAYS($K35,$L35,Assumptions!$F$4:$F$44))</f>
        <v>0</v>
      </c>
      <c r="AY35" s="21" t="n">
        <f aca="false">IF($J35=0,0,MAX(0,NETWORKDAYS(MAX($K35,AY$4),MIN($L35,EOMONTH(AY$4,0)),Assumptions!$F$4:$F$44))/NETWORKDAYS($K35,$L35,Assumptions!$F$4:$F$44))</f>
        <v>0</v>
      </c>
      <c r="AZ35" s="21" t="n">
        <f aca="false">IF($J35=0,0,MAX(0,NETWORKDAYS(MAX($K35,AZ$4),MIN($L35,EOMONTH(AZ$4,0)),Assumptions!$F$4:$F$44))/NETWORKDAYS($K35,$L35,Assumptions!$F$4:$F$44))</f>
        <v>0</v>
      </c>
      <c r="BA35" s="21" t="n">
        <f aca="false">IF($J35=0,0,MAX(0,NETWORKDAYS(MAX($K35,BA$4),MIN($L35,EOMONTH(BA$4,0)),Assumptions!$F$4:$F$44))/NETWORKDAYS($K35,$L35,Assumptions!$F$4:$F$44))</f>
        <v>0</v>
      </c>
      <c r="BB35" s="21" t="n">
        <f aca="false">IF($J35=0,0,MAX(0,NETWORKDAYS(MAX($K35,BB$4),MIN($L35,EOMONTH(BB$4,0)),Assumptions!$F$4:$F$44))/NETWORKDAYS($K35,$L35,Assumptions!$F$4:$F$44))</f>
        <v>0</v>
      </c>
      <c r="BC35" s="21" t="n">
        <f aca="false">IF($J35=0,0,MAX(0,NETWORKDAYS(MAX($K35,BC$4),MIN($L35,EOMONTH(BC$4,0)),Assumptions!$F$4:$F$44))/NETWORKDAYS($K35,$L35,Assumptions!$F$4:$F$44))</f>
        <v>0</v>
      </c>
    </row>
    <row r="36" customFormat="false" ht="15" hidden="false" customHeight="false" outlineLevel="2" collapsed="false">
      <c r="A36" s="27" t="n">
        <v>32</v>
      </c>
      <c r="B36" s="27" t="s">
        <v>174</v>
      </c>
      <c r="C36" s="27" t="n">
        <v>3</v>
      </c>
      <c r="D36" s="27" t="s">
        <v>92</v>
      </c>
      <c r="E36" s="28" t="s">
        <v>167</v>
      </c>
      <c r="F36" s="27" t="s">
        <v>154</v>
      </c>
      <c r="G36" s="27" t="s">
        <v>157</v>
      </c>
      <c r="H36" s="27" t="s">
        <v>57</v>
      </c>
      <c r="I36" s="29" t="n">
        <v>53</v>
      </c>
      <c r="J36" s="29" t="n">
        <v>13</v>
      </c>
      <c r="K36" s="30" t="n">
        <f aca="false">WORKDAY(Assumptions!$C$4,I36,Assumptions!$F$4:$F$44)</f>
        <v>46401</v>
      </c>
      <c r="L36" s="30" t="n">
        <f aca="false">IF(J36=0,K36,WORKDAY(K36,J36-1,Assumptions!$F$4:$F$44))</f>
        <v>46419</v>
      </c>
      <c r="M36" s="29"/>
      <c r="N36" s="31" t="n">
        <v>0</v>
      </c>
      <c r="O36" s="31" t="n">
        <v>0</v>
      </c>
      <c r="P36" s="31" t="n">
        <v>0</v>
      </c>
      <c r="Q36" s="31" t="n">
        <v>2</v>
      </c>
      <c r="R36" s="31" t="n">
        <v>0</v>
      </c>
      <c r="S36" s="31" t="n">
        <v>0</v>
      </c>
      <c r="T36" s="31" t="n">
        <v>0</v>
      </c>
      <c r="U36" s="31" t="n">
        <v>0</v>
      </c>
      <c r="V36" s="31" t="n">
        <v>8</v>
      </c>
      <c r="W36" s="31" t="n">
        <v>0</v>
      </c>
      <c r="X36" s="31" t="n">
        <v>0</v>
      </c>
      <c r="Y36" s="32" t="n">
        <f aca="false">SUM(N36:X36)</f>
        <v>10</v>
      </c>
      <c r="Z36" s="32" t="n">
        <f aca="false">Y36*(1+Assumptions!$C$5)</f>
        <v>11.5</v>
      </c>
      <c r="AA36" s="27" t="s">
        <v>168</v>
      </c>
      <c r="AB36" s="27" t="s">
        <v>95</v>
      </c>
      <c r="AC36" s="27"/>
      <c r="AD36" s="33" t="n">
        <v>0</v>
      </c>
      <c r="AF36" s="21" t="n">
        <f aca="false">IF($J36=0,0,MAX(0,NETWORKDAYS(MAX($K36,AF$4),MIN($L36,EOMONTH(AF$4,0)),Assumptions!$F$4:$F$44))/NETWORKDAYS($K36,$L36,Assumptions!$F$4:$F$44))</f>
        <v>0</v>
      </c>
      <c r="AG36" s="21" t="n">
        <f aca="false">IF($J36=0,0,MAX(0,NETWORKDAYS(MAX($K36,AG$4),MIN($L36,EOMONTH(AG$4,0)),Assumptions!$F$4:$F$44))/NETWORKDAYS($K36,$L36,Assumptions!$F$4:$F$44))</f>
        <v>0</v>
      </c>
      <c r="AH36" s="21" t="n">
        <f aca="false">IF($J36=0,0,MAX(0,NETWORKDAYS(MAX($K36,AH$4),MIN($L36,EOMONTH(AH$4,0)),Assumptions!$F$4:$F$44))/NETWORKDAYS($K36,$L36,Assumptions!$F$4:$F$44))</f>
        <v>0.923076923076923</v>
      </c>
      <c r="AI36" s="21" t="n">
        <f aca="false">IF($J36=0,0,MAX(0,NETWORKDAYS(MAX($K36,AI$4),MIN($L36,EOMONTH(AI$4,0)),Assumptions!$F$4:$F$44))/NETWORKDAYS($K36,$L36,Assumptions!$F$4:$F$44))</f>
        <v>0.0769230769230769</v>
      </c>
      <c r="AJ36" s="21" t="n">
        <f aca="false">IF($J36=0,0,MAX(0,NETWORKDAYS(MAX($K36,AJ$4),MIN($L36,EOMONTH(AJ$4,0)),Assumptions!$F$4:$F$44))/NETWORKDAYS($K36,$L36,Assumptions!$F$4:$F$44))</f>
        <v>0</v>
      </c>
      <c r="AK36" s="21" t="n">
        <f aca="false">IF($J36=0,0,MAX(0,NETWORKDAYS(MAX($K36,AK$4),MIN($L36,EOMONTH(AK$4,0)),Assumptions!$F$4:$F$44))/NETWORKDAYS($K36,$L36,Assumptions!$F$4:$F$44))</f>
        <v>0</v>
      </c>
      <c r="AL36" s="21" t="n">
        <f aca="false">IF($J36=0,0,MAX(0,NETWORKDAYS(MAX($K36,AL$4),MIN($L36,EOMONTH(AL$4,0)),Assumptions!$F$4:$F$44))/NETWORKDAYS($K36,$L36,Assumptions!$F$4:$F$44))</f>
        <v>0</v>
      </c>
      <c r="AM36" s="21" t="n">
        <f aca="false">IF($J36=0,0,MAX(0,NETWORKDAYS(MAX($K36,AM$4),MIN($L36,EOMONTH(AM$4,0)),Assumptions!$F$4:$F$44))/NETWORKDAYS($K36,$L36,Assumptions!$F$4:$F$44))</f>
        <v>0</v>
      </c>
      <c r="AN36" s="21" t="n">
        <f aca="false">IF($J36=0,0,MAX(0,NETWORKDAYS(MAX($K36,AN$4),MIN($L36,EOMONTH(AN$4,0)),Assumptions!$F$4:$F$44))/NETWORKDAYS($K36,$L36,Assumptions!$F$4:$F$44))</f>
        <v>0</v>
      </c>
      <c r="AO36" s="21" t="n">
        <f aca="false">IF($J36=0,0,MAX(0,NETWORKDAYS(MAX($K36,AO$4),MIN($L36,EOMONTH(AO$4,0)),Assumptions!$F$4:$F$44))/NETWORKDAYS($K36,$L36,Assumptions!$F$4:$F$44))</f>
        <v>0</v>
      </c>
      <c r="AP36" s="21" t="n">
        <f aca="false">IF($J36=0,0,MAX(0,NETWORKDAYS(MAX($K36,AP$4),MIN($L36,EOMONTH(AP$4,0)),Assumptions!$F$4:$F$44))/NETWORKDAYS($K36,$L36,Assumptions!$F$4:$F$44))</f>
        <v>0</v>
      </c>
      <c r="AQ36" s="21" t="n">
        <f aca="false">IF($J36=0,0,MAX(0,NETWORKDAYS(MAX($K36,AQ$4),MIN($L36,EOMONTH(AQ$4,0)),Assumptions!$F$4:$F$44))/NETWORKDAYS($K36,$L36,Assumptions!$F$4:$F$44))</f>
        <v>0</v>
      </c>
      <c r="AR36" s="21" t="n">
        <f aca="false">IF($J36=0,0,MAX(0,NETWORKDAYS(MAX($K36,AR$4),MIN($L36,EOMONTH(AR$4,0)),Assumptions!$F$4:$F$44))/NETWORKDAYS($K36,$L36,Assumptions!$F$4:$F$44))</f>
        <v>0</v>
      </c>
      <c r="AS36" s="21" t="n">
        <f aca="false">IF($J36=0,0,MAX(0,NETWORKDAYS(MAX($K36,AS$4),MIN($L36,EOMONTH(AS$4,0)),Assumptions!$F$4:$F$44))/NETWORKDAYS($K36,$L36,Assumptions!$F$4:$F$44))</f>
        <v>0</v>
      </c>
      <c r="AT36" s="21" t="n">
        <f aca="false">IF($J36=0,0,MAX(0,NETWORKDAYS(MAX($K36,AT$4),MIN($L36,EOMONTH(AT$4,0)),Assumptions!$F$4:$F$44))/NETWORKDAYS($K36,$L36,Assumptions!$F$4:$F$44))</f>
        <v>0</v>
      </c>
      <c r="AU36" s="21" t="n">
        <f aca="false">IF($J36=0,0,MAX(0,NETWORKDAYS(MAX($K36,AU$4),MIN($L36,EOMONTH(AU$4,0)),Assumptions!$F$4:$F$44))/NETWORKDAYS($K36,$L36,Assumptions!$F$4:$F$44))</f>
        <v>0</v>
      </c>
      <c r="AV36" s="21" t="n">
        <f aca="false">IF($J36=0,0,MAX(0,NETWORKDAYS(MAX($K36,AV$4),MIN($L36,EOMONTH(AV$4,0)),Assumptions!$F$4:$F$44))/NETWORKDAYS($K36,$L36,Assumptions!$F$4:$F$44))</f>
        <v>0</v>
      </c>
      <c r="AW36" s="21" t="n">
        <f aca="false">IF($J36=0,0,MAX(0,NETWORKDAYS(MAX($K36,AW$4),MIN($L36,EOMONTH(AW$4,0)),Assumptions!$F$4:$F$44))/NETWORKDAYS($K36,$L36,Assumptions!$F$4:$F$44))</f>
        <v>0</v>
      </c>
      <c r="AX36" s="21" t="n">
        <f aca="false">IF($J36=0,0,MAX(0,NETWORKDAYS(MAX($K36,AX$4),MIN($L36,EOMONTH(AX$4,0)),Assumptions!$F$4:$F$44))/NETWORKDAYS($K36,$L36,Assumptions!$F$4:$F$44))</f>
        <v>0</v>
      </c>
      <c r="AY36" s="21" t="n">
        <f aca="false">IF($J36=0,0,MAX(0,NETWORKDAYS(MAX($K36,AY$4),MIN($L36,EOMONTH(AY$4,0)),Assumptions!$F$4:$F$44))/NETWORKDAYS($K36,$L36,Assumptions!$F$4:$F$44))</f>
        <v>0</v>
      </c>
      <c r="AZ36" s="21" t="n">
        <f aca="false">IF($J36=0,0,MAX(0,NETWORKDAYS(MAX($K36,AZ$4),MIN($L36,EOMONTH(AZ$4,0)),Assumptions!$F$4:$F$44))/NETWORKDAYS($K36,$L36,Assumptions!$F$4:$F$44))</f>
        <v>0</v>
      </c>
      <c r="BA36" s="21" t="n">
        <f aca="false">IF($J36=0,0,MAX(0,NETWORKDAYS(MAX($K36,BA$4),MIN($L36,EOMONTH(BA$4,0)),Assumptions!$F$4:$F$44))/NETWORKDAYS($K36,$L36,Assumptions!$F$4:$F$44))</f>
        <v>0</v>
      </c>
      <c r="BB36" s="21" t="n">
        <f aca="false">IF($J36=0,0,MAX(0,NETWORKDAYS(MAX($K36,BB$4),MIN($L36,EOMONTH(BB$4,0)),Assumptions!$F$4:$F$44))/NETWORKDAYS($K36,$L36,Assumptions!$F$4:$F$44))</f>
        <v>0</v>
      </c>
      <c r="BC36" s="21" t="n">
        <f aca="false">IF($J36=0,0,MAX(0,NETWORKDAYS(MAX($K36,BC$4),MIN($L36,EOMONTH(BC$4,0)),Assumptions!$F$4:$F$44))/NETWORKDAYS($K36,$L36,Assumptions!$F$4:$F$44))</f>
        <v>0</v>
      </c>
    </row>
    <row r="37" customFormat="false" ht="15" hidden="false" customHeight="false" outlineLevel="1" collapsed="false">
      <c r="A37" s="22" t="n">
        <v>33</v>
      </c>
      <c r="B37" s="22" t="s">
        <v>175</v>
      </c>
      <c r="C37" s="22" t="n">
        <v>2</v>
      </c>
      <c r="D37" s="22" t="s">
        <v>89</v>
      </c>
      <c r="E37" s="23" t="s">
        <v>176</v>
      </c>
      <c r="F37" s="22" t="s">
        <v>154</v>
      </c>
      <c r="G37" s="22" t="s">
        <v>157</v>
      </c>
      <c r="H37" s="22"/>
      <c r="I37" s="22"/>
      <c r="J37" s="22" t="n">
        <f aca="false">NETWORKDAYS(K37,L37,Assumptions!$F$4:$F$44)</f>
        <v>50</v>
      </c>
      <c r="K37" s="24" t="n">
        <f aca="false">MIN(K38:K40)</f>
        <v>46350</v>
      </c>
      <c r="L37" s="24" t="n">
        <f aca="false">MAX(L38:L40)</f>
        <v>46419</v>
      </c>
      <c r="M37" s="22"/>
      <c r="N37" s="25" t="n">
        <f aca="false">SUMPRODUCT(($C$38:$C$40=3)*(N38:N40))</f>
        <v>0</v>
      </c>
      <c r="O37" s="25" t="n">
        <f aca="false">SUMPRODUCT(($C$38:$C$40=3)*(O38:O40))</f>
        <v>0</v>
      </c>
      <c r="P37" s="25" t="n">
        <f aca="false">SUMPRODUCT(($C$38:$C$40=3)*(P38:P40))</f>
        <v>4</v>
      </c>
      <c r="Q37" s="25" t="n">
        <f aca="false">SUMPRODUCT(($C$38:$C$40=3)*(Q38:Q40))</f>
        <v>31</v>
      </c>
      <c r="R37" s="25" t="n">
        <f aca="false">SUMPRODUCT(($C$38:$C$40=3)*(R38:R40))</f>
        <v>9</v>
      </c>
      <c r="S37" s="25" t="n">
        <f aca="false">SUMPRODUCT(($C$38:$C$40=3)*(S38:S40))</f>
        <v>0</v>
      </c>
      <c r="T37" s="25" t="n">
        <f aca="false">SUMPRODUCT(($C$38:$C$40=3)*(T38:T40))</f>
        <v>0</v>
      </c>
      <c r="U37" s="25" t="n">
        <f aca="false">SUMPRODUCT(($C$38:$C$40=3)*(U38:U40))</f>
        <v>0</v>
      </c>
      <c r="V37" s="25" t="n">
        <f aca="false">SUMPRODUCT(($C$38:$C$40=3)*(V38:V40))</f>
        <v>8</v>
      </c>
      <c r="W37" s="25" t="n">
        <f aca="false">SUMPRODUCT(($C$38:$C$40=3)*(W38:W40))</f>
        <v>0</v>
      </c>
      <c r="X37" s="25" t="n">
        <f aca="false">SUMPRODUCT(($C$38:$C$40=3)*(X38:X40))</f>
        <v>0</v>
      </c>
      <c r="Y37" s="25" t="n">
        <f aca="false">SUM(N37:X37)</f>
        <v>52</v>
      </c>
      <c r="Z37" s="25" t="n">
        <f aca="false">Y37*(1+Assumptions!$C$5)</f>
        <v>59.8</v>
      </c>
      <c r="AA37" s="22" t="s">
        <v>177</v>
      </c>
      <c r="AB37" s="22"/>
      <c r="AC37" s="22"/>
      <c r="AD37" s="26"/>
      <c r="AF37" s="21" t="n">
        <v>0</v>
      </c>
      <c r="AG37" s="21" t="n">
        <v>0</v>
      </c>
      <c r="AH37" s="21" t="n">
        <v>0</v>
      </c>
      <c r="AI37" s="21" t="n">
        <v>0</v>
      </c>
      <c r="AJ37" s="21" t="n">
        <v>0</v>
      </c>
      <c r="AK37" s="21" t="n">
        <v>0</v>
      </c>
      <c r="AL37" s="21" t="n">
        <v>0</v>
      </c>
      <c r="AM37" s="21" t="n">
        <v>0</v>
      </c>
      <c r="AN37" s="21" t="n">
        <v>0</v>
      </c>
      <c r="AO37" s="21" t="n">
        <v>0</v>
      </c>
      <c r="AP37" s="21" t="n">
        <v>0</v>
      </c>
      <c r="AQ37" s="21" t="n">
        <v>0</v>
      </c>
      <c r="AR37" s="21" t="n">
        <v>0</v>
      </c>
      <c r="AS37" s="21" t="n">
        <v>0</v>
      </c>
      <c r="AT37" s="21" t="n">
        <v>0</v>
      </c>
      <c r="AU37" s="21" t="n">
        <v>0</v>
      </c>
      <c r="AV37" s="21" t="n">
        <v>0</v>
      </c>
      <c r="AW37" s="21" t="n">
        <v>0</v>
      </c>
      <c r="AX37" s="21" t="n">
        <v>0</v>
      </c>
      <c r="AY37" s="21" t="n">
        <v>0</v>
      </c>
      <c r="AZ37" s="21" t="n">
        <v>0</v>
      </c>
      <c r="BA37" s="21" t="n">
        <v>0</v>
      </c>
      <c r="BB37" s="21" t="n">
        <v>0</v>
      </c>
      <c r="BC37" s="21" t="n">
        <v>0</v>
      </c>
    </row>
    <row r="38" customFormat="false" ht="15" hidden="false" customHeight="false" outlineLevel="2" collapsed="false">
      <c r="A38" s="27" t="n">
        <v>34</v>
      </c>
      <c r="B38" s="27" t="s">
        <v>178</v>
      </c>
      <c r="C38" s="27" t="n">
        <v>3</v>
      </c>
      <c r="D38" s="27" t="s">
        <v>92</v>
      </c>
      <c r="E38" s="28" t="s">
        <v>160</v>
      </c>
      <c r="F38" s="27" t="s">
        <v>154</v>
      </c>
      <c r="G38" s="27" t="s">
        <v>157</v>
      </c>
      <c r="H38" s="27" t="s">
        <v>45</v>
      </c>
      <c r="I38" s="29" t="n">
        <v>16</v>
      </c>
      <c r="J38" s="29" t="n">
        <v>10</v>
      </c>
      <c r="K38" s="30" t="n">
        <f aca="false">WORKDAY(Assumptions!$C$4,I38,Assumptions!$F$4:$F$44)</f>
        <v>46350</v>
      </c>
      <c r="L38" s="30" t="n">
        <f aca="false">IF(J38=0,K38,WORKDAY(K38,J38-1,Assumptions!$F$4:$F$44))</f>
        <v>46363</v>
      </c>
      <c r="M38" s="29" t="s">
        <v>161</v>
      </c>
      <c r="N38" s="31" t="n">
        <v>0</v>
      </c>
      <c r="O38" s="31" t="n">
        <v>0</v>
      </c>
      <c r="P38" s="31" t="n">
        <v>4</v>
      </c>
      <c r="Q38" s="31" t="n">
        <v>3</v>
      </c>
      <c r="R38" s="31" t="n">
        <v>0</v>
      </c>
      <c r="S38" s="31" t="n">
        <v>0</v>
      </c>
      <c r="T38" s="31" t="n">
        <v>0</v>
      </c>
      <c r="U38" s="31" t="n">
        <v>0</v>
      </c>
      <c r="V38" s="31" t="n">
        <v>0</v>
      </c>
      <c r="W38" s="31" t="n">
        <v>0</v>
      </c>
      <c r="X38" s="31" t="n">
        <v>0</v>
      </c>
      <c r="Y38" s="32" t="n">
        <f aca="false">SUM(N38:X38)</f>
        <v>7</v>
      </c>
      <c r="Z38" s="32" t="n">
        <f aca="false">Y38*(1+Assumptions!$C$5)</f>
        <v>8.05</v>
      </c>
      <c r="AA38" s="27" t="s">
        <v>162</v>
      </c>
      <c r="AB38" s="27" t="s">
        <v>95</v>
      </c>
      <c r="AC38" s="27"/>
      <c r="AD38" s="33" t="n">
        <v>0</v>
      </c>
      <c r="AF38" s="21" t="n">
        <f aca="false">IF($J38=0,0,MAX(0,NETWORKDAYS(MAX($K38,AF$4),MIN($L38,EOMONTH(AF$4,0)),Assumptions!$F$4:$F$44))/NETWORKDAYS($K38,$L38,Assumptions!$F$4:$F$44))</f>
        <v>0.5</v>
      </c>
      <c r="AG38" s="21" t="n">
        <f aca="false">IF($J38=0,0,MAX(0,NETWORKDAYS(MAX($K38,AG$4),MIN($L38,EOMONTH(AG$4,0)),Assumptions!$F$4:$F$44))/NETWORKDAYS($K38,$L38,Assumptions!$F$4:$F$44))</f>
        <v>0.5</v>
      </c>
      <c r="AH38" s="21" t="n">
        <f aca="false">IF($J38=0,0,MAX(0,NETWORKDAYS(MAX($K38,AH$4),MIN($L38,EOMONTH(AH$4,0)),Assumptions!$F$4:$F$44))/NETWORKDAYS($K38,$L38,Assumptions!$F$4:$F$44))</f>
        <v>0</v>
      </c>
      <c r="AI38" s="21" t="n">
        <f aca="false">IF($J38=0,0,MAX(0,NETWORKDAYS(MAX($K38,AI$4),MIN($L38,EOMONTH(AI$4,0)),Assumptions!$F$4:$F$44))/NETWORKDAYS($K38,$L38,Assumptions!$F$4:$F$44))</f>
        <v>0</v>
      </c>
      <c r="AJ38" s="21" t="n">
        <f aca="false">IF($J38=0,0,MAX(0,NETWORKDAYS(MAX($K38,AJ$4),MIN($L38,EOMONTH(AJ$4,0)),Assumptions!$F$4:$F$44))/NETWORKDAYS($K38,$L38,Assumptions!$F$4:$F$44))</f>
        <v>0</v>
      </c>
      <c r="AK38" s="21" t="n">
        <f aca="false">IF($J38=0,0,MAX(0,NETWORKDAYS(MAX($K38,AK$4),MIN($L38,EOMONTH(AK$4,0)),Assumptions!$F$4:$F$44))/NETWORKDAYS($K38,$L38,Assumptions!$F$4:$F$44))</f>
        <v>0</v>
      </c>
      <c r="AL38" s="21" t="n">
        <f aca="false">IF($J38=0,0,MAX(0,NETWORKDAYS(MAX($K38,AL$4),MIN($L38,EOMONTH(AL$4,0)),Assumptions!$F$4:$F$44))/NETWORKDAYS($K38,$L38,Assumptions!$F$4:$F$44))</f>
        <v>0</v>
      </c>
      <c r="AM38" s="21" t="n">
        <f aca="false">IF($J38=0,0,MAX(0,NETWORKDAYS(MAX($K38,AM$4),MIN($L38,EOMONTH(AM$4,0)),Assumptions!$F$4:$F$44))/NETWORKDAYS($K38,$L38,Assumptions!$F$4:$F$44))</f>
        <v>0</v>
      </c>
      <c r="AN38" s="21" t="n">
        <f aca="false">IF($J38=0,0,MAX(0,NETWORKDAYS(MAX($K38,AN$4),MIN($L38,EOMONTH(AN$4,0)),Assumptions!$F$4:$F$44))/NETWORKDAYS($K38,$L38,Assumptions!$F$4:$F$44))</f>
        <v>0</v>
      </c>
      <c r="AO38" s="21" t="n">
        <f aca="false">IF($J38=0,0,MAX(0,NETWORKDAYS(MAX($K38,AO$4),MIN($L38,EOMONTH(AO$4,0)),Assumptions!$F$4:$F$44))/NETWORKDAYS($K38,$L38,Assumptions!$F$4:$F$44))</f>
        <v>0</v>
      </c>
      <c r="AP38" s="21" t="n">
        <f aca="false">IF($J38=0,0,MAX(0,NETWORKDAYS(MAX($K38,AP$4),MIN($L38,EOMONTH(AP$4,0)),Assumptions!$F$4:$F$44))/NETWORKDAYS($K38,$L38,Assumptions!$F$4:$F$44))</f>
        <v>0</v>
      </c>
      <c r="AQ38" s="21" t="n">
        <f aca="false">IF($J38=0,0,MAX(0,NETWORKDAYS(MAX($K38,AQ$4),MIN($L38,EOMONTH(AQ$4,0)),Assumptions!$F$4:$F$44))/NETWORKDAYS($K38,$L38,Assumptions!$F$4:$F$44))</f>
        <v>0</v>
      </c>
      <c r="AR38" s="21" t="n">
        <f aca="false">IF($J38=0,0,MAX(0,NETWORKDAYS(MAX($K38,AR$4),MIN($L38,EOMONTH(AR$4,0)),Assumptions!$F$4:$F$44))/NETWORKDAYS($K38,$L38,Assumptions!$F$4:$F$44))</f>
        <v>0</v>
      </c>
      <c r="AS38" s="21" t="n">
        <f aca="false">IF($J38=0,0,MAX(0,NETWORKDAYS(MAX($K38,AS$4),MIN($L38,EOMONTH(AS$4,0)),Assumptions!$F$4:$F$44))/NETWORKDAYS($K38,$L38,Assumptions!$F$4:$F$44))</f>
        <v>0</v>
      </c>
      <c r="AT38" s="21" t="n">
        <f aca="false">IF($J38=0,0,MAX(0,NETWORKDAYS(MAX($K38,AT$4),MIN($L38,EOMONTH(AT$4,0)),Assumptions!$F$4:$F$44))/NETWORKDAYS($K38,$L38,Assumptions!$F$4:$F$44))</f>
        <v>0</v>
      </c>
      <c r="AU38" s="21" t="n">
        <f aca="false">IF($J38=0,0,MAX(0,NETWORKDAYS(MAX($K38,AU$4),MIN($L38,EOMONTH(AU$4,0)),Assumptions!$F$4:$F$44))/NETWORKDAYS($K38,$L38,Assumptions!$F$4:$F$44))</f>
        <v>0</v>
      </c>
      <c r="AV38" s="21" t="n">
        <f aca="false">IF($J38=0,0,MAX(0,NETWORKDAYS(MAX($K38,AV$4),MIN($L38,EOMONTH(AV$4,0)),Assumptions!$F$4:$F$44))/NETWORKDAYS($K38,$L38,Assumptions!$F$4:$F$44))</f>
        <v>0</v>
      </c>
      <c r="AW38" s="21" t="n">
        <f aca="false">IF($J38=0,0,MAX(0,NETWORKDAYS(MAX($K38,AW$4),MIN($L38,EOMONTH(AW$4,0)),Assumptions!$F$4:$F$44))/NETWORKDAYS($K38,$L38,Assumptions!$F$4:$F$44))</f>
        <v>0</v>
      </c>
      <c r="AX38" s="21" t="n">
        <f aca="false">IF($J38=0,0,MAX(0,NETWORKDAYS(MAX($K38,AX$4),MIN($L38,EOMONTH(AX$4,0)),Assumptions!$F$4:$F$44))/NETWORKDAYS($K38,$L38,Assumptions!$F$4:$F$44))</f>
        <v>0</v>
      </c>
      <c r="AY38" s="21" t="n">
        <f aca="false">IF($J38=0,0,MAX(0,NETWORKDAYS(MAX($K38,AY$4),MIN($L38,EOMONTH(AY$4,0)),Assumptions!$F$4:$F$44))/NETWORKDAYS($K38,$L38,Assumptions!$F$4:$F$44))</f>
        <v>0</v>
      </c>
      <c r="AZ38" s="21" t="n">
        <f aca="false">IF($J38=0,0,MAX(0,NETWORKDAYS(MAX($K38,AZ$4),MIN($L38,EOMONTH(AZ$4,0)),Assumptions!$F$4:$F$44))/NETWORKDAYS($K38,$L38,Assumptions!$F$4:$F$44))</f>
        <v>0</v>
      </c>
      <c r="BA38" s="21" t="n">
        <f aca="false">IF($J38=0,0,MAX(0,NETWORKDAYS(MAX($K38,BA$4),MIN($L38,EOMONTH(BA$4,0)),Assumptions!$F$4:$F$44))/NETWORKDAYS($K38,$L38,Assumptions!$F$4:$F$44))</f>
        <v>0</v>
      </c>
      <c r="BB38" s="21" t="n">
        <f aca="false">IF($J38=0,0,MAX(0,NETWORKDAYS(MAX($K38,BB$4),MIN($L38,EOMONTH(BB$4,0)),Assumptions!$F$4:$F$44))/NETWORKDAYS($K38,$L38,Assumptions!$F$4:$F$44))</f>
        <v>0</v>
      </c>
      <c r="BC38" s="21" t="n">
        <f aca="false">IF($J38=0,0,MAX(0,NETWORKDAYS(MAX($K38,BC$4),MIN($L38,EOMONTH(BC$4,0)),Assumptions!$F$4:$F$44))/NETWORKDAYS($K38,$L38,Assumptions!$F$4:$F$44))</f>
        <v>0</v>
      </c>
    </row>
    <row r="39" customFormat="false" ht="15" hidden="false" customHeight="false" outlineLevel="2" collapsed="false">
      <c r="A39" s="27" t="n">
        <v>35</v>
      </c>
      <c r="B39" s="27" t="s">
        <v>179</v>
      </c>
      <c r="C39" s="27" t="n">
        <v>3</v>
      </c>
      <c r="D39" s="27" t="s">
        <v>92</v>
      </c>
      <c r="E39" s="28" t="s">
        <v>164</v>
      </c>
      <c r="F39" s="27" t="s">
        <v>154</v>
      </c>
      <c r="G39" s="27" t="s">
        <v>157</v>
      </c>
      <c r="H39" s="27" t="s">
        <v>47</v>
      </c>
      <c r="I39" s="29" t="n">
        <v>26</v>
      </c>
      <c r="J39" s="29" t="n">
        <v>30</v>
      </c>
      <c r="K39" s="30" t="n">
        <f aca="false">WORKDAY(Assumptions!$C$4,I39,Assumptions!$F$4:$F$44)</f>
        <v>46364</v>
      </c>
      <c r="L39" s="30" t="n">
        <f aca="false">IF(J39=0,K39,WORKDAY(K39,J39-1,Assumptions!$F$4:$F$44))</f>
        <v>46405</v>
      </c>
      <c r="M39" s="29"/>
      <c r="N39" s="31" t="n">
        <v>0</v>
      </c>
      <c r="O39" s="31" t="n">
        <v>0</v>
      </c>
      <c r="P39" s="31" t="n">
        <v>0</v>
      </c>
      <c r="Q39" s="31" t="n">
        <v>25</v>
      </c>
      <c r="R39" s="31" t="n">
        <v>9</v>
      </c>
      <c r="S39" s="31" t="n">
        <v>0</v>
      </c>
      <c r="T39" s="31" t="n">
        <v>0</v>
      </c>
      <c r="U39" s="31" t="n">
        <v>0</v>
      </c>
      <c r="V39" s="31" t="n">
        <v>0</v>
      </c>
      <c r="W39" s="31" t="n">
        <v>0</v>
      </c>
      <c r="X39" s="31" t="n">
        <v>0</v>
      </c>
      <c r="Y39" s="32" t="n">
        <f aca="false">SUM(N39:X39)</f>
        <v>34</v>
      </c>
      <c r="Z39" s="32" t="n">
        <f aca="false">Y39*(1+Assumptions!$C$5)</f>
        <v>39.1</v>
      </c>
      <c r="AA39" s="27" t="s">
        <v>165</v>
      </c>
      <c r="AB39" s="27" t="s">
        <v>95</v>
      </c>
      <c r="AC39" s="27"/>
      <c r="AD39" s="33" t="n">
        <v>0</v>
      </c>
      <c r="AF39" s="21" t="n">
        <f aca="false">IF($J39=0,0,MAX(0,NETWORKDAYS(MAX($K39,AF$4),MIN($L39,EOMONTH(AF$4,0)),Assumptions!$F$4:$F$44))/NETWORKDAYS($K39,$L39,Assumptions!$F$4:$F$44))</f>
        <v>0</v>
      </c>
      <c r="AG39" s="21" t="n">
        <f aca="false">IF($J39=0,0,MAX(0,NETWORKDAYS(MAX($K39,AG$4),MIN($L39,EOMONTH(AG$4,0)),Assumptions!$F$4:$F$44))/NETWORKDAYS($K39,$L39,Assumptions!$F$4:$F$44))</f>
        <v>0.6</v>
      </c>
      <c r="AH39" s="21" t="n">
        <f aca="false">IF($J39=0,0,MAX(0,NETWORKDAYS(MAX($K39,AH$4),MIN($L39,EOMONTH(AH$4,0)),Assumptions!$F$4:$F$44))/NETWORKDAYS($K39,$L39,Assumptions!$F$4:$F$44))</f>
        <v>0.4</v>
      </c>
      <c r="AI39" s="21" t="n">
        <f aca="false">IF($J39=0,0,MAX(0,NETWORKDAYS(MAX($K39,AI$4),MIN($L39,EOMONTH(AI$4,0)),Assumptions!$F$4:$F$44))/NETWORKDAYS($K39,$L39,Assumptions!$F$4:$F$44))</f>
        <v>0</v>
      </c>
      <c r="AJ39" s="21" t="n">
        <f aca="false">IF($J39=0,0,MAX(0,NETWORKDAYS(MAX($K39,AJ$4),MIN($L39,EOMONTH(AJ$4,0)),Assumptions!$F$4:$F$44))/NETWORKDAYS($K39,$L39,Assumptions!$F$4:$F$44))</f>
        <v>0</v>
      </c>
      <c r="AK39" s="21" t="n">
        <f aca="false">IF($J39=0,0,MAX(0,NETWORKDAYS(MAX($K39,AK$4),MIN($L39,EOMONTH(AK$4,0)),Assumptions!$F$4:$F$44))/NETWORKDAYS($K39,$L39,Assumptions!$F$4:$F$44))</f>
        <v>0</v>
      </c>
      <c r="AL39" s="21" t="n">
        <f aca="false">IF($J39=0,0,MAX(0,NETWORKDAYS(MAX($K39,AL$4),MIN($L39,EOMONTH(AL$4,0)),Assumptions!$F$4:$F$44))/NETWORKDAYS($K39,$L39,Assumptions!$F$4:$F$44))</f>
        <v>0</v>
      </c>
      <c r="AM39" s="21" t="n">
        <f aca="false">IF($J39=0,0,MAX(0,NETWORKDAYS(MAX($K39,AM$4),MIN($L39,EOMONTH(AM$4,0)),Assumptions!$F$4:$F$44))/NETWORKDAYS($K39,$L39,Assumptions!$F$4:$F$44))</f>
        <v>0</v>
      </c>
      <c r="AN39" s="21" t="n">
        <f aca="false">IF($J39=0,0,MAX(0,NETWORKDAYS(MAX($K39,AN$4),MIN($L39,EOMONTH(AN$4,0)),Assumptions!$F$4:$F$44))/NETWORKDAYS($K39,$L39,Assumptions!$F$4:$F$44))</f>
        <v>0</v>
      </c>
      <c r="AO39" s="21" t="n">
        <f aca="false">IF($J39=0,0,MAX(0,NETWORKDAYS(MAX($K39,AO$4),MIN($L39,EOMONTH(AO$4,0)),Assumptions!$F$4:$F$44))/NETWORKDAYS($K39,$L39,Assumptions!$F$4:$F$44))</f>
        <v>0</v>
      </c>
      <c r="AP39" s="21" t="n">
        <f aca="false">IF($J39=0,0,MAX(0,NETWORKDAYS(MAX($K39,AP$4),MIN($L39,EOMONTH(AP$4,0)),Assumptions!$F$4:$F$44))/NETWORKDAYS($K39,$L39,Assumptions!$F$4:$F$44))</f>
        <v>0</v>
      </c>
      <c r="AQ39" s="21" t="n">
        <f aca="false">IF($J39=0,0,MAX(0,NETWORKDAYS(MAX($K39,AQ$4),MIN($L39,EOMONTH(AQ$4,0)),Assumptions!$F$4:$F$44))/NETWORKDAYS($K39,$L39,Assumptions!$F$4:$F$44))</f>
        <v>0</v>
      </c>
      <c r="AR39" s="21" t="n">
        <f aca="false">IF($J39=0,0,MAX(0,NETWORKDAYS(MAX($K39,AR$4),MIN($L39,EOMONTH(AR$4,0)),Assumptions!$F$4:$F$44))/NETWORKDAYS($K39,$L39,Assumptions!$F$4:$F$44))</f>
        <v>0</v>
      </c>
      <c r="AS39" s="21" t="n">
        <f aca="false">IF($J39=0,0,MAX(0,NETWORKDAYS(MAX($K39,AS$4),MIN($L39,EOMONTH(AS$4,0)),Assumptions!$F$4:$F$44))/NETWORKDAYS($K39,$L39,Assumptions!$F$4:$F$44))</f>
        <v>0</v>
      </c>
      <c r="AT39" s="21" t="n">
        <f aca="false">IF($J39=0,0,MAX(0,NETWORKDAYS(MAX($K39,AT$4),MIN($L39,EOMONTH(AT$4,0)),Assumptions!$F$4:$F$44))/NETWORKDAYS($K39,$L39,Assumptions!$F$4:$F$44))</f>
        <v>0</v>
      </c>
      <c r="AU39" s="21" t="n">
        <f aca="false">IF($J39=0,0,MAX(0,NETWORKDAYS(MAX($K39,AU$4),MIN($L39,EOMONTH(AU$4,0)),Assumptions!$F$4:$F$44))/NETWORKDAYS($K39,$L39,Assumptions!$F$4:$F$44))</f>
        <v>0</v>
      </c>
      <c r="AV39" s="21" t="n">
        <f aca="false">IF($J39=0,0,MAX(0,NETWORKDAYS(MAX($K39,AV$4),MIN($L39,EOMONTH(AV$4,0)),Assumptions!$F$4:$F$44))/NETWORKDAYS($K39,$L39,Assumptions!$F$4:$F$44))</f>
        <v>0</v>
      </c>
      <c r="AW39" s="21" t="n">
        <f aca="false">IF($J39=0,0,MAX(0,NETWORKDAYS(MAX($K39,AW$4),MIN($L39,EOMONTH(AW$4,0)),Assumptions!$F$4:$F$44))/NETWORKDAYS($K39,$L39,Assumptions!$F$4:$F$44))</f>
        <v>0</v>
      </c>
      <c r="AX39" s="21" t="n">
        <f aca="false">IF($J39=0,0,MAX(0,NETWORKDAYS(MAX($K39,AX$4),MIN($L39,EOMONTH(AX$4,0)),Assumptions!$F$4:$F$44))/NETWORKDAYS($K39,$L39,Assumptions!$F$4:$F$44))</f>
        <v>0</v>
      </c>
      <c r="AY39" s="21" t="n">
        <f aca="false">IF($J39=0,0,MAX(0,NETWORKDAYS(MAX($K39,AY$4),MIN($L39,EOMONTH(AY$4,0)),Assumptions!$F$4:$F$44))/NETWORKDAYS($K39,$L39,Assumptions!$F$4:$F$44))</f>
        <v>0</v>
      </c>
      <c r="AZ39" s="21" t="n">
        <f aca="false">IF($J39=0,0,MAX(0,NETWORKDAYS(MAX($K39,AZ$4),MIN($L39,EOMONTH(AZ$4,0)),Assumptions!$F$4:$F$44))/NETWORKDAYS($K39,$L39,Assumptions!$F$4:$F$44))</f>
        <v>0</v>
      </c>
      <c r="BA39" s="21" t="n">
        <f aca="false">IF($J39=0,0,MAX(0,NETWORKDAYS(MAX($K39,BA$4),MIN($L39,EOMONTH(BA$4,0)),Assumptions!$F$4:$F$44))/NETWORKDAYS($K39,$L39,Assumptions!$F$4:$F$44))</f>
        <v>0</v>
      </c>
      <c r="BB39" s="21" t="n">
        <f aca="false">IF($J39=0,0,MAX(0,NETWORKDAYS(MAX($K39,BB$4),MIN($L39,EOMONTH(BB$4,0)),Assumptions!$F$4:$F$44))/NETWORKDAYS($K39,$L39,Assumptions!$F$4:$F$44))</f>
        <v>0</v>
      </c>
      <c r="BC39" s="21" t="n">
        <f aca="false">IF($J39=0,0,MAX(0,NETWORKDAYS(MAX($K39,BC$4),MIN($L39,EOMONTH(BC$4,0)),Assumptions!$F$4:$F$44))/NETWORKDAYS($K39,$L39,Assumptions!$F$4:$F$44))</f>
        <v>0</v>
      </c>
    </row>
    <row r="40" customFormat="false" ht="15" hidden="false" customHeight="false" outlineLevel="2" collapsed="false">
      <c r="A40" s="27" t="n">
        <v>36</v>
      </c>
      <c r="B40" s="27" t="s">
        <v>180</v>
      </c>
      <c r="C40" s="27" t="n">
        <v>3</v>
      </c>
      <c r="D40" s="27" t="s">
        <v>92</v>
      </c>
      <c r="E40" s="28" t="s">
        <v>167</v>
      </c>
      <c r="F40" s="27" t="s">
        <v>154</v>
      </c>
      <c r="G40" s="27" t="s">
        <v>157</v>
      </c>
      <c r="H40" s="27" t="s">
        <v>57</v>
      </c>
      <c r="I40" s="29" t="n">
        <v>53</v>
      </c>
      <c r="J40" s="29" t="n">
        <v>13</v>
      </c>
      <c r="K40" s="30" t="n">
        <f aca="false">WORKDAY(Assumptions!$C$4,I40,Assumptions!$F$4:$F$44)</f>
        <v>46401</v>
      </c>
      <c r="L40" s="30" t="n">
        <f aca="false">IF(J40=0,K40,WORKDAY(K40,J40-1,Assumptions!$F$4:$F$44))</f>
        <v>46419</v>
      </c>
      <c r="M40" s="29"/>
      <c r="N40" s="31" t="n">
        <v>0</v>
      </c>
      <c r="O40" s="31" t="n">
        <v>0</v>
      </c>
      <c r="P40" s="31" t="n">
        <v>0</v>
      </c>
      <c r="Q40" s="31" t="n">
        <v>3</v>
      </c>
      <c r="R40" s="31" t="n">
        <v>0</v>
      </c>
      <c r="S40" s="31" t="n">
        <v>0</v>
      </c>
      <c r="T40" s="31" t="n">
        <v>0</v>
      </c>
      <c r="U40" s="31" t="n">
        <v>0</v>
      </c>
      <c r="V40" s="31" t="n">
        <v>8</v>
      </c>
      <c r="W40" s="31" t="n">
        <v>0</v>
      </c>
      <c r="X40" s="31" t="n">
        <v>0</v>
      </c>
      <c r="Y40" s="32" t="n">
        <f aca="false">SUM(N40:X40)</f>
        <v>11</v>
      </c>
      <c r="Z40" s="32" t="n">
        <f aca="false">Y40*(1+Assumptions!$C$5)</f>
        <v>12.65</v>
      </c>
      <c r="AA40" s="27" t="s">
        <v>168</v>
      </c>
      <c r="AB40" s="27" t="s">
        <v>95</v>
      </c>
      <c r="AC40" s="27"/>
      <c r="AD40" s="33" t="n">
        <v>0</v>
      </c>
      <c r="AF40" s="21" t="n">
        <f aca="false">IF($J40=0,0,MAX(0,NETWORKDAYS(MAX($K40,AF$4),MIN($L40,EOMONTH(AF$4,0)),Assumptions!$F$4:$F$44))/NETWORKDAYS($K40,$L40,Assumptions!$F$4:$F$44))</f>
        <v>0</v>
      </c>
      <c r="AG40" s="21" t="n">
        <f aca="false">IF($J40=0,0,MAX(0,NETWORKDAYS(MAX($K40,AG$4),MIN($L40,EOMONTH(AG$4,0)),Assumptions!$F$4:$F$44))/NETWORKDAYS($K40,$L40,Assumptions!$F$4:$F$44))</f>
        <v>0</v>
      </c>
      <c r="AH40" s="21" t="n">
        <f aca="false">IF($J40=0,0,MAX(0,NETWORKDAYS(MAX($K40,AH$4),MIN($L40,EOMONTH(AH$4,0)),Assumptions!$F$4:$F$44))/NETWORKDAYS($K40,$L40,Assumptions!$F$4:$F$44))</f>
        <v>0.923076923076923</v>
      </c>
      <c r="AI40" s="21" t="n">
        <f aca="false">IF($J40=0,0,MAX(0,NETWORKDAYS(MAX($K40,AI$4),MIN($L40,EOMONTH(AI$4,0)),Assumptions!$F$4:$F$44))/NETWORKDAYS($K40,$L40,Assumptions!$F$4:$F$44))</f>
        <v>0.0769230769230769</v>
      </c>
      <c r="AJ40" s="21" t="n">
        <f aca="false">IF($J40=0,0,MAX(0,NETWORKDAYS(MAX($K40,AJ$4),MIN($L40,EOMONTH(AJ$4,0)),Assumptions!$F$4:$F$44))/NETWORKDAYS($K40,$L40,Assumptions!$F$4:$F$44))</f>
        <v>0</v>
      </c>
      <c r="AK40" s="21" t="n">
        <f aca="false">IF($J40=0,0,MAX(0,NETWORKDAYS(MAX($K40,AK$4),MIN($L40,EOMONTH(AK$4,0)),Assumptions!$F$4:$F$44))/NETWORKDAYS($K40,$L40,Assumptions!$F$4:$F$44))</f>
        <v>0</v>
      </c>
      <c r="AL40" s="21" t="n">
        <f aca="false">IF($J40=0,0,MAX(0,NETWORKDAYS(MAX($K40,AL$4),MIN($L40,EOMONTH(AL$4,0)),Assumptions!$F$4:$F$44))/NETWORKDAYS($K40,$L40,Assumptions!$F$4:$F$44))</f>
        <v>0</v>
      </c>
      <c r="AM40" s="21" t="n">
        <f aca="false">IF($J40=0,0,MAX(0,NETWORKDAYS(MAX($K40,AM$4),MIN($L40,EOMONTH(AM$4,0)),Assumptions!$F$4:$F$44))/NETWORKDAYS($K40,$L40,Assumptions!$F$4:$F$44))</f>
        <v>0</v>
      </c>
      <c r="AN40" s="21" t="n">
        <f aca="false">IF($J40=0,0,MAX(0,NETWORKDAYS(MAX($K40,AN$4),MIN($L40,EOMONTH(AN$4,0)),Assumptions!$F$4:$F$44))/NETWORKDAYS($K40,$L40,Assumptions!$F$4:$F$44))</f>
        <v>0</v>
      </c>
      <c r="AO40" s="21" t="n">
        <f aca="false">IF($J40=0,0,MAX(0,NETWORKDAYS(MAX($K40,AO$4),MIN($L40,EOMONTH(AO$4,0)),Assumptions!$F$4:$F$44))/NETWORKDAYS($K40,$L40,Assumptions!$F$4:$F$44))</f>
        <v>0</v>
      </c>
      <c r="AP40" s="21" t="n">
        <f aca="false">IF($J40=0,0,MAX(0,NETWORKDAYS(MAX($K40,AP$4),MIN($L40,EOMONTH(AP$4,0)),Assumptions!$F$4:$F$44))/NETWORKDAYS($K40,$L40,Assumptions!$F$4:$F$44))</f>
        <v>0</v>
      </c>
      <c r="AQ40" s="21" t="n">
        <f aca="false">IF($J40=0,0,MAX(0,NETWORKDAYS(MAX($K40,AQ$4),MIN($L40,EOMONTH(AQ$4,0)),Assumptions!$F$4:$F$44))/NETWORKDAYS($K40,$L40,Assumptions!$F$4:$F$44))</f>
        <v>0</v>
      </c>
      <c r="AR40" s="21" t="n">
        <f aca="false">IF($J40=0,0,MAX(0,NETWORKDAYS(MAX($K40,AR$4),MIN($L40,EOMONTH(AR$4,0)),Assumptions!$F$4:$F$44))/NETWORKDAYS($K40,$L40,Assumptions!$F$4:$F$44))</f>
        <v>0</v>
      </c>
      <c r="AS40" s="21" t="n">
        <f aca="false">IF($J40=0,0,MAX(0,NETWORKDAYS(MAX($K40,AS$4),MIN($L40,EOMONTH(AS$4,0)),Assumptions!$F$4:$F$44))/NETWORKDAYS($K40,$L40,Assumptions!$F$4:$F$44))</f>
        <v>0</v>
      </c>
      <c r="AT40" s="21" t="n">
        <f aca="false">IF($J40=0,0,MAX(0,NETWORKDAYS(MAX($K40,AT$4),MIN($L40,EOMONTH(AT$4,0)),Assumptions!$F$4:$F$44))/NETWORKDAYS($K40,$L40,Assumptions!$F$4:$F$44))</f>
        <v>0</v>
      </c>
      <c r="AU40" s="21" t="n">
        <f aca="false">IF($J40=0,0,MAX(0,NETWORKDAYS(MAX($K40,AU$4),MIN($L40,EOMONTH(AU$4,0)),Assumptions!$F$4:$F$44))/NETWORKDAYS($K40,$L40,Assumptions!$F$4:$F$44))</f>
        <v>0</v>
      </c>
      <c r="AV40" s="21" t="n">
        <f aca="false">IF($J40=0,0,MAX(0,NETWORKDAYS(MAX($K40,AV$4),MIN($L40,EOMONTH(AV$4,0)),Assumptions!$F$4:$F$44))/NETWORKDAYS($K40,$L40,Assumptions!$F$4:$F$44))</f>
        <v>0</v>
      </c>
      <c r="AW40" s="21" t="n">
        <f aca="false">IF($J40=0,0,MAX(0,NETWORKDAYS(MAX($K40,AW$4),MIN($L40,EOMONTH(AW$4,0)),Assumptions!$F$4:$F$44))/NETWORKDAYS($K40,$L40,Assumptions!$F$4:$F$44))</f>
        <v>0</v>
      </c>
      <c r="AX40" s="21" t="n">
        <f aca="false">IF($J40=0,0,MAX(0,NETWORKDAYS(MAX($K40,AX$4),MIN($L40,EOMONTH(AX$4,0)),Assumptions!$F$4:$F$44))/NETWORKDAYS($K40,$L40,Assumptions!$F$4:$F$44))</f>
        <v>0</v>
      </c>
      <c r="AY40" s="21" t="n">
        <f aca="false">IF($J40=0,0,MAX(0,NETWORKDAYS(MAX($K40,AY$4),MIN($L40,EOMONTH(AY$4,0)),Assumptions!$F$4:$F$44))/NETWORKDAYS($K40,$L40,Assumptions!$F$4:$F$44))</f>
        <v>0</v>
      </c>
      <c r="AZ40" s="21" t="n">
        <f aca="false">IF($J40=0,0,MAX(0,NETWORKDAYS(MAX($K40,AZ$4),MIN($L40,EOMONTH(AZ$4,0)),Assumptions!$F$4:$F$44))/NETWORKDAYS($K40,$L40,Assumptions!$F$4:$F$44))</f>
        <v>0</v>
      </c>
      <c r="BA40" s="21" t="n">
        <f aca="false">IF($J40=0,0,MAX(0,NETWORKDAYS(MAX($K40,BA$4),MIN($L40,EOMONTH(BA$4,0)),Assumptions!$F$4:$F$44))/NETWORKDAYS($K40,$L40,Assumptions!$F$4:$F$44))</f>
        <v>0</v>
      </c>
      <c r="BB40" s="21" t="n">
        <f aca="false">IF($J40=0,0,MAX(0,NETWORKDAYS(MAX($K40,BB$4),MIN($L40,EOMONTH(BB$4,0)),Assumptions!$F$4:$F$44))/NETWORKDAYS($K40,$L40,Assumptions!$F$4:$F$44))</f>
        <v>0</v>
      </c>
      <c r="BC40" s="21" t="n">
        <f aca="false">IF($J40=0,0,MAX(0,NETWORKDAYS(MAX($K40,BC$4),MIN($L40,EOMONTH(BC$4,0)),Assumptions!$F$4:$F$44))/NETWORKDAYS($K40,$L40,Assumptions!$F$4:$F$44))</f>
        <v>0</v>
      </c>
    </row>
    <row r="41" customFormat="false" ht="15" hidden="false" customHeight="false" outlineLevel="1" collapsed="false">
      <c r="A41" s="22" t="n">
        <v>37</v>
      </c>
      <c r="B41" s="22" t="s">
        <v>181</v>
      </c>
      <c r="C41" s="22" t="n">
        <v>2</v>
      </c>
      <c r="D41" s="22" t="s">
        <v>89</v>
      </c>
      <c r="E41" s="23" t="s">
        <v>182</v>
      </c>
      <c r="F41" s="22" t="s">
        <v>154</v>
      </c>
      <c r="G41" s="22" t="s">
        <v>157</v>
      </c>
      <c r="H41" s="22"/>
      <c r="I41" s="22"/>
      <c r="J41" s="22" t="n">
        <f aca="false">NETWORKDAYS(K41,L41,Assumptions!$F$4:$F$44)</f>
        <v>39</v>
      </c>
      <c r="K41" s="24" t="n">
        <f aca="false">MIN(K42:K44)</f>
        <v>46342</v>
      </c>
      <c r="L41" s="24" t="n">
        <f aca="false">MAX(L42:L44)</f>
        <v>46394</v>
      </c>
      <c r="M41" s="22"/>
      <c r="N41" s="25" t="n">
        <f aca="false">SUMPRODUCT(($C$42:$C$44=3)*(N42:N44))</f>
        <v>0</v>
      </c>
      <c r="O41" s="25" t="n">
        <f aca="false">SUMPRODUCT(($C$42:$C$44=3)*(O42:O44))</f>
        <v>0</v>
      </c>
      <c r="P41" s="25" t="n">
        <f aca="false">SUMPRODUCT(($C$42:$C$44=3)*(P42:P44))</f>
        <v>3</v>
      </c>
      <c r="Q41" s="25" t="n">
        <f aca="false">SUMPRODUCT(($C$42:$C$44=3)*(Q42:Q44))</f>
        <v>18</v>
      </c>
      <c r="R41" s="25" t="n">
        <f aca="false">SUMPRODUCT(($C$42:$C$44=3)*(R42:R44))</f>
        <v>0</v>
      </c>
      <c r="S41" s="25" t="n">
        <f aca="false">SUMPRODUCT(($C$42:$C$44=3)*(S42:S44))</f>
        <v>0</v>
      </c>
      <c r="T41" s="25" t="n">
        <f aca="false">SUMPRODUCT(($C$42:$C$44=3)*(T42:T44))</f>
        <v>0</v>
      </c>
      <c r="U41" s="25" t="n">
        <f aca="false">SUMPRODUCT(($C$42:$C$44=3)*(U42:U44))</f>
        <v>9</v>
      </c>
      <c r="V41" s="25" t="n">
        <f aca="false">SUMPRODUCT(($C$42:$C$44=3)*(V42:V44))</f>
        <v>4</v>
      </c>
      <c r="W41" s="25" t="n">
        <f aca="false">SUMPRODUCT(($C$42:$C$44=3)*(W42:W44))</f>
        <v>0</v>
      </c>
      <c r="X41" s="25" t="n">
        <f aca="false">SUMPRODUCT(($C$42:$C$44=3)*(X42:X44))</f>
        <v>0</v>
      </c>
      <c r="Y41" s="25" t="n">
        <f aca="false">SUM(N41:X41)</f>
        <v>34</v>
      </c>
      <c r="Z41" s="25" t="n">
        <f aca="false">Y41*(1+Assumptions!$C$5)</f>
        <v>39.1</v>
      </c>
      <c r="AA41" s="22" t="s">
        <v>183</v>
      </c>
      <c r="AB41" s="22"/>
      <c r="AC41" s="22"/>
      <c r="AD41" s="26"/>
      <c r="AF41" s="21" t="n">
        <v>0</v>
      </c>
      <c r="AG41" s="21" t="n">
        <v>0</v>
      </c>
      <c r="AH41" s="21" t="n">
        <v>0</v>
      </c>
      <c r="AI41" s="21" t="n">
        <v>0</v>
      </c>
      <c r="AJ41" s="21" t="n">
        <v>0</v>
      </c>
      <c r="AK41" s="21" t="n">
        <v>0</v>
      </c>
      <c r="AL41" s="21" t="n">
        <v>0</v>
      </c>
      <c r="AM41" s="21" t="n">
        <v>0</v>
      </c>
      <c r="AN41" s="21" t="n">
        <v>0</v>
      </c>
      <c r="AO41" s="21" t="n">
        <v>0</v>
      </c>
      <c r="AP41" s="21" t="n">
        <v>0</v>
      </c>
      <c r="AQ41" s="21" t="n">
        <v>0</v>
      </c>
      <c r="AR41" s="21" t="n">
        <v>0</v>
      </c>
      <c r="AS41" s="21" t="n">
        <v>0</v>
      </c>
      <c r="AT41" s="21" t="n">
        <v>0</v>
      </c>
      <c r="AU41" s="21" t="n">
        <v>0</v>
      </c>
      <c r="AV41" s="21" t="n">
        <v>0</v>
      </c>
      <c r="AW41" s="21" t="n">
        <v>0</v>
      </c>
      <c r="AX41" s="21" t="n">
        <v>0</v>
      </c>
      <c r="AY41" s="21" t="n">
        <v>0</v>
      </c>
      <c r="AZ41" s="21" t="n">
        <v>0</v>
      </c>
      <c r="BA41" s="21" t="n">
        <v>0</v>
      </c>
      <c r="BB41" s="21" t="n">
        <v>0</v>
      </c>
      <c r="BC41" s="21" t="n">
        <v>0</v>
      </c>
    </row>
    <row r="42" customFormat="false" ht="15" hidden="false" customHeight="false" outlineLevel="2" collapsed="false">
      <c r="A42" s="27" t="n">
        <v>38</v>
      </c>
      <c r="B42" s="27" t="s">
        <v>184</v>
      </c>
      <c r="C42" s="27" t="n">
        <v>3</v>
      </c>
      <c r="D42" s="27" t="s">
        <v>92</v>
      </c>
      <c r="E42" s="28" t="s">
        <v>160</v>
      </c>
      <c r="F42" s="27" t="s">
        <v>154</v>
      </c>
      <c r="G42" s="27" t="s">
        <v>157</v>
      </c>
      <c r="H42" s="27" t="s">
        <v>45</v>
      </c>
      <c r="I42" s="29" t="n">
        <v>10</v>
      </c>
      <c r="J42" s="29" t="n">
        <v>8</v>
      </c>
      <c r="K42" s="30" t="n">
        <f aca="false">WORKDAY(Assumptions!$C$4,I42,Assumptions!$F$4:$F$44)</f>
        <v>46342</v>
      </c>
      <c r="L42" s="30" t="n">
        <f aca="false">IF(J42=0,K42,WORKDAY(K42,J42-1,Assumptions!$F$4:$F$44))</f>
        <v>46351</v>
      </c>
      <c r="M42" s="29" t="s">
        <v>161</v>
      </c>
      <c r="N42" s="31" t="n">
        <v>0</v>
      </c>
      <c r="O42" s="31" t="n">
        <v>0</v>
      </c>
      <c r="P42" s="31" t="n">
        <v>3</v>
      </c>
      <c r="Q42" s="31" t="n">
        <v>2</v>
      </c>
      <c r="R42" s="31" t="n">
        <v>0</v>
      </c>
      <c r="S42" s="31" t="n">
        <v>0</v>
      </c>
      <c r="T42" s="31" t="n">
        <v>0</v>
      </c>
      <c r="U42" s="31" t="n">
        <v>0</v>
      </c>
      <c r="V42" s="31" t="n">
        <v>0</v>
      </c>
      <c r="W42" s="31" t="n">
        <v>0</v>
      </c>
      <c r="X42" s="31" t="n">
        <v>0</v>
      </c>
      <c r="Y42" s="32" t="n">
        <f aca="false">SUM(N42:X42)</f>
        <v>5</v>
      </c>
      <c r="Z42" s="32" t="n">
        <f aca="false">Y42*(1+Assumptions!$C$5)</f>
        <v>5.75</v>
      </c>
      <c r="AA42" s="27" t="s">
        <v>162</v>
      </c>
      <c r="AB42" s="27" t="s">
        <v>95</v>
      </c>
      <c r="AC42" s="27"/>
      <c r="AD42" s="33" t="n">
        <v>0</v>
      </c>
      <c r="AF42" s="21" t="n">
        <f aca="false">IF($J42=0,0,MAX(0,NETWORKDAYS(MAX($K42,AF$4),MIN($L42,EOMONTH(AF$4,0)),Assumptions!$F$4:$F$44))/NETWORKDAYS($K42,$L42,Assumptions!$F$4:$F$44))</f>
        <v>1</v>
      </c>
      <c r="AG42" s="21" t="n">
        <f aca="false">IF($J42=0,0,MAX(0,NETWORKDAYS(MAX($K42,AG$4),MIN($L42,EOMONTH(AG$4,0)),Assumptions!$F$4:$F$44))/NETWORKDAYS($K42,$L42,Assumptions!$F$4:$F$44))</f>
        <v>0</v>
      </c>
      <c r="AH42" s="21" t="n">
        <f aca="false">IF($J42=0,0,MAX(0,NETWORKDAYS(MAX($K42,AH$4),MIN($L42,EOMONTH(AH$4,0)),Assumptions!$F$4:$F$44))/NETWORKDAYS($K42,$L42,Assumptions!$F$4:$F$44))</f>
        <v>0</v>
      </c>
      <c r="AI42" s="21" t="n">
        <f aca="false">IF($J42=0,0,MAX(0,NETWORKDAYS(MAX($K42,AI$4),MIN($L42,EOMONTH(AI$4,0)),Assumptions!$F$4:$F$44))/NETWORKDAYS($K42,$L42,Assumptions!$F$4:$F$44))</f>
        <v>0</v>
      </c>
      <c r="AJ42" s="21" t="n">
        <f aca="false">IF($J42=0,0,MAX(0,NETWORKDAYS(MAX($K42,AJ$4),MIN($L42,EOMONTH(AJ$4,0)),Assumptions!$F$4:$F$44))/NETWORKDAYS($K42,$L42,Assumptions!$F$4:$F$44))</f>
        <v>0</v>
      </c>
      <c r="AK42" s="21" t="n">
        <f aca="false">IF($J42=0,0,MAX(0,NETWORKDAYS(MAX($K42,AK$4),MIN($L42,EOMONTH(AK$4,0)),Assumptions!$F$4:$F$44))/NETWORKDAYS($K42,$L42,Assumptions!$F$4:$F$44))</f>
        <v>0</v>
      </c>
      <c r="AL42" s="21" t="n">
        <f aca="false">IF($J42=0,0,MAX(0,NETWORKDAYS(MAX($K42,AL$4),MIN($L42,EOMONTH(AL$4,0)),Assumptions!$F$4:$F$44))/NETWORKDAYS($K42,$L42,Assumptions!$F$4:$F$44))</f>
        <v>0</v>
      </c>
      <c r="AM42" s="21" t="n">
        <f aca="false">IF($J42=0,0,MAX(0,NETWORKDAYS(MAX($K42,AM$4),MIN($L42,EOMONTH(AM$4,0)),Assumptions!$F$4:$F$44))/NETWORKDAYS($K42,$L42,Assumptions!$F$4:$F$44))</f>
        <v>0</v>
      </c>
      <c r="AN42" s="21" t="n">
        <f aca="false">IF($J42=0,0,MAX(0,NETWORKDAYS(MAX($K42,AN$4),MIN($L42,EOMONTH(AN$4,0)),Assumptions!$F$4:$F$44))/NETWORKDAYS($K42,$L42,Assumptions!$F$4:$F$44))</f>
        <v>0</v>
      </c>
      <c r="AO42" s="21" t="n">
        <f aca="false">IF($J42=0,0,MAX(0,NETWORKDAYS(MAX($K42,AO$4),MIN($L42,EOMONTH(AO$4,0)),Assumptions!$F$4:$F$44))/NETWORKDAYS($K42,$L42,Assumptions!$F$4:$F$44))</f>
        <v>0</v>
      </c>
      <c r="AP42" s="21" t="n">
        <f aca="false">IF($J42=0,0,MAX(0,NETWORKDAYS(MAX($K42,AP$4),MIN($L42,EOMONTH(AP$4,0)),Assumptions!$F$4:$F$44))/NETWORKDAYS($K42,$L42,Assumptions!$F$4:$F$44))</f>
        <v>0</v>
      </c>
      <c r="AQ42" s="21" t="n">
        <f aca="false">IF($J42=0,0,MAX(0,NETWORKDAYS(MAX($K42,AQ$4),MIN($L42,EOMONTH(AQ$4,0)),Assumptions!$F$4:$F$44))/NETWORKDAYS($K42,$L42,Assumptions!$F$4:$F$44))</f>
        <v>0</v>
      </c>
      <c r="AR42" s="21" t="n">
        <f aca="false">IF($J42=0,0,MAX(0,NETWORKDAYS(MAX($K42,AR$4),MIN($L42,EOMONTH(AR$4,0)),Assumptions!$F$4:$F$44))/NETWORKDAYS($K42,$L42,Assumptions!$F$4:$F$44))</f>
        <v>0</v>
      </c>
      <c r="AS42" s="21" t="n">
        <f aca="false">IF($J42=0,0,MAX(0,NETWORKDAYS(MAX($K42,AS$4),MIN($L42,EOMONTH(AS$4,0)),Assumptions!$F$4:$F$44))/NETWORKDAYS($K42,$L42,Assumptions!$F$4:$F$44))</f>
        <v>0</v>
      </c>
      <c r="AT42" s="21" t="n">
        <f aca="false">IF($J42=0,0,MAX(0,NETWORKDAYS(MAX($K42,AT$4),MIN($L42,EOMONTH(AT$4,0)),Assumptions!$F$4:$F$44))/NETWORKDAYS($K42,$L42,Assumptions!$F$4:$F$44))</f>
        <v>0</v>
      </c>
      <c r="AU42" s="21" t="n">
        <f aca="false">IF($J42=0,0,MAX(0,NETWORKDAYS(MAX($K42,AU$4),MIN($L42,EOMONTH(AU$4,0)),Assumptions!$F$4:$F$44))/NETWORKDAYS($K42,$L42,Assumptions!$F$4:$F$44))</f>
        <v>0</v>
      </c>
      <c r="AV42" s="21" t="n">
        <f aca="false">IF($J42=0,0,MAX(0,NETWORKDAYS(MAX($K42,AV$4),MIN($L42,EOMONTH(AV$4,0)),Assumptions!$F$4:$F$44))/NETWORKDAYS($K42,$L42,Assumptions!$F$4:$F$44))</f>
        <v>0</v>
      </c>
      <c r="AW42" s="21" t="n">
        <f aca="false">IF($J42=0,0,MAX(0,NETWORKDAYS(MAX($K42,AW$4),MIN($L42,EOMONTH(AW$4,0)),Assumptions!$F$4:$F$44))/NETWORKDAYS($K42,$L42,Assumptions!$F$4:$F$44))</f>
        <v>0</v>
      </c>
      <c r="AX42" s="21" t="n">
        <f aca="false">IF($J42=0,0,MAX(0,NETWORKDAYS(MAX($K42,AX$4),MIN($L42,EOMONTH(AX$4,0)),Assumptions!$F$4:$F$44))/NETWORKDAYS($K42,$L42,Assumptions!$F$4:$F$44))</f>
        <v>0</v>
      </c>
      <c r="AY42" s="21" t="n">
        <f aca="false">IF($J42=0,0,MAX(0,NETWORKDAYS(MAX($K42,AY$4),MIN($L42,EOMONTH(AY$4,0)),Assumptions!$F$4:$F$44))/NETWORKDAYS($K42,$L42,Assumptions!$F$4:$F$44))</f>
        <v>0</v>
      </c>
      <c r="AZ42" s="21" t="n">
        <f aca="false">IF($J42=0,0,MAX(0,NETWORKDAYS(MAX($K42,AZ$4),MIN($L42,EOMONTH(AZ$4,0)),Assumptions!$F$4:$F$44))/NETWORKDAYS($K42,$L42,Assumptions!$F$4:$F$44))</f>
        <v>0</v>
      </c>
      <c r="BA42" s="21" t="n">
        <f aca="false">IF($J42=0,0,MAX(0,NETWORKDAYS(MAX($K42,BA$4),MIN($L42,EOMONTH(BA$4,0)),Assumptions!$F$4:$F$44))/NETWORKDAYS($K42,$L42,Assumptions!$F$4:$F$44))</f>
        <v>0</v>
      </c>
      <c r="BB42" s="21" t="n">
        <f aca="false">IF($J42=0,0,MAX(0,NETWORKDAYS(MAX($K42,BB$4),MIN($L42,EOMONTH(BB$4,0)),Assumptions!$F$4:$F$44))/NETWORKDAYS($K42,$L42,Assumptions!$F$4:$F$44))</f>
        <v>0</v>
      </c>
      <c r="BC42" s="21" t="n">
        <f aca="false">IF($J42=0,0,MAX(0,NETWORKDAYS(MAX($K42,BC$4),MIN($L42,EOMONTH(BC$4,0)),Assumptions!$F$4:$F$44))/NETWORKDAYS($K42,$L42,Assumptions!$F$4:$F$44))</f>
        <v>0</v>
      </c>
    </row>
    <row r="43" customFormat="false" ht="15" hidden="false" customHeight="false" outlineLevel="2" collapsed="false">
      <c r="A43" s="27" t="n">
        <v>39</v>
      </c>
      <c r="B43" s="27" t="s">
        <v>185</v>
      </c>
      <c r="C43" s="27" t="n">
        <v>3</v>
      </c>
      <c r="D43" s="27" t="s">
        <v>92</v>
      </c>
      <c r="E43" s="28" t="s">
        <v>164</v>
      </c>
      <c r="F43" s="27" t="s">
        <v>154</v>
      </c>
      <c r="G43" s="27" t="s">
        <v>157</v>
      </c>
      <c r="H43" s="27" t="s">
        <v>47</v>
      </c>
      <c r="I43" s="29" t="n">
        <v>18</v>
      </c>
      <c r="J43" s="29" t="n">
        <v>24</v>
      </c>
      <c r="K43" s="30" t="n">
        <f aca="false">WORKDAY(Assumptions!$C$4,I43,Assumptions!$F$4:$F$44)</f>
        <v>46352</v>
      </c>
      <c r="L43" s="30" t="n">
        <f aca="false">IF(J43=0,K43,WORKDAY(K43,J43-1,Assumptions!$F$4:$F$44))</f>
        <v>46385</v>
      </c>
      <c r="M43" s="29"/>
      <c r="N43" s="31" t="n">
        <v>0</v>
      </c>
      <c r="O43" s="31" t="n">
        <v>0</v>
      </c>
      <c r="P43" s="31" t="n">
        <v>0</v>
      </c>
      <c r="Q43" s="31" t="n">
        <v>14</v>
      </c>
      <c r="R43" s="31" t="n">
        <v>0</v>
      </c>
      <c r="S43" s="31" t="n">
        <v>0</v>
      </c>
      <c r="T43" s="31" t="n">
        <v>0</v>
      </c>
      <c r="U43" s="31" t="n">
        <v>9</v>
      </c>
      <c r="V43" s="31" t="n">
        <v>0</v>
      </c>
      <c r="W43" s="31" t="n">
        <v>0</v>
      </c>
      <c r="X43" s="31" t="n">
        <v>0</v>
      </c>
      <c r="Y43" s="32" t="n">
        <f aca="false">SUM(N43:X43)</f>
        <v>23</v>
      </c>
      <c r="Z43" s="32" t="n">
        <f aca="false">Y43*(1+Assumptions!$C$5)</f>
        <v>26.45</v>
      </c>
      <c r="AA43" s="27" t="s">
        <v>165</v>
      </c>
      <c r="AB43" s="27" t="s">
        <v>95</v>
      </c>
      <c r="AC43" s="27"/>
      <c r="AD43" s="33" t="n">
        <v>0</v>
      </c>
      <c r="AF43" s="21" t="n">
        <f aca="false">IF($J43=0,0,MAX(0,NETWORKDAYS(MAX($K43,AF$4),MIN($L43,EOMONTH(AF$4,0)),Assumptions!$F$4:$F$44))/NETWORKDAYS($K43,$L43,Assumptions!$F$4:$F$44))</f>
        <v>0.125</v>
      </c>
      <c r="AG43" s="21" t="n">
        <f aca="false">IF($J43=0,0,MAX(0,NETWORKDAYS(MAX($K43,AG$4),MIN($L43,EOMONTH(AG$4,0)),Assumptions!$F$4:$F$44))/NETWORKDAYS($K43,$L43,Assumptions!$F$4:$F$44))</f>
        <v>0.875</v>
      </c>
      <c r="AH43" s="21" t="n">
        <f aca="false">IF($J43=0,0,MAX(0,NETWORKDAYS(MAX($K43,AH$4),MIN($L43,EOMONTH(AH$4,0)),Assumptions!$F$4:$F$44))/NETWORKDAYS($K43,$L43,Assumptions!$F$4:$F$44))</f>
        <v>0</v>
      </c>
      <c r="AI43" s="21" t="n">
        <f aca="false">IF($J43=0,0,MAX(0,NETWORKDAYS(MAX($K43,AI$4),MIN($L43,EOMONTH(AI$4,0)),Assumptions!$F$4:$F$44))/NETWORKDAYS($K43,$L43,Assumptions!$F$4:$F$44))</f>
        <v>0</v>
      </c>
      <c r="AJ43" s="21" t="n">
        <f aca="false">IF($J43=0,0,MAX(0,NETWORKDAYS(MAX($K43,AJ$4),MIN($L43,EOMONTH(AJ$4,0)),Assumptions!$F$4:$F$44))/NETWORKDAYS($K43,$L43,Assumptions!$F$4:$F$44))</f>
        <v>0</v>
      </c>
      <c r="AK43" s="21" t="n">
        <f aca="false">IF($J43=0,0,MAX(0,NETWORKDAYS(MAX($K43,AK$4),MIN($L43,EOMONTH(AK$4,0)),Assumptions!$F$4:$F$44))/NETWORKDAYS($K43,$L43,Assumptions!$F$4:$F$44))</f>
        <v>0</v>
      </c>
      <c r="AL43" s="21" t="n">
        <f aca="false">IF($J43=0,0,MAX(0,NETWORKDAYS(MAX($K43,AL$4),MIN($L43,EOMONTH(AL$4,0)),Assumptions!$F$4:$F$44))/NETWORKDAYS($K43,$L43,Assumptions!$F$4:$F$44))</f>
        <v>0</v>
      </c>
      <c r="AM43" s="21" t="n">
        <f aca="false">IF($J43=0,0,MAX(0,NETWORKDAYS(MAX($K43,AM$4),MIN($L43,EOMONTH(AM$4,0)),Assumptions!$F$4:$F$44))/NETWORKDAYS($K43,$L43,Assumptions!$F$4:$F$44))</f>
        <v>0</v>
      </c>
      <c r="AN43" s="21" t="n">
        <f aca="false">IF($J43=0,0,MAX(0,NETWORKDAYS(MAX($K43,AN$4),MIN($L43,EOMONTH(AN$4,0)),Assumptions!$F$4:$F$44))/NETWORKDAYS($K43,$L43,Assumptions!$F$4:$F$44))</f>
        <v>0</v>
      </c>
      <c r="AO43" s="21" t="n">
        <f aca="false">IF($J43=0,0,MAX(0,NETWORKDAYS(MAX($K43,AO$4),MIN($L43,EOMONTH(AO$4,0)),Assumptions!$F$4:$F$44))/NETWORKDAYS($K43,$L43,Assumptions!$F$4:$F$44))</f>
        <v>0</v>
      </c>
      <c r="AP43" s="21" t="n">
        <f aca="false">IF($J43=0,0,MAX(0,NETWORKDAYS(MAX($K43,AP$4),MIN($L43,EOMONTH(AP$4,0)),Assumptions!$F$4:$F$44))/NETWORKDAYS($K43,$L43,Assumptions!$F$4:$F$44))</f>
        <v>0</v>
      </c>
      <c r="AQ43" s="21" t="n">
        <f aca="false">IF($J43=0,0,MAX(0,NETWORKDAYS(MAX($K43,AQ$4),MIN($L43,EOMONTH(AQ$4,0)),Assumptions!$F$4:$F$44))/NETWORKDAYS($K43,$L43,Assumptions!$F$4:$F$44))</f>
        <v>0</v>
      </c>
      <c r="AR43" s="21" t="n">
        <f aca="false">IF($J43=0,0,MAX(0,NETWORKDAYS(MAX($K43,AR$4),MIN($L43,EOMONTH(AR$4,0)),Assumptions!$F$4:$F$44))/NETWORKDAYS($K43,$L43,Assumptions!$F$4:$F$44))</f>
        <v>0</v>
      </c>
      <c r="AS43" s="21" t="n">
        <f aca="false">IF($J43=0,0,MAX(0,NETWORKDAYS(MAX($K43,AS$4),MIN($L43,EOMONTH(AS$4,0)),Assumptions!$F$4:$F$44))/NETWORKDAYS($K43,$L43,Assumptions!$F$4:$F$44))</f>
        <v>0</v>
      </c>
      <c r="AT43" s="21" t="n">
        <f aca="false">IF($J43=0,0,MAX(0,NETWORKDAYS(MAX($K43,AT$4),MIN($L43,EOMONTH(AT$4,0)),Assumptions!$F$4:$F$44))/NETWORKDAYS($K43,$L43,Assumptions!$F$4:$F$44))</f>
        <v>0</v>
      </c>
      <c r="AU43" s="21" t="n">
        <f aca="false">IF($J43=0,0,MAX(0,NETWORKDAYS(MAX($K43,AU$4),MIN($L43,EOMONTH(AU$4,0)),Assumptions!$F$4:$F$44))/NETWORKDAYS($K43,$L43,Assumptions!$F$4:$F$44))</f>
        <v>0</v>
      </c>
      <c r="AV43" s="21" t="n">
        <f aca="false">IF($J43=0,0,MAX(0,NETWORKDAYS(MAX($K43,AV$4),MIN($L43,EOMONTH(AV$4,0)),Assumptions!$F$4:$F$44))/NETWORKDAYS($K43,$L43,Assumptions!$F$4:$F$44))</f>
        <v>0</v>
      </c>
      <c r="AW43" s="21" t="n">
        <f aca="false">IF($J43=0,0,MAX(0,NETWORKDAYS(MAX($K43,AW$4),MIN($L43,EOMONTH(AW$4,0)),Assumptions!$F$4:$F$44))/NETWORKDAYS($K43,$L43,Assumptions!$F$4:$F$44))</f>
        <v>0</v>
      </c>
      <c r="AX43" s="21" t="n">
        <f aca="false">IF($J43=0,0,MAX(0,NETWORKDAYS(MAX($K43,AX$4),MIN($L43,EOMONTH(AX$4,0)),Assumptions!$F$4:$F$44))/NETWORKDAYS($K43,$L43,Assumptions!$F$4:$F$44))</f>
        <v>0</v>
      </c>
      <c r="AY43" s="21" t="n">
        <f aca="false">IF($J43=0,0,MAX(0,NETWORKDAYS(MAX($K43,AY$4),MIN($L43,EOMONTH(AY$4,0)),Assumptions!$F$4:$F$44))/NETWORKDAYS($K43,$L43,Assumptions!$F$4:$F$44))</f>
        <v>0</v>
      </c>
      <c r="AZ43" s="21" t="n">
        <f aca="false">IF($J43=0,0,MAX(0,NETWORKDAYS(MAX($K43,AZ$4),MIN($L43,EOMONTH(AZ$4,0)),Assumptions!$F$4:$F$44))/NETWORKDAYS($K43,$L43,Assumptions!$F$4:$F$44))</f>
        <v>0</v>
      </c>
      <c r="BA43" s="21" t="n">
        <f aca="false">IF($J43=0,0,MAX(0,NETWORKDAYS(MAX($K43,BA$4),MIN($L43,EOMONTH(BA$4,0)),Assumptions!$F$4:$F$44))/NETWORKDAYS($K43,$L43,Assumptions!$F$4:$F$44))</f>
        <v>0</v>
      </c>
      <c r="BB43" s="21" t="n">
        <f aca="false">IF($J43=0,0,MAX(0,NETWORKDAYS(MAX($K43,BB$4),MIN($L43,EOMONTH(BB$4,0)),Assumptions!$F$4:$F$44))/NETWORKDAYS($K43,$L43,Assumptions!$F$4:$F$44))</f>
        <v>0</v>
      </c>
      <c r="BC43" s="21" t="n">
        <f aca="false">IF($J43=0,0,MAX(0,NETWORKDAYS(MAX($K43,BC$4),MIN($L43,EOMONTH(BC$4,0)),Assumptions!$F$4:$F$44))/NETWORKDAYS($K43,$L43,Assumptions!$F$4:$F$44))</f>
        <v>0</v>
      </c>
    </row>
    <row r="44" customFormat="false" ht="15" hidden="false" customHeight="false" outlineLevel="2" collapsed="false">
      <c r="A44" s="27" t="n">
        <v>40</v>
      </c>
      <c r="B44" s="27" t="s">
        <v>186</v>
      </c>
      <c r="C44" s="27" t="n">
        <v>3</v>
      </c>
      <c r="D44" s="27" t="s">
        <v>92</v>
      </c>
      <c r="E44" s="28" t="s">
        <v>167</v>
      </c>
      <c r="F44" s="27" t="s">
        <v>154</v>
      </c>
      <c r="G44" s="27" t="s">
        <v>157</v>
      </c>
      <c r="H44" s="27" t="s">
        <v>57</v>
      </c>
      <c r="I44" s="29" t="n">
        <v>39</v>
      </c>
      <c r="J44" s="29" t="n">
        <v>10</v>
      </c>
      <c r="K44" s="30" t="n">
        <f aca="false">WORKDAY(Assumptions!$C$4,I44,Assumptions!$F$4:$F$44)</f>
        <v>46381</v>
      </c>
      <c r="L44" s="30" t="n">
        <f aca="false">IF(J44=0,K44,WORKDAY(K44,J44-1,Assumptions!$F$4:$F$44))</f>
        <v>46394</v>
      </c>
      <c r="M44" s="29"/>
      <c r="N44" s="31" t="n">
        <v>0</v>
      </c>
      <c r="O44" s="31" t="n">
        <v>0</v>
      </c>
      <c r="P44" s="31" t="n">
        <v>0</v>
      </c>
      <c r="Q44" s="31" t="n">
        <v>2</v>
      </c>
      <c r="R44" s="31" t="n">
        <v>0</v>
      </c>
      <c r="S44" s="31" t="n">
        <v>0</v>
      </c>
      <c r="T44" s="31" t="n">
        <v>0</v>
      </c>
      <c r="U44" s="31" t="n">
        <v>0</v>
      </c>
      <c r="V44" s="31" t="n">
        <v>4</v>
      </c>
      <c r="W44" s="31" t="n">
        <v>0</v>
      </c>
      <c r="X44" s="31" t="n">
        <v>0</v>
      </c>
      <c r="Y44" s="32" t="n">
        <f aca="false">SUM(N44:X44)</f>
        <v>6</v>
      </c>
      <c r="Z44" s="32" t="n">
        <f aca="false">Y44*(1+Assumptions!$C$5)</f>
        <v>6.9</v>
      </c>
      <c r="AA44" s="27" t="s">
        <v>168</v>
      </c>
      <c r="AB44" s="27" t="s">
        <v>95</v>
      </c>
      <c r="AC44" s="27"/>
      <c r="AD44" s="33" t="n">
        <v>0</v>
      </c>
      <c r="AF44" s="21" t="n">
        <f aca="false">IF($J44=0,0,MAX(0,NETWORKDAYS(MAX($K44,AF$4),MIN($L44,EOMONTH(AF$4,0)),Assumptions!$F$4:$F$44))/NETWORKDAYS($K44,$L44,Assumptions!$F$4:$F$44))</f>
        <v>0</v>
      </c>
      <c r="AG44" s="21" t="n">
        <f aca="false">IF($J44=0,0,MAX(0,NETWORKDAYS(MAX($K44,AG$4),MIN($L44,EOMONTH(AG$4,0)),Assumptions!$F$4:$F$44))/NETWORKDAYS($K44,$L44,Assumptions!$F$4:$F$44))</f>
        <v>0.5</v>
      </c>
      <c r="AH44" s="21" t="n">
        <f aca="false">IF($J44=0,0,MAX(0,NETWORKDAYS(MAX($K44,AH$4),MIN($L44,EOMONTH(AH$4,0)),Assumptions!$F$4:$F$44))/NETWORKDAYS($K44,$L44,Assumptions!$F$4:$F$44))</f>
        <v>0.5</v>
      </c>
      <c r="AI44" s="21" t="n">
        <f aca="false">IF($J44=0,0,MAX(0,NETWORKDAYS(MAX($K44,AI$4),MIN($L44,EOMONTH(AI$4,0)),Assumptions!$F$4:$F$44))/NETWORKDAYS($K44,$L44,Assumptions!$F$4:$F$44))</f>
        <v>0</v>
      </c>
      <c r="AJ44" s="21" t="n">
        <f aca="false">IF($J44=0,0,MAX(0,NETWORKDAYS(MAX($K44,AJ$4),MIN($L44,EOMONTH(AJ$4,0)),Assumptions!$F$4:$F$44))/NETWORKDAYS($K44,$L44,Assumptions!$F$4:$F$44))</f>
        <v>0</v>
      </c>
      <c r="AK44" s="21" t="n">
        <f aca="false">IF($J44=0,0,MAX(0,NETWORKDAYS(MAX($K44,AK$4),MIN($L44,EOMONTH(AK$4,0)),Assumptions!$F$4:$F$44))/NETWORKDAYS($K44,$L44,Assumptions!$F$4:$F$44))</f>
        <v>0</v>
      </c>
      <c r="AL44" s="21" t="n">
        <f aca="false">IF($J44=0,0,MAX(0,NETWORKDAYS(MAX($K44,AL$4),MIN($L44,EOMONTH(AL$4,0)),Assumptions!$F$4:$F$44))/NETWORKDAYS($K44,$L44,Assumptions!$F$4:$F$44))</f>
        <v>0</v>
      </c>
      <c r="AM44" s="21" t="n">
        <f aca="false">IF($J44=0,0,MAX(0,NETWORKDAYS(MAX($K44,AM$4),MIN($L44,EOMONTH(AM$4,0)),Assumptions!$F$4:$F$44))/NETWORKDAYS($K44,$L44,Assumptions!$F$4:$F$44))</f>
        <v>0</v>
      </c>
      <c r="AN44" s="21" t="n">
        <f aca="false">IF($J44=0,0,MAX(0,NETWORKDAYS(MAX($K44,AN$4),MIN($L44,EOMONTH(AN$4,0)),Assumptions!$F$4:$F$44))/NETWORKDAYS($K44,$L44,Assumptions!$F$4:$F$44))</f>
        <v>0</v>
      </c>
      <c r="AO44" s="21" t="n">
        <f aca="false">IF($J44=0,0,MAX(0,NETWORKDAYS(MAX($K44,AO$4),MIN($L44,EOMONTH(AO$4,0)),Assumptions!$F$4:$F$44))/NETWORKDAYS($K44,$L44,Assumptions!$F$4:$F$44))</f>
        <v>0</v>
      </c>
      <c r="AP44" s="21" t="n">
        <f aca="false">IF($J44=0,0,MAX(0,NETWORKDAYS(MAX($K44,AP$4),MIN($L44,EOMONTH(AP$4,0)),Assumptions!$F$4:$F$44))/NETWORKDAYS($K44,$L44,Assumptions!$F$4:$F$44))</f>
        <v>0</v>
      </c>
      <c r="AQ44" s="21" t="n">
        <f aca="false">IF($J44=0,0,MAX(0,NETWORKDAYS(MAX($K44,AQ$4),MIN($L44,EOMONTH(AQ$4,0)),Assumptions!$F$4:$F$44))/NETWORKDAYS($K44,$L44,Assumptions!$F$4:$F$44))</f>
        <v>0</v>
      </c>
      <c r="AR44" s="21" t="n">
        <f aca="false">IF($J44=0,0,MAX(0,NETWORKDAYS(MAX($K44,AR$4),MIN($L44,EOMONTH(AR$4,0)),Assumptions!$F$4:$F$44))/NETWORKDAYS($K44,$L44,Assumptions!$F$4:$F$44))</f>
        <v>0</v>
      </c>
      <c r="AS44" s="21" t="n">
        <f aca="false">IF($J44=0,0,MAX(0,NETWORKDAYS(MAX($K44,AS$4),MIN($L44,EOMONTH(AS$4,0)),Assumptions!$F$4:$F$44))/NETWORKDAYS($K44,$L44,Assumptions!$F$4:$F$44))</f>
        <v>0</v>
      </c>
      <c r="AT44" s="21" t="n">
        <f aca="false">IF($J44=0,0,MAX(0,NETWORKDAYS(MAX($K44,AT$4),MIN($L44,EOMONTH(AT$4,0)),Assumptions!$F$4:$F$44))/NETWORKDAYS($K44,$L44,Assumptions!$F$4:$F$44))</f>
        <v>0</v>
      </c>
      <c r="AU44" s="21" t="n">
        <f aca="false">IF($J44=0,0,MAX(0,NETWORKDAYS(MAX($K44,AU$4),MIN($L44,EOMONTH(AU$4,0)),Assumptions!$F$4:$F$44))/NETWORKDAYS($K44,$L44,Assumptions!$F$4:$F$44))</f>
        <v>0</v>
      </c>
      <c r="AV44" s="21" t="n">
        <f aca="false">IF($J44=0,0,MAX(0,NETWORKDAYS(MAX($K44,AV$4),MIN($L44,EOMONTH(AV$4,0)),Assumptions!$F$4:$F$44))/NETWORKDAYS($K44,$L44,Assumptions!$F$4:$F$44))</f>
        <v>0</v>
      </c>
      <c r="AW44" s="21" t="n">
        <f aca="false">IF($J44=0,0,MAX(0,NETWORKDAYS(MAX($K44,AW$4),MIN($L44,EOMONTH(AW$4,0)),Assumptions!$F$4:$F$44))/NETWORKDAYS($K44,$L44,Assumptions!$F$4:$F$44))</f>
        <v>0</v>
      </c>
      <c r="AX44" s="21" t="n">
        <f aca="false">IF($J44=0,0,MAX(0,NETWORKDAYS(MAX($K44,AX$4),MIN($L44,EOMONTH(AX$4,0)),Assumptions!$F$4:$F$44))/NETWORKDAYS($K44,$L44,Assumptions!$F$4:$F$44))</f>
        <v>0</v>
      </c>
      <c r="AY44" s="21" t="n">
        <f aca="false">IF($J44=0,0,MAX(0,NETWORKDAYS(MAX($K44,AY$4),MIN($L44,EOMONTH(AY$4,0)),Assumptions!$F$4:$F$44))/NETWORKDAYS($K44,$L44,Assumptions!$F$4:$F$44))</f>
        <v>0</v>
      </c>
      <c r="AZ44" s="21" t="n">
        <f aca="false">IF($J44=0,0,MAX(0,NETWORKDAYS(MAX($K44,AZ$4),MIN($L44,EOMONTH(AZ$4,0)),Assumptions!$F$4:$F$44))/NETWORKDAYS($K44,$L44,Assumptions!$F$4:$F$44))</f>
        <v>0</v>
      </c>
      <c r="BA44" s="21" t="n">
        <f aca="false">IF($J44=0,0,MAX(0,NETWORKDAYS(MAX($K44,BA$4),MIN($L44,EOMONTH(BA$4,0)),Assumptions!$F$4:$F$44))/NETWORKDAYS($K44,$L44,Assumptions!$F$4:$F$44))</f>
        <v>0</v>
      </c>
      <c r="BB44" s="21" t="n">
        <f aca="false">IF($J44=0,0,MAX(0,NETWORKDAYS(MAX($K44,BB$4),MIN($L44,EOMONTH(BB$4,0)),Assumptions!$F$4:$F$44))/NETWORKDAYS($K44,$L44,Assumptions!$F$4:$F$44))</f>
        <v>0</v>
      </c>
      <c r="BC44" s="21" t="n">
        <f aca="false">IF($J44=0,0,MAX(0,NETWORKDAYS(MAX($K44,BC$4),MIN($L44,EOMONTH(BC$4,0)),Assumptions!$F$4:$F$44))/NETWORKDAYS($K44,$L44,Assumptions!$F$4:$F$44))</f>
        <v>0</v>
      </c>
    </row>
    <row r="45" customFormat="false" ht="15" hidden="false" customHeight="false" outlineLevel="1" collapsed="false">
      <c r="A45" s="22" t="n">
        <v>41</v>
      </c>
      <c r="B45" s="22" t="s">
        <v>187</v>
      </c>
      <c r="C45" s="22" t="n">
        <v>2</v>
      </c>
      <c r="D45" s="22" t="s">
        <v>89</v>
      </c>
      <c r="E45" s="23" t="s">
        <v>188</v>
      </c>
      <c r="F45" s="22" t="s">
        <v>154</v>
      </c>
      <c r="G45" s="22" t="s">
        <v>157</v>
      </c>
      <c r="H45" s="22"/>
      <c r="I45" s="22"/>
      <c r="J45" s="22" t="n">
        <f aca="false">NETWORKDAYS(K45,L45,Assumptions!$F$4:$F$44)</f>
        <v>39</v>
      </c>
      <c r="K45" s="24" t="n">
        <f aca="false">MIN(K46:K48)</f>
        <v>46342</v>
      </c>
      <c r="L45" s="24" t="n">
        <f aca="false">MAX(L46:L48)</f>
        <v>46394</v>
      </c>
      <c r="M45" s="22"/>
      <c r="N45" s="25" t="n">
        <f aca="false">SUMPRODUCT(($C$46:$C$48=3)*(N46:N48))</f>
        <v>0</v>
      </c>
      <c r="O45" s="25" t="n">
        <f aca="false">SUMPRODUCT(($C$46:$C$48=3)*(O46:O48))</f>
        <v>0</v>
      </c>
      <c r="P45" s="25" t="n">
        <f aca="false">SUMPRODUCT(($C$46:$C$48=3)*(P46:P48))</f>
        <v>4</v>
      </c>
      <c r="Q45" s="25" t="n">
        <f aca="false">SUMPRODUCT(($C$46:$C$48=3)*(Q46:Q48))</f>
        <v>20</v>
      </c>
      <c r="R45" s="25" t="n">
        <f aca="false">SUMPRODUCT(($C$46:$C$48=3)*(R46:R48))</f>
        <v>0</v>
      </c>
      <c r="S45" s="25" t="n">
        <f aca="false">SUMPRODUCT(($C$46:$C$48=3)*(S46:S48))</f>
        <v>0</v>
      </c>
      <c r="T45" s="25" t="n">
        <f aca="false">SUMPRODUCT(($C$46:$C$48=3)*(T46:T48))</f>
        <v>0</v>
      </c>
      <c r="U45" s="25" t="n">
        <f aca="false">SUMPRODUCT(($C$46:$C$48=3)*(U46:U48))</f>
        <v>5</v>
      </c>
      <c r="V45" s="25" t="n">
        <f aca="false">SUMPRODUCT(($C$46:$C$48=3)*(V46:V48))</f>
        <v>5</v>
      </c>
      <c r="W45" s="25" t="n">
        <f aca="false">SUMPRODUCT(($C$46:$C$48=3)*(W46:W48))</f>
        <v>0</v>
      </c>
      <c r="X45" s="25" t="n">
        <f aca="false">SUMPRODUCT(($C$46:$C$48=3)*(X46:X48))</f>
        <v>0</v>
      </c>
      <c r="Y45" s="25" t="n">
        <f aca="false">SUM(N45:X45)</f>
        <v>34</v>
      </c>
      <c r="Z45" s="25" t="n">
        <f aca="false">Y45*(1+Assumptions!$C$5)</f>
        <v>39.1</v>
      </c>
      <c r="AA45" s="22" t="s">
        <v>189</v>
      </c>
      <c r="AB45" s="22"/>
      <c r="AC45" s="22"/>
      <c r="AD45" s="26"/>
      <c r="AF45" s="21" t="n">
        <v>0</v>
      </c>
      <c r="AG45" s="21" t="n">
        <v>0</v>
      </c>
      <c r="AH45" s="21" t="n">
        <v>0</v>
      </c>
      <c r="AI45" s="21" t="n">
        <v>0</v>
      </c>
      <c r="AJ45" s="21" t="n">
        <v>0</v>
      </c>
      <c r="AK45" s="21" t="n">
        <v>0</v>
      </c>
      <c r="AL45" s="21" t="n">
        <v>0</v>
      </c>
      <c r="AM45" s="21" t="n">
        <v>0</v>
      </c>
      <c r="AN45" s="21" t="n">
        <v>0</v>
      </c>
      <c r="AO45" s="21" t="n">
        <v>0</v>
      </c>
      <c r="AP45" s="21" t="n">
        <v>0</v>
      </c>
      <c r="AQ45" s="21" t="n">
        <v>0</v>
      </c>
      <c r="AR45" s="21" t="n">
        <v>0</v>
      </c>
      <c r="AS45" s="21" t="n">
        <v>0</v>
      </c>
      <c r="AT45" s="21" t="n">
        <v>0</v>
      </c>
      <c r="AU45" s="21" t="n">
        <v>0</v>
      </c>
      <c r="AV45" s="21" t="n">
        <v>0</v>
      </c>
      <c r="AW45" s="21" t="n">
        <v>0</v>
      </c>
      <c r="AX45" s="21" t="n">
        <v>0</v>
      </c>
      <c r="AY45" s="21" t="n">
        <v>0</v>
      </c>
      <c r="AZ45" s="21" t="n">
        <v>0</v>
      </c>
      <c r="BA45" s="21" t="n">
        <v>0</v>
      </c>
      <c r="BB45" s="21" t="n">
        <v>0</v>
      </c>
      <c r="BC45" s="21" t="n">
        <v>0</v>
      </c>
    </row>
    <row r="46" customFormat="false" ht="15" hidden="false" customHeight="false" outlineLevel="2" collapsed="false">
      <c r="A46" s="27" t="n">
        <v>42</v>
      </c>
      <c r="B46" s="27" t="s">
        <v>190</v>
      </c>
      <c r="C46" s="27" t="n">
        <v>3</v>
      </c>
      <c r="D46" s="27" t="s">
        <v>92</v>
      </c>
      <c r="E46" s="28" t="s">
        <v>160</v>
      </c>
      <c r="F46" s="27" t="s">
        <v>154</v>
      </c>
      <c r="G46" s="27" t="s">
        <v>157</v>
      </c>
      <c r="H46" s="27" t="s">
        <v>45</v>
      </c>
      <c r="I46" s="29" t="n">
        <v>10</v>
      </c>
      <c r="J46" s="29" t="n">
        <v>8</v>
      </c>
      <c r="K46" s="30" t="n">
        <f aca="false">WORKDAY(Assumptions!$C$4,I46,Assumptions!$F$4:$F$44)</f>
        <v>46342</v>
      </c>
      <c r="L46" s="30" t="n">
        <f aca="false">IF(J46=0,K46,WORKDAY(K46,J46-1,Assumptions!$F$4:$F$44))</f>
        <v>46351</v>
      </c>
      <c r="M46" s="29" t="s">
        <v>161</v>
      </c>
      <c r="N46" s="31" t="n">
        <v>0</v>
      </c>
      <c r="O46" s="31" t="n">
        <v>0</v>
      </c>
      <c r="P46" s="31" t="n">
        <v>4</v>
      </c>
      <c r="Q46" s="31" t="n">
        <v>2</v>
      </c>
      <c r="R46" s="31" t="n">
        <v>0</v>
      </c>
      <c r="S46" s="31" t="n">
        <v>0</v>
      </c>
      <c r="T46" s="31" t="n">
        <v>0</v>
      </c>
      <c r="U46" s="31" t="n">
        <v>0</v>
      </c>
      <c r="V46" s="31" t="n">
        <v>0</v>
      </c>
      <c r="W46" s="31" t="n">
        <v>0</v>
      </c>
      <c r="X46" s="31" t="n">
        <v>0</v>
      </c>
      <c r="Y46" s="32" t="n">
        <f aca="false">SUM(N46:X46)</f>
        <v>6</v>
      </c>
      <c r="Z46" s="32" t="n">
        <f aca="false">Y46*(1+Assumptions!$C$5)</f>
        <v>6.9</v>
      </c>
      <c r="AA46" s="27" t="s">
        <v>162</v>
      </c>
      <c r="AB46" s="27" t="s">
        <v>95</v>
      </c>
      <c r="AC46" s="27"/>
      <c r="AD46" s="33" t="n">
        <v>0</v>
      </c>
      <c r="AF46" s="21" t="n">
        <f aca="false">IF($J46=0,0,MAX(0,NETWORKDAYS(MAX($K46,AF$4),MIN($L46,EOMONTH(AF$4,0)),Assumptions!$F$4:$F$44))/NETWORKDAYS($K46,$L46,Assumptions!$F$4:$F$44))</f>
        <v>1</v>
      </c>
      <c r="AG46" s="21" t="n">
        <f aca="false">IF($J46=0,0,MAX(0,NETWORKDAYS(MAX($K46,AG$4),MIN($L46,EOMONTH(AG$4,0)),Assumptions!$F$4:$F$44))/NETWORKDAYS($K46,$L46,Assumptions!$F$4:$F$44))</f>
        <v>0</v>
      </c>
      <c r="AH46" s="21" t="n">
        <f aca="false">IF($J46=0,0,MAX(0,NETWORKDAYS(MAX($K46,AH$4),MIN($L46,EOMONTH(AH$4,0)),Assumptions!$F$4:$F$44))/NETWORKDAYS($K46,$L46,Assumptions!$F$4:$F$44))</f>
        <v>0</v>
      </c>
      <c r="AI46" s="21" t="n">
        <f aca="false">IF($J46=0,0,MAX(0,NETWORKDAYS(MAX($K46,AI$4),MIN($L46,EOMONTH(AI$4,0)),Assumptions!$F$4:$F$44))/NETWORKDAYS($K46,$L46,Assumptions!$F$4:$F$44))</f>
        <v>0</v>
      </c>
      <c r="AJ46" s="21" t="n">
        <f aca="false">IF($J46=0,0,MAX(0,NETWORKDAYS(MAX($K46,AJ$4),MIN($L46,EOMONTH(AJ$4,0)),Assumptions!$F$4:$F$44))/NETWORKDAYS($K46,$L46,Assumptions!$F$4:$F$44))</f>
        <v>0</v>
      </c>
      <c r="AK46" s="21" t="n">
        <f aca="false">IF($J46=0,0,MAX(0,NETWORKDAYS(MAX($K46,AK$4),MIN($L46,EOMONTH(AK$4,0)),Assumptions!$F$4:$F$44))/NETWORKDAYS($K46,$L46,Assumptions!$F$4:$F$44))</f>
        <v>0</v>
      </c>
      <c r="AL46" s="21" t="n">
        <f aca="false">IF($J46=0,0,MAX(0,NETWORKDAYS(MAX($K46,AL$4),MIN($L46,EOMONTH(AL$4,0)),Assumptions!$F$4:$F$44))/NETWORKDAYS($K46,$L46,Assumptions!$F$4:$F$44))</f>
        <v>0</v>
      </c>
      <c r="AM46" s="21" t="n">
        <f aca="false">IF($J46=0,0,MAX(0,NETWORKDAYS(MAX($K46,AM$4),MIN($L46,EOMONTH(AM$4,0)),Assumptions!$F$4:$F$44))/NETWORKDAYS($K46,$L46,Assumptions!$F$4:$F$44))</f>
        <v>0</v>
      </c>
      <c r="AN46" s="21" t="n">
        <f aca="false">IF($J46=0,0,MAX(0,NETWORKDAYS(MAX($K46,AN$4),MIN($L46,EOMONTH(AN$4,0)),Assumptions!$F$4:$F$44))/NETWORKDAYS($K46,$L46,Assumptions!$F$4:$F$44))</f>
        <v>0</v>
      </c>
      <c r="AO46" s="21" t="n">
        <f aca="false">IF($J46=0,0,MAX(0,NETWORKDAYS(MAX($K46,AO$4),MIN($L46,EOMONTH(AO$4,0)),Assumptions!$F$4:$F$44))/NETWORKDAYS($K46,$L46,Assumptions!$F$4:$F$44))</f>
        <v>0</v>
      </c>
      <c r="AP46" s="21" t="n">
        <f aca="false">IF($J46=0,0,MAX(0,NETWORKDAYS(MAX($K46,AP$4),MIN($L46,EOMONTH(AP$4,0)),Assumptions!$F$4:$F$44))/NETWORKDAYS($K46,$L46,Assumptions!$F$4:$F$44))</f>
        <v>0</v>
      </c>
      <c r="AQ46" s="21" t="n">
        <f aca="false">IF($J46=0,0,MAX(0,NETWORKDAYS(MAX($K46,AQ$4),MIN($L46,EOMONTH(AQ$4,0)),Assumptions!$F$4:$F$44))/NETWORKDAYS($K46,$L46,Assumptions!$F$4:$F$44))</f>
        <v>0</v>
      </c>
      <c r="AR46" s="21" t="n">
        <f aca="false">IF($J46=0,0,MAX(0,NETWORKDAYS(MAX($K46,AR$4),MIN($L46,EOMONTH(AR$4,0)),Assumptions!$F$4:$F$44))/NETWORKDAYS($K46,$L46,Assumptions!$F$4:$F$44))</f>
        <v>0</v>
      </c>
      <c r="AS46" s="21" t="n">
        <f aca="false">IF($J46=0,0,MAX(0,NETWORKDAYS(MAX($K46,AS$4),MIN($L46,EOMONTH(AS$4,0)),Assumptions!$F$4:$F$44))/NETWORKDAYS($K46,$L46,Assumptions!$F$4:$F$44))</f>
        <v>0</v>
      </c>
      <c r="AT46" s="21" t="n">
        <f aca="false">IF($J46=0,0,MAX(0,NETWORKDAYS(MAX($K46,AT$4),MIN($L46,EOMONTH(AT$4,0)),Assumptions!$F$4:$F$44))/NETWORKDAYS($K46,$L46,Assumptions!$F$4:$F$44))</f>
        <v>0</v>
      </c>
      <c r="AU46" s="21" t="n">
        <f aca="false">IF($J46=0,0,MAX(0,NETWORKDAYS(MAX($K46,AU$4),MIN($L46,EOMONTH(AU$4,0)),Assumptions!$F$4:$F$44))/NETWORKDAYS($K46,$L46,Assumptions!$F$4:$F$44))</f>
        <v>0</v>
      </c>
      <c r="AV46" s="21" t="n">
        <f aca="false">IF($J46=0,0,MAX(0,NETWORKDAYS(MAX($K46,AV$4),MIN($L46,EOMONTH(AV$4,0)),Assumptions!$F$4:$F$44))/NETWORKDAYS($K46,$L46,Assumptions!$F$4:$F$44))</f>
        <v>0</v>
      </c>
      <c r="AW46" s="21" t="n">
        <f aca="false">IF($J46=0,0,MAX(0,NETWORKDAYS(MAX($K46,AW$4),MIN($L46,EOMONTH(AW$4,0)),Assumptions!$F$4:$F$44))/NETWORKDAYS($K46,$L46,Assumptions!$F$4:$F$44))</f>
        <v>0</v>
      </c>
      <c r="AX46" s="21" t="n">
        <f aca="false">IF($J46=0,0,MAX(0,NETWORKDAYS(MAX($K46,AX$4),MIN($L46,EOMONTH(AX$4,0)),Assumptions!$F$4:$F$44))/NETWORKDAYS($K46,$L46,Assumptions!$F$4:$F$44))</f>
        <v>0</v>
      </c>
      <c r="AY46" s="21" t="n">
        <f aca="false">IF($J46=0,0,MAX(0,NETWORKDAYS(MAX($K46,AY$4),MIN($L46,EOMONTH(AY$4,0)),Assumptions!$F$4:$F$44))/NETWORKDAYS($K46,$L46,Assumptions!$F$4:$F$44))</f>
        <v>0</v>
      </c>
      <c r="AZ46" s="21" t="n">
        <f aca="false">IF($J46=0,0,MAX(0,NETWORKDAYS(MAX($K46,AZ$4),MIN($L46,EOMONTH(AZ$4,0)),Assumptions!$F$4:$F$44))/NETWORKDAYS($K46,$L46,Assumptions!$F$4:$F$44))</f>
        <v>0</v>
      </c>
      <c r="BA46" s="21" t="n">
        <f aca="false">IF($J46=0,0,MAX(0,NETWORKDAYS(MAX($K46,BA$4),MIN($L46,EOMONTH(BA$4,0)),Assumptions!$F$4:$F$44))/NETWORKDAYS($K46,$L46,Assumptions!$F$4:$F$44))</f>
        <v>0</v>
      </c>
      <c r="BB46" s="21" t="n">
        <f aca="false">IF($J46=0,0,MAX(0,NETWORKDAYS(MAX($K46,BB$4),MIN($L46,EOMONTH(BB$4,0)),Assumptions!$F$4:$F$44))/NETWORKDAYS($K46,$L46,Assumptions!$F$4:$F$44))</f>
        <v>0</v>
      </c>
      <c r="BC46" s="21" t="n">
        <f aca="false">IF($J46=0,0,MAX(0,NETWORKDAYS(MAX($K46,BC$4),MIN($L46,EOMONTH(BC$4,0)),Assumptions!$F$4:$F$44))/NETWORKDAYS($K46,$L46,Assumptions!$F$4:$F$44))</f>
        <v>0</v>
      </c>
    </row>
    <row r="47" customFormat="false" ht="15" hidden="false" customHeight="false" outlineLevel="2" collapsed="false">
      <c r="A47" s="27" t="n">
        <v>43</v>
      </c>
      <c r="B47" s="27" t="s">
        <v>191</v>
      </c>
      <c r="C47" s="27" t="n">
        <v>3</v>
      </c>
      <c r="D47" s="27" t="s">
        <v>92</v>
      </c>
      <c r="E47" s="28" t="s">
        <v>164</v>
      </c>
      <c r="F47" s="27" t="s">
        <v>154</v>
      </c>
      <c r="G47" s="27" t="s">
        <v>157</v>
      </c>
      <c r="H47" s="27" t="s">
        <v>47</v>
      </c>
      <c r="I47" s="29" t="n">
        <v>18</v>
      </c>
      <c r="J47" s="29" t="n">
        <v>24</v>
      </c>
      <c r="K47" s="30" t="n">
        <f aca="false">WORKDAY(Assumptions!$C$4,I47,Assumptions!$F$4:$F$44)</f>
        <v>46352</v>
      </c>
      <c r="L47" s="30" t="n">
        <f aca="false">IF(J47=0,K47,WORKDAY(K47,J47-1,Assumptions!$F$4:$F$44))</f>
        <v>46385</v>
      </c>
      <c r="M47" s="29"/>
      <c r="N47" s="31" t="n">
        <v>0</v>
      </c>
      <c r="O47" s="31" t="n">
        <v>0</v>
      </c>
      <c r="P47" s="31" t="n">
        <v>0</v>
      </c>
      <c r="Q47" s="31" t="n">
        <v>16</v>
      </c>
      <c r="R47" s="31" t="n">
        <v>0</v>
      </c>
      <c r="S47" s="31" t="n">
        <v>0</v>
      </c>
      <c r="T47" s="31" t="n">
        <v>0</v>
      </c>
      <c r="U47" s="31" t="n">
        <v>5</v>
      </c>
      <c r="V47" s="31" t="n">
        <v>0</v>
      </c>
      <c r="W47" s="31" t="n">
        <v>0</v>
      </c>
      <c r="X47" s="31" t="n">
        <v>0</v>
      </c>
      <c r="Y47" s="32" t="n">
        <f aca="false">SUM(N47:X47)</f>
        <v>21</v>
      </c>
      <c r="Z47" s="32" t="n">
        <f aca="false">Y47*(1+Assumptions!$C$5)</f>
        <v>24.15</v>
      </c>
      <c r="AA47" s="27" t="s">
        <v>165</v>
      </c>
      <c r="AB47" s="27" t="s">
        <v>95</v>
      </c>
      <c r="AC47" s="27"/>
      <c r="AD47" s="33" t="n">
        <v>0</v>
      </c>
      <c r="AF47" s="21" t="n">
        <f aca="false">IF($J47=0,0,MAX(0,NETWORKDAYS(MAX($K47,AF$4),MIN($L47,EOMONTH(AF$4,0)),Assumptions!$F$4:$F$44))/NETWORKDAYS($K47,$L47,Assumptions!$F$4:$F$44))</f>
        <v>0.125</v>
      </c>
      <c r="AG47" s="21" t="n">
        <f aca="false">IF($J47=0,0,MAX(0,NETWORKDAYS(MAX($K47,AG$4),MIN($L47,EOMONTH(AG$4,0)),Assumptions!$F$4:$F$44))/NETWORKDAYS($K47,$L47,Assumptions!$F$4:$F$44))</f>
        <v>0.875</v>
      </c>
      <c r="AH47" s="21" t="n">
        <f aca="false">IF($J47=0,0,MAX(0,NETWORKDAYS(MAX($K47,AH$4),MIN($L47,EOMONTH(AH$4,0)),Assumptions!$F$4:$F$44))/NETWORKDAYS($K47,$L47,Assumptions!$F$4:$F$44))</f>
        <v>0</v>
      </c>
      <c r="AI47" s="21" t="n">
        <f aca="false">IF($J47=0,0,MAX(0,NETWORKDAYS(MAX($K47,AI$4),MIN($L47,EOMONTH(AI$4,0)),Assumptions!$F$4:$F$44))/NETWORKDAYS($K47,$L47,Assumptions!$F$4:$F$44))</f>
        <v>0</v>
      </c>
      <c r="AJ47" s="21" t="n">
        <f aca="false">IF($J47=0,0,MAX(0,NETWORKDAYS(MAX($K47,AJ$4),MIN($L47,EOMONTH(AJ$4,0)),Assumptions!$F$4:$F$44))/NETWORKDAYS($K47,$L47,Assumptions!$F$4:$F$44))</f>
        <v>0</v>
      </c>
      <c r="AK47" s="21" t="n">
        <f aca="false">IF($J47=0,0,MAX(0,NETWORKDAYS(MAX($K47,AK$4),MIN($L47,EOMONTH(AK$4,0)),Assumptions!$F$4:$F$44))/NETWORKDAYS($K47,$L47,Assumptions!$F$4:$F$44))</f>
        <v>0</v>
      </c>
      <c r="AL47" s="21" t="n">
        <f aca="false">IF($J47=0,0,MAX(0,NETWORKDAYS(MAX($K47,AL$4),MIN($L47,EOMONTH(AL$4,0)),Assumptions!$F$4:$F$44))/NETWORKDAYS($K47,$L47,Assumptions!$F$4:$F$44))</f>
        <v>0</v>
      </c>
      <c r="AM47" s="21" t="n">
        <f aca="false">IF($J47=0,0,MAX(0,NETWORKDAYS(MAX($K47,AM$4),MIN($L47,EOMONTH(AM$4,0)),Assumptions!$F$4:$F$44))/NETWORKDAYS($K47,$L47,Assumptions!$F$4:$F$44))</f>
        <v>0</v>
      </c>
      <c r="AN47" s="21" t="n">
        <f aca="false">IF($J47=0,0,MAX(0,NETWORKDAYS(MAX($K47,AN$4),MIN($L47,EOMONTH(AN$4,0)),Assumptions!$F$4:$F$44))/NETWORKDAYS($K47,$L47,Assumptions!$F$4:$F$44))</f>
        <v>0</v>
      </c>
      <c r="AO47" s="21" t="n">
        <f aca="false">IF($J47=0,0,MAX(0,NETWORKDAYS(MAX($K47,AO$4),MIN($L47,EOMONTH(AO$4,0)),Assumptions!$F$4:$F$44))/NETWORKDAYS($K47,$L47,Assumptions!$F$4:$F$44))</f>
        <v>0</v>
      </c>
      <c r="AP47" s="21" t="n">
        <f aca="false">IF($J47=0,0,MAX(0,NETWORKDAYS(MAX($K47,AP$4),MIN($L47,EOMONTH(AP$4,0)),Assumptions!$F$4:$F$44))/NETWORKDAYS($K47,$L47,Assumptions!$F$4:$F$44))</f>
        <v>0</v>
      </c>
      <c r="AQ47" s="21" t="n">
        <f aca="false">IF($J47=0,0,MAX(0,NETWORKDAYS(MAX($K47,AQ$4),MIN($L47,EOMONTH(AQ$4,0)),Assumptions!$F$4:$F$44))/NETWORKDAYS($K47,$L47,Assumptions!$F$4:$F$44))</f>
        <v>0</v>
      </c>
      <c r="AR47" s="21" t="n">
        <f aca="false">IF($J47=0,0,MAX(0,NETWORKDAYS(MAX($K47,AR$4),MIN($L47,EOMONTH(AR$4,0)),Assumptions!$F$4:$F$44))/NETWORKDAYS($K47,$L47,Assumptions!$F$4:$F$44))</f>
        <v>0</v>
      </c>
      <c r="AS47" s="21" t="n">
        <f aca="false">IF($J47=0,0,MAX(0,NETWORKDAYS(MAX($K47,AS$4),MIN($L47,EOMONTH(AS$4,0)),Assumptions!$F$4:$F$44))/NETWORKDAYS($K47,$L47,Assumptions!$F$4:$F$44))</f>
        <v>0</v>
      </c>
      <c r="AT47" s="21" t="n">
        <f aca="false">IF($J47=0,0,MAX(0,NETWORKDAYS(MAX($K47,AT$4),MIN($L47,EOMONTH(AT$4,0)),Assumptions!$F$4:$F$44))/NETWORKDAYS($K47,$L47,Assumptions!$F$4:$F$44))</f>
        <v>0</v>
      </c>
      <c r="AU47" s="21" t="n">
        <f aca="false">IF($J47=0,0,MAX(0,NETWORKDAYS(MAX($K47,AU$4),MIN($L47,EOMONTH(AU$4,0)),Assumptions!$F$4:$F$44))/NETWORKDAYS($K47,$L47,Assumptions!$F$4:$F$44))</f>
        <v>0</v>
      </c>
      <c r="AV47" s="21" t="n">
        <f aca="false">IF($J47=0,0,MAX(0,NETWORKDAYS(MAX($K47,AV$4),MIN($L47,EOMONTH(AV$4,0)),Assumptions!$F$4:$F$44))/NETWORKDAYS($K47,$L47,Assumptions!$F$4:$F$44))</f>
        <v>0</v>
      </c>
      <c r="AW47" s="21" t="n">
        <f aca="false">IF($J47=0,0,MAX(0,NETWORKDAYS(MAX($K47,AW$4),MIN($L47,EOMONTH(AW$4,0)),Assumptions!$F$4:$F$44))/NETWORKDAYS($K47,$L47,Assumptions!$F$4:$F$44))</f>
        <v>0</v>
      </c>
      <c r="AX47" s="21" t="n">
        <f aca="false">IF($J47=0,0,MAX(0,NETWORKDAYS(MAX($K47,AX$4),MIN($L47,EOMONTH(AX$4,0)),Assumptions!$F$4:$F$44))/NETWORKDAYS($K47,$L47,Assumptions!$F$4:$F$44))</f>
        <v>0</v>
      </c>
      <c r="AY47" s="21" t="n">
        <f aca="false">IF($J47=0,0,MAX(0,NETWORKDAYS(MAX($K47,AY$4),MIN($L47,EOMONTH(AY$4,0)),Assumptions!$F$4:$F$44))/NETWORKDAYS($K47,$L47,Assumptions!$F$4:$F$44))</f>
        <v>0</v>
      </c>
      <c r="AZ47" s="21" t="n">
        <f aca="false">IF($J47=0,0,MAX(0,NETWORKDAYS(MAX($K47,AZ$4),MIN($L47,EOMONTH(AZ$4,0)),Assumptions!$F$4:$F$44))/NETWORKDAYS($K47,$L47,Assumptions!$F$4:$F$44))</f>
        <v>0</v>
      </c>
      <c r="BA47" s="21" t="n">
        <f aca="false">IF($J47=0,0,MAX(0,NETWORKDAYS(MAX($K47,BA$4),MIN($L47,EOMONTH(BA$4,0)),Assumptions!$F$4:$F$44))/NETWORKDAYS($K47,$L47,Assumptions!$F$4:$F$44))</f>
        <v>0</v>
      </c>
      <c r="BB47" s="21" t="n">
        <f aca="false">IF($J47=0,0,MAX(0,NETWORKDAYS(MAX($K47,BB$4),MIN($L47,EOMONTH(BB$4,0)),Assumptions!$F$4:$F$44))/NETWORKDAYS($K47,$L47,Assumptions!$F$4:$F$44))</f>
        <v>0</v>
      </c>
      <c r="BC47" s="21" t="n">
        <f aca="false">IF($J47=0,0,MAX(0,NETWORKDAYS(MAX($K47,BC$4),MIN($L47,EOMONTH(BC$4,0)),Assumptions!$F$4:$F$44))/NETWORKDAYS($K47,$L47,Assumptions!$F$4:$F$44))</f>
        <v>0</v>
      </c>
    </row>
    <row r="48" customFormat="false" ht="15" hidden="false" customHeight="false" outlineLevel="2" collapsed="false">
      <c r="A48" s="27" t="n">
        <v>44</v>
      </c>
      <c r="B48" s="27" t="s">
        <v>192</v>
      </c>
      <c r="C48" s="27" t="n">
        <v>3</v>
      </c>
      <c r="D48" s="27" t="s">
        <v>92</v>
      </c>
      <c r="E48" s="28" t="s">
        <v>167</v>
      </c>
      <c r="F48" s="27" t="s">
        <v>154</v>
      </c>
      <c r="G48" s="27" t="s">
        <v>157</v>
      </c>
      <c r="H48" s="27" t="s">
        <v>57</v>
      </c>
      <c r="I48" s="29" t="n">
        <v>39</v>
      </c>
      <c r="J48" s="29" t="n">
        <v>10</v>
      </c>
      <c r="K48" s="30" t="n">
        <f aca="false">WORKDAY(Assumptions!$C$4,I48,Assumptions!$F$4:$F$44)</f>
        <v>46381</v>
      </c>
      <c r="L48" s="30" t="n">
        <f aca="false">IF(J48=0,K48,WORKDAY(K48,J48-1,Assumptions!$F$4:$F$44))</f>
        <v>46394</v>
      </c>
      <c r="M48" s="29"/>
      <c r="N48" s="31" t="n">
        <v>0</v>
      </c>
      <c r="O48" s="31" t="n">
        <v>0</v>
      </c>
      <c r="P48" s="31" t="n">
        <v>0</v>
      </c>
      <c r="Q48" s="31" t="n">
        <v>2</v>
      </c>
      <c r="R48" s="31" t="n">
        <v>0</v>
      </c>
      <c r="S48" s="31" t="n">
        <v>0</v>
      </c>
      <c r="T48" s="31" t="n">
        <v>0</v>
      </c>
      <c r="U48" s="31" t="n">
        <v>0</v>
      </c>
      <c r="V48" s="31" t="n">
        <v>5</v>
      </c>
      <c r="W48" s="31" t="n">
        <v>0</v>
      </c>
      <c r="X48" s="31" t="n">
        <v>0</v>
      </c>
      <c r="Y48" s="32" t="n">
        <f aca="false">SUM(N48:X48)</f>
        <v>7</v>
      </c>
      <c r="Z48" s="32" t="n">
        <f aca="false">Y48*(1+Assumptions!$C$5)</f>
        <v>8.05</v>
      </c>
      <c r="AA48" s="27" t="s">
        <v>168</v>
      </c>
      <c r="AB48" s="27" t="s">
        <v>95</v>
      </c>
      <c r="AC48" s="27"/>
      <c r="AD48" s="33" t="n">
        <v>0</v>
      </c>
      <c r="AF48" s="21" t="n">
        <f aca="false">IF($J48=0,0,MAX(0,NETWORKDAYS(MAX($K48,AF$4),MIN($L48,EOMONTH(AF$4,0)),Assumptions!$F$4:$F$44))/NETWORKDAYS($K48,$L48,Assumptions!$F$4:$F$44))</f>
        <v>0</v>
      </c>
      <c r="AG48" s="21" t="n">
        <f aca="false">IF($J48=0,0,MAX(0,NETWORKDAYS(MAX($K48,AG$4),MIN($L48,EOMONTH(AG$4,0)),Assumptions!$F$4:$F$44))/NETWORKDAYS($K48,$L48,Assumptions!$F$4:$F$44))</f>
        <v>0.5</v>
      </c>
      <c r="AH48" s="21" t="n">
        <f aca="false">IF($J48=0,0,MAX(0,NETWORKDAYS(MAX($K48,AH$4),MIN($L48,EOMONTH(AH$4,0)),Assumptions!$F$4:$F$44))/NETWORKDAYS($K48,$L48,Assumptions!$F$4:$F$44))</f>
        <v>0.5</v>
      </c>
      <c r="AI48" s="21" t="n">
        <f aca="false">IF($J48=0,0,MAX(0,NETWORKDAYS(MAX($K48,AI$4),MIN($L48,EOMONTH(AI$4,0)),Assumptions!$F$4:$F$44))/NETWORKDAYS($K48,$L48,Assumptions!$F$4:$F$44))</f>
        <v>0</v>
      </c>
      <c r="AJ48" s="21" t="n">
        <f aca="false">IF($J48=0,0,MAX(0,NETWORKDAYS(MAX($K48,AJ$4),MIN($L48,EOMONTH(AJ$4,0)),Assumptions!$F$4:$F$44))/NETWORKDAYS($K48,$L48,Assumptions!$F$4:$F$44))</f>
        <v>0</v>
      </c>
      <c r="AK48" s="21" t="n">
        <f aca="false">IF($J48=0,0,MAX(0,NETWORKDAYS(MAX($K48,AK$4),MIN($L48,EOMONTH(AK$4,0)),Assumptions!$F$4:$F$44))/NETWORKDAYS($K48,$L48,Assumptions!$F$4:$F$44))</f>
        <v>0</v>
      </c>
      <c r="AL48" s="21" t="n">
        <f aca="false">IF($J48=0,0,MAX(0,NETWORKDAYS(MAX($K48,AL$4),MIN($L48,EOMONTH(AL$4,0)),Assumptions!$F$4:$F$44))/NETWORKDAYS($K48,$L48,Assumptions!$F$4:$F$44))</f>
        <v>0</v>
      </c>
      <c r="AM48" s="21" t="n">
        <f aca="false">IF($J48=0,0,MAX(0,NETWORKDAYS(MAX($K48,AM$4),MIN($L48,EOMONTH(AM$4,0)),Assumptions!$F$4:$F$44))/NETWORKDAYS($K48,$L48,Assumptions!$F$4:$F$44))</f>
        <v>0</v>
      </c>
      <c r="AN48" s="21" t="n">
        <f aca="false">IF($J48=0,0,MAX(0,NETWORKDAYS(MAX($K48,AN$4),MIN($L48,EOMONTH(AN$4,0)),Assumptions!$F$4:$F$44))/NETWORKDAYS($K48,$L48,Assumptions!$F$4:$F$44))</f>
        <v>0</v>
      </c>
      <c r="AO48" s="21" t="n">
        <f aca="false">IF($J48=0,0,MAX(0,NETWORKDAYS(MAX($K48,AO$4),MIN($L48,EOMONTH(AO$4,0)),Assumptions!$F$4:$F$44))/NETWORKDAYS($K48,$L48,Assumptions!$F$4:$F$44))</f>
        <v>0</v>
      </c>
      <c r="AP48" s="21" t="n">
        <f aca="false">IF($J48=0,0,MAX(0,NETWORKDAYS(MAX($K48,AP$4),MIN($L48,EOMONTH(AP$4,0)),Assumptions!$F$4:$F$44))/NETWORKDAYS($K48,$L48,Assumptions!$F$4:$F$44))</f>
        <v>0</v>
      </c>
      <c r="AQ48" s="21" t="n">
        <f aca="false">IF($J48=0,0,MAX(0,NETWORKDAYS(MAX($K48,AQ$4),MIN($L48,EOMONTH(AQ$4,0)),Assumptions!$F$4:$F$44))/NETWORKDAYS($K48,$L48,Assumptions!$F$4:$F$44))</f>
        <v>0</v>
      </c>
      <c r="AR48" s="21" t="n">
        <f aca="false">IF($J48=0,0,MAX(0,NETWORKDAYS(MAX($K48,AR$4),MIN($L48,EOMONTH(AR$4,0)),Assumptions!$F$4:$F$44))/NETWORKDAYS($K48,$L48,Assumptions!$F$4:$F$44))</f>
        <v>0</v>
      </c>
      <c r="AS48" s="21" t="n">
        <f aca="false">IF($J48=0,0,MAX(0,NETWORKDAYS(MAX($K48,AS$4),MIN($L48,EOMONTH(AS$4,0)),Assumptions!$F$4:$F$44))/NETWORKDAYS($K48,$L48,Assumptions!$F$4:$F$44))</f>
        <v>0</v>
      </c>
      <c r="AT48" s="21" t="n">
        <f aca="false">IF($J48=0,0,MAX(0,NETWORKDAYS(MAX($K48,AT$4),MIN($L48,EOMONTH(AT$4,0)),Assumptions!$F$4:$F$44))/NETWORKDAYS($K48,$L48,Assumptions!$F$4:$F$44))</f>
        <v>0</v>
      </c>
      <c r="AU48" s="21" t="n">
        <f aca="false">IF($J48=0,0,MAX(0,NETWORKDAYS(MAX($K48,AU$4),MIN($L48,EOMONTH(AU$4,0)),Assumptions!$F$4:$F$44))/NETWORKDAYS($K48,$L48,Assumptions!$F$4:$F$44))</f>
        <v>0</v>
      </c>
      <c r="AV48" s="21" t="n">
        <f aca="false">IF($J48=0,0,MAX(0,NETWORKDAYS(MAX($K48,AV$4),MIN($L48,EOMONTH(AV$4,0)),Assumptions!$F$4:$F$44))/NETWORKDAYS($K48,$L48,Assumptions!$F$4:$F$44))</f>
        <v>0</v>
      </c>
      <c r="AW48" s="21" t="n">
        <f aca="false">IF($J48=0,0,MAX(0,NETWORKDAYS(MAX($K48,AW$4),MIN($L48,EOMONTH(AW$4,0)),Assumptions!$F$4:$F$44))/NETWORKDAYS($K48,$L48,Assumptions!$F$4:$F$44))</f>
        <v>0</v>
      </c>
      <c r="AX48" s="21" t="n">
        <f aca="false">IF($J48=0,0,MAX(0,NETWORKDAYS(MAX($K48,AX$4),MIN($L48,EOMONTH(AX$4,0)),Assumptions!$F$4:$F$44))/NETWORKDAYS($K48,$L48,Assumptions!$F$4:$F$44))</f>
        <v>0</v>
      </c>
      <c r="AY48" s="21" t="n">
        <f aca="false">IF($J48=0,0,MAX(0,NETWORKDAYS(MAX($K48,AY$4),MIN($L48,EOMONTH(AY$4,0)),Assumptions!$F$4:$F$44))/NETWORKDAYS($K48,$L48,Assumptions!$F$4:$F$44))</f>
        <v>0</v>
      </c>
      <c r="AZ48" s="21" t="n">
        <f aca="false">IF($J48=0,0,MAX(0,NETWORKDAYS(MAX($K48,AZ$4),MIN($L48,EOMONTH(AZ$4,0)),Assumptions!$F$4:$F$44))/NETWORKDAYS($K48,$L48,Assumptions!$F$4:$F$44))</f>
        <v>0</v>
      </c>
      <c r="BA48" s="21" t="n">
        <f aca="false">IF($J48=0,0,MAX(0,NETWORKDAYS(MAX($K48,BA$4),MIN($L48,EOMONTH(BA$4,0)),Assumptions!$F$4:$F$44))/NETWORKDAYS($K48,$L48,Assumptions!$F$4:$F$44))</f>
        <v>0</v>
      </c>
      <c r="BB48" s="21" t="n">
        <f aca="false">IF($J48=0,0,MAX(0,NETWORKDAYS(MAX($K48,BB$4),MIN($L48,EOMONTH(BB$4,0)),Assumptions!$F$4:$F$44))/NETWORKDAYS($K48,$L48,Assumptions!$F$4:$F$44))</f>
        <v>0</v>
      </c>
      <c r="BC48" s="21" t="n">
        <f aca="false">IF($J48=0,0,MAX(0,NETWORKDAYS(MAX($K48,BC$4),MIN($L48,EOMONTH(BC$4,0)),Assumptions!$F$4:$F$44))/NETWORKDAYS($K48,$L48,Assumptions!$F$4:$F$44))</f>
        <v>0</v>
      </c>
    </row>
    <row r="49" customFormat="false" ht="15" hidden="false" customHeight="false" outlineLevel="1" collapsed="false">
      <c r="A49" s="22" t="n">
        <v>45</v>
      </c>
      <c r="B49" s="22" t="s">
        <v>193</v>
      </c>
      <c r="C49" s="22" t="n">
        <v>2</v>
      </c>
      <c r="D49" s="22" t="s">
        <v>89</v>
      </c>
      <c r="E49" s="23" t="s">
        <v>194</v>
      </c>
      <c r="F49" s="22" t="s">
        <v>154</v>
      </c>
      <c r="G49" s="22" t="s">
        <v>157</v>
      </c>
      <c r="H49" s="22"/>
      <c r="I49" s="22"/>
      <c r="J49" s="22" t="n">
        <f aca="false">NETWORKDAYS(K49,L49,Assumptions!$F$4:$F$44)</f>
        <v>44</v>
      </c>
      <c r="K49" s="24" t="n">
        <f aca="false">MIN(K50:K52)</f>
        <v>46365</v>
      </c>
      <c r="L49" s="24" t="n">
        <f aca="false">MAX(L50:L52)</f>
        <v>46426</v>
      </c>
      <c r="M49" s="22"/>
      <c r="N49" s="25" t="n">
        <f aca="false">SUMPRODUCT(($C$50:$C$52=3)*(N50:N52))</f>
        <v>0</v>
      </c>
      <c r="O49" s="25" t="n">
        <f aca="false">SUMPRODUCT(($C$50:$C$52=3)*(O50:O52))</f>
        <v>0</v>
      </c>
      <c r="P49" s="25" t="n">
        <f aca="false">SUMPRODUCT(($C$50:$C$52=3)*(P50:P52))</f>
        <v>2</v>
      </c>
      <c r="Q49" s="25" t="n">
        <f aca="false">SUMPRODUCT(($C$50:$C$52=3)*(Q50:Q52))</f>
        <v>33</v>
      </c>
      <c r="R49" s="25" t="n">
        <f aca="false">SUMPRODUCT(($C$50:$C$52=3)*(R50:R52))</f>
        <v>5</v>
      </c>
      <c r="S49" s="25" t="n">
        <f aca="false">SUMPRODUCT(($C$50:$C$52=3)*(S50:S52))</f>
        <v>0</v>
      </c>
      <c r="T49" s="25" t="n">
        <f aca="false">SUMPRODUCT(($C$50:$C$52=3)*(T50:T52))</f>
        <v>0</v>
      </c>
      <c r="U49" s="25" t="n">
        <f aca="false">SUMPRODUCT(($C$50:$C$52=3)*(U50:U52))</f>
        <v>0</v>
      </c>
      <c r="V49" s="25" t="n">
        <f aca="false">SUMPRODUCT(($C$50:$C$52=3)*(V50:V52))</f>
        <v>10</v>
      </c>
      <c r="W49" s="25" t="n">
        <f aca="false">SUMPRODUCT(($C$50:$C$52=3)*(W50:W52))</f>
        <v>0</v>
      </c>
      <c r="X49" s="25" t="n">
        <f aca="false">SUMPRODUCT(($C$50:$C$52=3)*(X50:X52))</f>
        <v>0</v>
      </c>
      <c r="Y49" s="25" t="n">
        <f aca="false">SUM(N49:X49)</f>
        <v>50</v>
      </c>
      <c r="Z49" s="25" t="n">
        <f aca="false">Y49*(1+Assumptions!$C$5)</f>
        <v>57.5</v>
      </c>
      <c r="AA49" s="22" t="s">
        <v>195</v>
      </c>
      <c r="AB49" s="22"/>
      <c r="AC49" s="22"/>
      <c r="AD49" s="26"/>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row>
    <row r="50" customFormat="false" ht="15" hidden="false" customHeight="false" outlineLevel="2" collapsed="false">
      <c r="A50" s="27" t="n">
        <v>46</v>
      </c>
      <c r="B50" s="27" t="s">
        <v>196</v>
      </c>
      <c r="C50" s="27" t="n">
        <v>3</v>
      </c>
      <c r="D50" s="27" t="s">
        <v>92</v>
      </c>
      <c r="E50" s="28" t="s">
        <v>160</v>
      </c>
      <c r="F50" s="27" t="s">
        <v>154</v>
      </c>
      <c r="G50" s="27" t="s">
        <v>157</v>
      </c>
      <c r="H50" s="27" t="s">
        <v>45</v>
      </c>
      <c r="I50" s="29" t="n">
        <v>27</v>
      </c>
      <c r="J50" s="29" t="n">
        <v>9</v>
      </c>
      <c r="K50" s="30" t="n">
        <f aca="false">WORKDAY(Assumptions!$C$4,I50,Assumptions!$F$4:$F$44)</f>
        <v>46365</v>
      </c>
      <c r="L50" s="30" t="n">
        <f aca="false">IF(J50=0,K50,WORKDAY(K50,J50-1,Assumptions!$F$4:$F$44))</f>
        <v>46377</v>
      </c>
      <c r="M50" s="29" t="s">
        <v>161</v>
      </c>
      <c r="N50" s="31" t="n">
        <v>0</v>
      </c>
      <c r="O50" s="31" t="n">
        <v>0</v>
      </c>
      <c r="P50" s="31" t="n">
        <v>2</v>
      </c>
      <c r="Q50" s="31" t="n">
        <v>3</v>
      </c>
      <c r="R50" s="31" t="n">
        <v>0</v>
      </c>
      <c r="S50" s="31" t="n">
        <v>0</v>
      </c>
      <c r="T50" s="31" t="n">
        <v>0</v>
      </c>
      <c r="U50" s="31" t="n">
        <v>0</v>
      </c>
      <c r="V50" s="31" t="n">
        <v>0</v>
      </c>
      <c r="W50" s="31" t="n">
        <v>0</v>
      </c>
      <c r="X50" s="31" t="n">
        <v>0</v>
      </c>
      <c r="Y50" s="32" t="n">
        <f aca="false">SUM(N50:X50)</f>
        <v>5</v>
      </c>
      <c r="Z50" s="32" t="n">
        <f aca="false">Y50*(1+Assumptions!$C$5)</f>
        <v>5.75</v>
      </c>
      <c r="AA50" s="27" t="s">
        <v>162</v>
      </c>
      <c r="AB50" s="27" t="s">
        <v>95</v>
      </c>
      <c r="AC50" s="27"/>
      <c r="AD50" s="33" t="n">
        <v>0</v>
      </c>
      <c r="AF50" s="21" t="n">
        <f aca="false">IF($J50=0,0,MAX(0,NETWORKDAYS(MAX($K50,AF$4),MIN($L50,EOMONTH(AF$4,0)),Assumptions!$F$4:$F$44))/NETWORKDAYS($K50,$L50,Assumptions!$F$4:$F$44))</f>
        <v>0</v>
      </c>
      <c r="AG50" s="21" t="n">
        <f aca="false">IF($J50=0,0,MAX(0,NETWORKDAYS(MAX($K50,AG$4),MIN($L50,EOMONTH(AG$4,0)),Assumptions!$F$4:$F$44))/NETWORKDAYS($K50,$L50,Assumptions!$F$4:$F$44))</f>
        <v>1</v>
      </c>
      <c r="AH50" s="21" t="n">
        <f aca="false">IF($J50=0,0,MAX(0,NETWORKDAYS(MAX($K50,AH$4),MIN($L50,EOMONTH(AH$4,0)),Assumptions!$F$4:$F$44))/NETWORKDAYS($K50,$L50,Assumptions!$F$4:$F$44))</f>
        <v>0</v>
      </c>
      <c r="AI50" s="21" t="n">
        <f aca="false">IF($J50=0,0,MAX(0,NETWORKDAYS(MAX($K50,AI$4),MIN($L50,EOMONTH(AI$4,0)),Assumptions!$F$4:$F$44))/NETWORKDAYS($K50,$L50,Assumptions!$F$4:$F$44))</f>
        <v>0</v>
      </c>
      <c r="AJ50" s="21" t="n">
        <f aca="false">IF($J50=0,0,MAX(0,NETWORKDAYS(MAX($K50,AJ$4),MIN($L50,EOMONTH(AJ$4,0)),Assumptions!$F$4:$F$44))/NETWORKDAYS($K50,$L50,Assumptions!$F$4:$F$44))</f>
        <v>0</v>
      </c>
      <c r="AK50" s="21" t="n">
        <f aca="false">IF($J50=0,0,MAX(0,NETWORKDAYS(MAX($K50,AK$4),MIN($L50,EOMONTH(AK$4,0)),Assumptions!$F$4:$F$44))/NETWORKDAYS($K50,$L50,Assumptions!$F$4:$F$44))</f>
        <v>0</v>
      </c>
      <c r="AL50" s="21" t="n">
        <f aca="false">IF($J50=0,0,MAX(0,NETWORKDAYS(MAX($K50,AL$4),MIN($L50,EOMONTH(AL$4,0)),Assumptions!$F$4:$F$44))/NETWORKDAYS($K50,$L50,Assumptions!$F$4:$F$44))</f>
        <v>0</v>
      </c>
      <c r="AM50" s="21" t="n">
        <f aca="false">IF($J50=0,0,MAX(0,NETWORKDAYS(MAX($K50,AM$4),MIN($L50,EOMONTH(AM$4,0)),Assumptions!$F$4:$F$44))/NETWORKDAYS($K50,$L50,Assumptions!$F$4:$F$44))</f>
        <v>0</v>
      </c>
      <c r="AN50" s="21" t="n">
        <f aca="false">IF($J50=0,0,MAX(0,NETWORKDAYS(MAX($K50,AN$4),MIN($L50,EOMONTH(AN$4,0)),Assumptions!$F$4:$F$44))/NETWORKDAYS($K50,$L50,Assumptions!$F$4:$F$44))</f>
        <v>0</v>
      </c>
      <c r="AO50" s="21" t="n">
        <f aca="false">IF($J50=0,0,MAX(0,NETWORKDAYS(MAX($K50,AO$4),MIN($L50,EOMONTH(AO$4,0)),Assumptions!$F$4:$F$44))/NETWORKDAYS($K50,$L50,Assumptions!$F$4:$F$44))</f>
        <v>0</v>
      </c>
      <c r="AP50" s="21" t="n">
        <f aca="false">IF($J50=0,0,MAX(0,NETWORKDAYS(MAX($K50,AP$4),MIN($L50,EOMONTH(AP$4,0)),Assumptions!$F$4:$F$44))/NETWORKDAYS($K50,$L50,Assumptions!$F$4:$F$44))</f>
        <v>0</v>
      </c>
      <c r="AQ50" s="21" t="n">
        <f aca="false">IF($J50=0,0,MAX(0,NETWORKDAYS(MAX($K50,AQ$4),MIN($L50,EOMONTH(AQ$4,0)),Assumptions!$F$4:$F$44))/NETWORKDAYS($K50,$L50,Assumptions!$F$4:$F$44))</f>
        <v>0</v>
      </c>
      <c r="AR50" s="21" t="n">
        <f aca="false">IF($J50=0,0,MAX(0,NETWORKDAYS(MAX($K50,AR$4),MIN($L50,EOMONTH(AR$4,0)),Assumptions!$F$4:$F$44))/NETWORKDAYS($K50,$L50,Assumptions!$F$4:$F$44))</f>
        <v>0</v>
      </c>
      <c r="AS50" s="21" t="n">
        <f aca="false">IF($J50=0,0,MAX(0,NETWORKDAYS(MAX($K50,AS$4),MIN($L50,EOMONTH(AS$4,0)),Assumptions!$F$4:$F$44))/NETWORKDAYS($K50,$L50,Assumptions!$F$4:$F$44))</f>
        <v>0</v>
      </c>
      <c r="AT50" s="21" t="n">
        <f aca="false">IF($J50=0,0,MAX(0,NETWORKDAYS(MAX($K50,AT$4),MIN($L50,EOMONTH(AT$4,0)),Assumptions!$F$4:$F$44))/NETWORKDAYS($K50,$L50,Assumptions!$F$4:$F$44))</f>
        <v>0</v>
      </c>
      <c r="AU50" s="21" t="n">
        <f aca="false">IF($J50=0,0,MAX(0,NETWORKDAYS(MAX($K50,AU$4),MIN($L50,EOMONTH(AU$4,0)),Assumptions!$F$4:$F$44))/NETWORKDAYS($K50,$L50,Assumptions!$F$4:$F$44))</f>
        <v>0</v>
      </c>
      <c r="AV50" s="21" t="n">
        <f aca="false">IF($J50=0,0,MAX(0,NETWORKDAYS(MAX($K50,AV$4),MIN($L50,EOMONTH(AV$4,0)),Assumptions!$F$4:$F$44))/NETWORKDAYS($K50,$L50,Assumptions!$F$4:$F$44))</f>
        <v>0</v>
      </c>
      <c r="AW50" s="21" t="n">
        <f aca="false">IF($J50=0,0,MAX(0,NETWORKDAYS(MAX($K50,AW$4),MIN($L50,EOMONTH(AW$4,0)),Assumptions!$F$4:$F$44))/NETWORKDAYS($K50,$L50,Assumptions!$F$4:$F$44))</f>
        <v>0</v>
      </c>
      <c r="AX50" s="21" t="n">
        <f aca="false">IF($J50=0,0,MAX(0,NETWORKDAYS(MAX($K50,AX$4),MIN($L50,EOMONTH(AX$4,0)),Assumptions!$F$4:$F$44))/NETWORKDAYS($K50,$L50,Assumptions!$F$4:$F$44))</f>
        <v>0</v>
      </c>
      <c r="AY50" s="21" t="n">
        <f aca="false">IF($J50=0,0,MAX(0,NETWORKDAYS(MAX($K50,AY$4),MIN($L50,EOMONTH(AY$4,0)),Assumptions!$F$4:$F$44))/NETWORKDAYS($K50,$L50,Assumptions!$F$4:$F$44))</f>
        <v>0</v>
      </c>
      <c r="AZ50" s="21" t="n">
        <f aca="false">IF($J50=0,0,MAX(0,NETWORKDAYS(MAX($K50,AZ$4),MIN($L50,EOMONTH(AZ$4,0)),Assumptions!$F$4:$F$44))/NETWORKDAYS($K50,$L50,Assumptions!$F$4:$F$44))</f>
        <v>0</v>
      </c>
      <c r="BA50" s="21" t="n">
        <f aca="false">IF($J50=0,0,MAX(0,NETWORKDAYS(MAX($K50,BA$4),MIN($L50,EOMONTH(BA$4,0)),Assumptions!$F$4:$F$44))/NETWORKDAYS($K50,$L50,Assumptions!$F$4:$F$44))</f>
        <v>0</v>
      </c>
      <c r="BB50" s="21" t="n">
        <f aca="false">IF($J50=0,0,MAX(0,NETWORKDAYS(MAX($K50,BB$4),MIN($L50,EOMONTH(BB$4,0)),Assumptions!$F$4:$F$44))/NETWORKDAYS($K50,$L50,Assumptions!$F$4:$F$44))</f>
        <v>0</v>
      </c>
      <c r="BC50" s="21" t="n">
        <f aca="false">IF($J50=0,0,MAX(0,NETWORKDAYS(MAX($K50,BC$4),MIN($L50,EOMONTH(BC$4,0)),Assumptions!$F$4:$F$44))/NETWORKDAYS($K50,$L50,Assumptions!$F$4:$F$44))</f>
        <v>0</v>
      </c>
    </row>
    <row r="51" customFormat="false" ht="15" hidden="false" customHeight="false" outlineLevel="2" collapsed="false">
      <c r="A51" s="27" t="n">
        <v>47</v>
      </c>
      <c r="B51" s="27" t="s">
        <v>197</v>
      </c>
      <c r="C51" s="27" t="n">
        <v>3</v>
      </c>
      <c r="D51" s="27" t="s">
        <v>92</v>
      </c>
      <c r="E51" s="28" t="s">
        <v>164</v>
      </c>
      <c r="F51" s="27" t="s">
        <v>154</v>
      </c>
      <c r="G51" s="27" t="s">
        <v>157</v>
      </c>
      <c r="H51" s="27" t="s">
        <v>47</v>
      </c>
      <c r="I51" s="29" t="n">
        <v>36</v>
      </c>
      <c r="J51" s="29" t="n">
        <v>27</v>
      </c>
      <c r="K51" s="30" t="n">
        <f aca="false">WORKDAY(Assumptions!$C$4,I51,Assumptions!$F$4:$F$44)</f>
        <v>46378</v>
      </c>
      <c r="L51" s="30" t="n">
        <f aca="false">IF(J51=0,K51,WORKDAY(K51,J51-1,Assumptions!$F$4:$F$44))</f>
        <v>46414</v>
      </c>
      <c r="M51" s="29"/>
      <c r="N51" s="31" t="n">
        <v>0</v>
      </c>
      <c r="O51" s="31" t="n">
        <v>0</v>
      </c>
      <c r="P51" s="31" t="n">
        <v>0</v>
      </c>
      <c r="Q51" s="31" t="n">
        <v>27</v>
      </c>
      <c r="R51" s="31" t="n">
        <v>5</v>
      </c>
      <c r="S51" s="31" t="n">
        <v>0</v>
      </c>
      <c r="T51" s="31" t="n">
        <v>0</v>
      </c>
      <c r="U51" s="31" t="n">
        <v>0</v>
      </c>
      <c r="V51" s="31" t="n">
        <v>0</v>
      </c>
      <c r="W51" s="31" t="n">
        <v>0</v>
      </c>
      <c r="X51" s="31" t="n">
        <v>0</v>
      </c>
      <c r="Y51" s="32" t="n">
        <f aca="false">SUM(N51:X51)</f>
        <v>32</v>
      </c>
      <c r="Z51" s="32" t="n">
        <f aca="false">Y51*(1+Assumptions!$C$5)</f>
        <v>36.8</v>
      </c>
      <c r="AA51" s="27" t="s">
        <v>165</v>
      </c>
      <c r="AB51" s="27" t="s">
        <v>95</v>
      </c>
      <c r="AC51" s="27"/>
      <c r="AD51" s="33" t="n">
        <v>0</v>
      </c>
      <c r="AF51" s="21" t="n">
        <f aca="false">IF($J51=0,0,MAX(0,NETWORKDAYS(MAX($K51,AF$4),MIN($L51,EOMONTH(AF$4,0)),Assumptions!$F$4:$F$44))/NETWORKDAYS($K51,$L51,Assumptions!$F$4:$F$44))</f>
        <v>0</v>
      </c>
      <c r="AG51" s="21" t="n">
        <f aca="false">IF($J51=0,0,MAX(0,NETWORKDAYS(MAX($K51,AG$4),MIN($L51,EOMONTH(AG$4,0)),Assumptions!$F$4:$F$44))/NETWORKDAYS($K51,$L51,Assumptions!$F$4:$F$44))</f>
        <v>0.296296296296296</v>
      </c>
      <c r="AH51" s="21" t="n">
        <f aca="false">IF($J51=0,0,MAX(0,NETWORKDAYS(MAX($K51,AH$4),MIN($L51,EOMONTH(AH$4,0)),Assumptions!$F$4:$F$44))/NETWORKDAYS($K51,$L51,Assumptions!$F$4:$F$44))</f>
        <v>0.703703703703704</v>
      </c>
      <c r="AI51" s="21" t="n">
        <f aca="false">IF($J51=0,0,MAX(0,NETWORKDAYS(MAX($K51,AI$4),MIN($L51,EOMONTH(AI$4,0)),Assumptions!$F$4:$F$44))/NETWORKDAYS($K51,$L51,Assumptions!$F$4:$F$44))</f>
        <v>0</v>
      </c>
      <c r="AJ51" s="21" t="n">
        <f aca="false">IF($J51=0,0,MAX(0,NETWORKDAYS(MAX($K51,AJ$4),MIN($L51,EOMONTH(AJ$4,0)),Assumptions!$F$4:$F$44))/NETWORKDAYS($K51,$L51,Assumptions!$F$4:$F$44))</f>
        <v>0</v>
      </c>
      <c r="AK51" s="21" t="n">
        <f aca="false">IF($J51=0,0,MAX(0,NETWORKDAYS(MAX($K51,AK$4),MIN($L51,EOMONTH(AK$4,0)),Assumptions!$F$4:$F$44))/NETWORKDAYS($K51,$L51,Assumptions!$F$4:$F$44))</f>
        <v>0</v>
      </c>
      <c r="AL51" s="21" t="n">
        <f aca="false">IF($J51=0,0,MAX(0,NETWORKDAYS(MAX($K51,AL$4),MIN($L51,EOMONTH(AL$4,0)),Assumptions!$F$4:$F$44))/NETWORKDAYS($K51,$L51,Assumptions!$F$4:$F$44))</f>
        <v>0</v>
      </c>
      <c r="AM51" s="21" t="n">
        <f aca="false">IF($J51=0,0,MAX(0,NETWORKDAYS(MAX($K51,AM$4),MIN($L51,EOMONTH(AM$4,0)),Assumptions!$F$4:$F$44))/NETWORKDAYS($K51,$L51,Assumptions!$F$4:$F$44))</f>
        <v>0</v>
      </c>
      <c r="AN51" s="21" t="n">
        <f aca="false">IF($J51=0,0,MAX(0,NETWORKDAYS(MAX($K51,AN$4),MIN($L51,EOMONTH(AN$4,0)),Assumptions!$F$4:$F$44))/NETWORKDAYS($K51,$L51,Assumptions!$F$4:$F$44))</f>
        <v>0</v>
      </c>
      <c r="AO51" s="21" t="n">
        <f aca="false">IF($J51=0,0,MAX(0,NETWORKDAYS(MAX($K51,AO$4),MIN($L51,EOMONTH(AO$4,0)),Assumptions!$F$4:$F$44))/NETWORKDAYS($K51,$L51,Assumptions!$F$4:$F$44))</f>
        <v>0</v>
      </c>
      <c r="AP51" s="21" t="n">
        <f aca="false">IF($J51=0,0,MAX(0,NETWORKDAYS(MAX($K51,AP$4),MIN($L51,EOMONTH(AP$4,0)),Assumptions!$F$4:$F$44))/NETWORKDAYS($K51,$L51,Assumptions!$F$4:$F$44))</f>
        <v>0</v>
      </c>
      <c r="AQ51" s="21" t="n">
        <f aca="false">IF($J51=0,0,MAX(0,NETWORKDAYS(MAX($K51,AQ$4),MIN($L51,EOMONTH(AQ$4,0)),Assumptions!$F$4:$F$44))/NETWORKDAYS($K51,$L51,Assumptions!$F$4:$F$44))</f>
        <v>0</v>
      </c>
      <c r="AR51" s="21" t="n">
        <f aca="false">IF($J51=0,0,MAX(0,NETWORKDAYS(MAX($K51,AR$4),MIN($L51,EOMONTH(AR$4,0)),Assumptions!$F$4:$F$44))/NETWORKDAYS($K51,$L51,Assumptions!$F$4:$F$44))</f>
        <v>0</v>
      </c>
      <c r="AS51" s="21" t="n">
        <f aca="false">IF($J51=0,0,MAX(0,NETWORKDAYS(MAX($K51,AS$4),MIN($L51,EOMONTH(AS$4,0)),Assumptions!$F$4:$F$44))/NETWORKDAYS($K51,$L51,Assumptions!$F$4:$F$44))</f>
        <v>0</v>
      </c>
      <c r="AT51" s="21" t="n">
        <f aca="false">IF($J51=0,0,MAX(0,NETWORKDAYS(MAX($K51,AT$4),MIN($L51,EOMONTH(AT$4,0)),Assumptions!$F$4:$F$44))/NETWORKDAYS($K51,$L51,Assumptions!$F$4:$F$44))</f>
        <v>0</v>
      </c>
      <c r="AU51" s="21" t="n">
        <f aca="false">IF($J51=0,0,MAX(0,NETWORKDAYS(MAX($K51,AU$4),MIN($L51,EOMONTH(AU$4,0)),Assumptions!$F$4:$F$44))/NETWORKDAYS($K51,$L51,Assumptions!$F$4:$F$44))</f>
        <v>0</v>
      </c>
      <c r="AV51" s="21" t="n">
        <f aca="false">IF($J51=0,0,MAX(0,NETWORKDAYS(MAX($K51,AV$4),MIN($L51,EOMONTH(AV$4,0)),Assumptions!$F$4:$F$44))/NETWORKDAYS($K51,$L51,Assumptions!$F$4:$F$44))</f>
        <v>0</v>
      </c>
      <c r="AW51" s="21" t="n">
        <f aca="false">IF($J51=0,0,MAX(0,NETWORKDAYS(MAX($K51,AW$4),MIN($L51,EOMONTH(AW$4,0)),Assumptions!$F$4:$F$44))/NETWORKDAYS($K51,$L51,Assumptions!$F$4:$F$44))</f>
        <v>0</v>
      </c>
      <c r="AX51" s="21" t="n">
        <f aca="false">IF($J51=0,0,MAX(0,NETWORKDAYS(MAX($K51,AX$4),MIN($L51,EOMONTH(AX$4,0)),Assumptions!$F$4:$F$44))/NETWORKDAYS($K51,$L51,Assumptions!$F$4:$F$44))</f>
        <v>0</v>
      </c>
      <c r="AY51" s="21" t="n">
        <f aca="false">IF($J51=0,0,MAX(0,NETWORKDAYS(MAX($K51,AY$4),MIN($L51,EOMONTH(AY$4,0)),Assumptions!$F$4:$F$44))/NETWORKDAYS($K51,$L51,Assumptions!$F$4:$F$44))</f>
        <v>0</v>
      </c>
      <c r="AZ51" s="21" t="n">
        <f aca="false">IF($J51=0,0,MAX(0,NETWORKDAYS(MAX($K51,AZ$4),MIN($L51,EOMONTH(AZ$4,0)),Assumptions!$F$4:$F$44))/NETWORKDAYS($K51,$L51,Assumptions!$F$4:$F$44))</f>
        <v>0</v>
      </c>
      <c r="BA51" s="21" t="n">
        <f aca="false">IF($J51=0,0,MAX(0,NETWORKDAYS(MAX($K51,BA$4),MIN($L51,EOMONTH(BA$4,0)),Assumptions!$F$4:$F$44))/NETWORKDAYS($K51,$L51,Assumptions!$F$4:$F$44))</f>
        <v>0</v>
      </c>
      <c r="BB51" s="21" t="n">
        <f aca="false">IF($J51=0,0,MAX(0,NETWORKDAYS(MAX($K51,BB$4),MIN($L51,EOMONTH(BB$4,0)),Assumptions!$F$4:$F$44))/NETWORKDAYS($K51,$L51,Assumptions!$F$4:$F$44))</f>
        <v>0</v>
      </c>
      <c r="BC51" s="21" t="n">
        <f aca="false">IF($J51=0,0,MAX(0,NETWORKDAYS(MAX($K51,BC$4),MIN($L51,EOMONTH(BC$4,0)),Assumptions!$F$4:$F$44))/NETWORKDAYS($K51,$L51,Assumptions!$F$4:$F$44))</f>
        <v>0</v>
      </c>
    </row>
    <row r="52" customFormat="false" ht="15" hidden="false" customHeight="false" outlineLevel="2" collapsed="false">
      <c r="A52" s="27" t="n">
        <v>48</v>
      </c>
      <c r="B52" s="27" t="s">
        <v>198</v>
      </c>
      <c r="C52" s="27" t="n">
        <v>3</v>
      </c>
      <c r="D52" s="27" t="s">
        <v>92</v>
      </c>
      <c r="E52" s="28" t="s">
        <v>167</v>
      </c>
      <c r="F52" s="27" t="s">
        <v>154</v>
      </c>
      <c r="G52" s="27" t="s">
        <v>157</v>
      </c>
      <c r="H52" s="27" t="s">
        <v>57</v>
      </c>
      <c r="I52" s="29" t="n">
        <v>60</v>
      </c>
      <c r="J52" s="29" t="n">
        <v>11</v>
      </c>
      <c r="K52" s="30" t="n">
        <f aca="false">WORKDAY(Assumptions!$C$4,I52,Assumptions!$F$4:$F$44)</f>
        <v>46412</v>
      </c>
      <c r="L52" s="30" t="n">
        <f aca="false">IF(J52=0,K52,WORKDAY(K52,J52-1,Assumptions!$F$4:$F$44))</f>
        <v>46426</v>
      </c>
      <c r="M52" s="29"/>
      <c r="N52" s="31" t="n">
        <v>0</v>
      </c>
      <c r="O52" s="31" t="n">
        <v>0</v>
      </c>
      <c r="P52" s="31" t="n">
        <v>0</v>
      </c>
      <c r="Q52" s="31" t="n">
        <v>3</v>
      </c>
      <c r="R52" s="31" t="n">
        <v>0</v>
      </c>
      <c r="S52" s="31" t="n">
        <v>0</v>
      </c>
      <c r="T52" s="31" t="n">
        <v>0</v>
      </c>
      <c r="U52" s="31" t="n">
        <v>0</v>
      </c>
      <c r="V52" s="31" t="n">
        <v>10</v>
      </c>
      <c r="W52" s="31" t="n">
        <v>0</v>
      </c>
      <c r="X52" s="31" t="n">
        <v>0</v>
      </c>
      <c r="Y52" s="32" t="n">
        <f aca="false">SUM(N52:X52)</f>
        <v>13</v>
      </c>
      <c r="Z52" s="32" t="n">
        <f aca="false">Y52*(1+Assumptions!$C$5)</f>
        <v>14.95</v>
      </c>
      <c r="AA52" s="27" t="s">
        <v>168</v>
      </c>
      <c r="AB52" s="27" t="s">
        <v>95</v>
      </c>
      <c r="AC52" s="27"/>
      <c r="AD52" s="33" t="n">
        <v>0</v>
      </c>
      <c r="AF52" s="21" t="n">
        <f aca="false">IF($J52=0,0,MAX(0,NETWORKDAYS(MAX($K52,AF$4),MIN($L52,EOMONTH(AF$4,0)),Assumptions!$F$4:$F$44))/NETWORKDAYS($K52,$L52,Assumptions!$F$4:$F$44))</f>
        <v>0</v>
      </c>
      <c r="AG52" s="21" t="n">
        <f aca="false">IF($J52=0,0,MAX(0,NETWORKDAYS(MAX($K52,AG$4),MIN($L52,EOMONTH(AG$4,0)),Assumptions!$F$4:$F$44))/NETWORKDAYS($K52,$L52,Assumptions!$F$4:$F$44))</f>
        <v>0</v>
      </c>
      <c r="AH52" s="21" t="n">
        <f aca="false">IF($J52=0,0,MAX(0,NETWORKDAYS(MAX($K52,AH$4),MIN($L52,EOMONTH(AH$4,0)),Assumptions!$F$4:$F$44))/NETWORKDAYS($K52,$L52,Assumptions!$F$4:$F$44))</f>
        <v>0.454545454545455</v>
      </c>
      <c r="AI52" s="21" t="n">
        <f aca="false">IF($J52=0,0,MAX(0,NETWORKDAYS(MAX($K52,AI$4),MIN($L52,EOMONTH(AI$4,0)),Assumptions!$F$4:$F$44))/NETWORKDAYS($K52,$L52,Assumptions!$F$4:$F$44))</f>
        <v>0.545454545454545</v>
      </c>
      <c r="AJ52" s="21" t="n">
        <f aca="false">IF($J52=0,0,MAX(0,NETWORKDAYS(MAX($K52,AJ$4),MIN($L52,EOMONTH(AJ$4,0)),Assumptions!$F$4:$F$44))/NETWORKDAYS($K52,$L52,Assumptions!$F$4:$F$44))</f>
        <v>0</v>
      </c>
      <c r="AK52" s="21" t="n">
        <f aca="false">IF($J52=0,0,MAX(0,NETWORKDAYS(MAX($K52,AK$4),MIN($L52,EOMONTH(AK$4,0)),Assumptions!$F$4:$F$44))/NETWORKDAYS($K52,$L52,Assumptions!$F$4:$F$44))</f>
        <v>0</v>
      </c>
      <c r="AL52" s="21" t="n">
        <f aca="false">IF($J52=0,0,MAX(0,NETWORKDAYS(MAX($K52,AL$4),MIN($L52,EOMONTH(AL$4,0)),Assumptions!$F$4:$F$44))/NETWORKDAYS($K52,$L52,Assumptions!$F$4:$F$44))</f>
        <v>0</v>
      </c>
      <c r="AM52" s="21" t="n">
        <f aca="false">IF($J52=0,0,MAX(0,NETWORKDAYS(MAX($K52,AM$4),MIN($L52,EOMONTH(AM$4,0)),Assumptions!$F$4:$F$44))/NETWORKDAYS($K52,$L52,Assumptions!$F$4:$F$44))</f>
        <v>0</v>
      </c>
      <c r="AN52" s="21" t="n">
        <f aca="false">IF($J52=0,0,MAX(0,NETWORKDAYS(MAX($K52,AN$4),MIN($L52,EOMONTH(AN$4,0)),Assumptions!$F$4:$F$44))/NETWORKDAYS($K52,$L52,Assumptions!$F$4:$F$44))</f>
        <v>0</v>
      </c>
      <c r="AO52" s="21" t="n">
        <f aca="false">IF($J52=0,0,MAX(0,NETWORKDAYS(MAX($K52,AO$4),MIN($L52,EOMONTH(AO$4,0)),Assumptions!$F$4:$F$44))/NETWORKDAYS($K52,$L52,Assumptions!$F$4:$F$44))</f>
        <v>0</v>
      </c>
      <c r="AP52" s="21" t="n">
        <f aca="false">IF($J52=0,0,MAX(0,NETWORKDAYS(MAX($K52,AP$4),MIN($L52,EOMONTH(AP$4,0)),Assumptions!$F$4:$F$44))/NETWORKDAYS($K52,$L52,Assumptions!$F$4:$F$44))</f>
        <v>0</v>
      </c>
      <c r="AQ52" s="21" t="n">
        <f aca="false">IF($J52=0,0,MAX(0,NETWORKDAYS(MAX($K52,AQ$4),MIN($L52,EOMONTH(AQ$4,0)),Assumptions!$F$4:$F$44))/NETWORKDAYS($K52,$L52,Assumptions!$F$4:$F$44))</f>
        <v>0</v>
      </c>
      <c r="AR52" s="21" t="n">
        <f aca="false">IF($J52=0,0,MAX(0,NETWORKDAYS(MAX($K52,AR$4),MIN($L52,EOMONTH(AR$4,0)),Assumptions!$F$4:$F$44))/NETWORKDAYS($K52,$L52,Assumptions!$F$4:$F$44))</f>
        <v>0</v>
      </c>
      <c r="AS52" s="21" t="n">
        <f aca="false">IF($J52=0,0,MAX(0,NETWORKDAYS(MAX($K52,AS$4),MIN($L52,EOMONTH(AS$4,0)),Assumptions!$F$4:$F$44))/NETWORKDAYS($K52,$L52,Assumptions!$F$4:$F$44))</f>
        <v>0</v>
      </c>
      <c r="AT52" s="21" t="n">
        <f aca="false">IF($J52=0,0,MAX(0,NETWORKDAYS(MAX($K52,AT$4),MIN($L52,EOMONTH(AT$4,0)),Assumptions!$F$4:$F$44))/NETWORKDAYS($K52,$L52,Assumptions!$F$4:$F$44))</f>
        <v>0</v>
      </c>
      <c r="AU52" s="21" t="n">
        <f aca="false">IF($J52=0,0,MAX(0,NETWORKDAYS(MAX($K52,AU$4),MIN($L52,EOMONTH(AU$4,0)),Assumptions!$F$4:$F$44))/NETWORKDAYS($K52,$L52,Assumptions!$F$4:$F$44))</f>
        <v>0</v>
      </c>
      <c r="AV52" s="21" t="n">
        <f aca="false">IF($J52=0,0,MAX(0,NETWORKDAYS(MAX($K52,AV$4),MIN($L52,EOMONTH(AV$4,0)),Assumptions!$F$4:$F$44))/NETWORKDAYS($K52,$L52,Assumptions!$F$4:$F$44))</f>
        <v>0</v>
      </c>
      <c r="AW52" s="21" t="n">
        <f aca="false">IF($J52=0,0,MAX(0,NETWORKDAYS(MAX($K52,AW$4),MIN($L52,EOMONTH(AW$4,0)),Assumptions!$F$4:$F$44))/NETWORKDAYS($K52,$L52,Assumptions!$F$4:$F$44))</f>
        <v>0</v>
      </c>
      <c r="AX52" s="21" t="n">
        <f aca="false">IF($J52=0,0,MAX(0,NETWORKDAYS(MAX($K52,AX$4),MIN($L52,EOMONTH(AX$4,0)),Assumptions!$F$4:$F$44))/NETWORKDAYS($K52,$L52,Assumptions!$F$4:$F$44))</f>
        <v>0</v>
      </c>
      <c r="AY52" s="21" t="n">
        <f aca="false">IF($J52=0,0,MAX(0,NETWORKDAYS(MAX($K52,AY$4),MIN($L52,EOMONTH(AY$4,0)),Assumptions!$F$4:$F$44))/NETWORKDAYS($K52,$L52,Assumptions!$F$4:$F$44))</f>
        <v>0</v>
      </c>
      <c r="AZ52" s="21" t="n">
        <f aca="false">IF($J52=0,0,MAX(0,NETWORKDAYS(MAX($K52,AZ$4),MIN($L52,EOMONTH(AZ$4,0)),Assumptions!$F$4:$F$44))/NETWORKDAYS($K52,$L52,Assumptions!$F$4:$F$44))</f>
        <v>0</v>
      </c>
      <c r="BA52" s="21" t="n">
        <f aca="false">IF($J52=0,0,MAX(0,NETWORKDAYS(MAX($K52,BA$4),MIN($L52,EOMONTH(BA$4,0)),Assumptions!$F$4:$F$44))/NETWORKDAYS($K52,$L52,Assumptions!$F$4:$F$44))</f>
        <v>0</v>
      </c>
      <c r="BB52" s="21" t="n">
        <f aca="false">IF($J52=0,0,MAX(0,NETWORKDAYS(MAX($K52,BB$4),MIN($L52,EOMONTH(BB$4,0)),Assumptions!$F$4:$F$44))/NETWORKDAYS($K52,$L52,Assumptions!$F$4:$F$44))</f>
        <v>0</v>
      </c>
      <c r="BC52" s="21" t="n">
        <f aca="false">IF($J52=0,0,MAX(0,NETWORKDAYS(MAX($K52,BC$4),MIN($L52,EOMONTH(BC$4,0)),Assumptions!$F$4:$F$44))/NETWORKDAYS($K52,$L52,Assumptions!$F$4:$F$44))</f>
        <v>0</v>
      </c>
    </row>
    <row r="53" customFormat="false" ht="15" hidden="false" customHeight="false" outlineLevel="1" collapsed="false">
      <c r="A53" s="22" t="n">
        <v>49</v>
      </c>
      <c r="B53" s="22" t="s">
        <v>199</v>
      </c>
      <c r="C53" s="22" t="n">
        <v>2</v>
      </c>
      <c r="D53" s="22" t="s">
        <v>89</v>
      </c>
      <c r="E53" s="23" t="s">
        <v>200</v>
      </c>
      <c r="F53" s="22" t="s">
        <v>154</v>
      </c>
      <c r="G53" s="22" t="s">
        <v>157</v>
      </c>
      <c r="H53" s="22"/>
      <c r="I53" s="22"/>
      <c r="J53" s="22" t="n">
        <f aca="false">NETWORKDAYS(K53,L53,Assumptions!$F$4:$F$44)</f>
        <v>39</v>
      </c>
      <c r="K53" s="24" t="n">
        <f aca="false">MIN(K54:K56)</f>
        <v>46365</v>
      </c>
      <c r="L53" s="24" t="n">
        <f aca="false">MAX(L54:L56)</f>
        <v>46419</v>
      </c>
      <c r="M53" s="22"/>
      <c r="N53" s="25" t="n">
        <f aca="false">SUMPRODUCT(($C$54:$C$56=3)*(N54:N56))</f>
        <v>0</v>
      </c>
      <c r="O53" s="25" t="n">
        <f aca="false">SUMPRODUCT(($C$54:$C$56=3)*(O54:O56))</f>
        <v>4</v>
      </c>
      <c r="P53" s="25" t="n">
        <f aca="false">SUMPRODUCT(($C$54:$C$56=3)*(P54:P56))</f>
        <v>2</v>
      </c>
      <c r="Q53" s="25" t="n">
        <f aca="false">SUMPRODUCT(($C$54:$C$56=3)*(Q54:Q56))</f>
        <v>20</v>
      </c>
      <c r="R53" s="25" t="n">
        <f aca="false">SUMPRODUCT(($C$54:$C$56=3)*(R54:R56))</f>
        <v>0</v>
      </c>
      <c r="S53" s="25" t="n">
        <f aca="false">SUMPRODUCT(($C$54:$C$56=3)*(S54:S56))</f>
        <v>0</v>
      </c>
      <c r="T53" s="25" t="n">
        <f aca="false">SUMPRODUCT(($C$54:$C$56=3)*(T54:T56))</f>
        <v>0</v>
      </c>
      <c r="U53" s="25" t="n">
        <f aca="false">SUMPRODUCT(($C$54:$C$56=3)*(U54:U56))</f>
        <v>0</v>
      </c>
      <c r="V53" s="25" t="n">
        <f aca="false">SUMPRODUCT(($C$54:$C$56=3)*(V54:V56))</f>
        <v>6</v>
      </c>
      <c r="W53" s="25" t="n">
        <f aca="false">SUMPRODUCT(($C$54:$C$56=3)*(W54:W56))</f>
        <v>0</v>
      </c>
      <c r="X53" s="25" t="n">
        <f aca="false">SUMPRODUCT(($C$54:$C$56=3)*(X54:X56))</f>
        <v>0</v>
      </c>
      <c r="Y53" s="25" t="n">
        <f aca="false">SUM(N53:X53)</f>
        <v>32</v>
      </c>
      <c r="Z53" s="25" t="n">
        <f aca="false">Y53*(1+Assumptions!$C$5)</f>
        <v>36.8</v>
      </c>
      <c r="AA53" s="22" t="s">
        <v>201</v>
      </c>
      <c r="AB53" s="22"/>
      <c r="AC53" s="22"/>
      <c r="AD53" s="26"/>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1" t="n">
        <v>0</v>
      </c>
      <c r="AU53" s="21" t="n">
        <v>0</v>
      </c>
      <c r="AV53" s="21" t="n">
        <v>0</v>
      </c>
      <c r="AW53" s="21" t="n">
        <v>0</v>
      </c>
      <c r="AX53" s="21" t="n">
        <v>0</v>
      </c>
      <c r="AY53" s="21" t="n">
        <v>0</v>
      </c>
      <c r="AZ53" s="21" t="n">
        <v>0</v>
      </c>
      <c r="BA53" s="21" t="n">
        <v>0</v>
      </c>
      <c r="BB53" s="21" t="n">
        <v>0</v>
      </c>
      <c r="BC53" s="21" t="n">
        <v>0</v>
      </c>
    </row>
    <row r="54" customFormat="false" ht="15" hidden="false" customHeight="false" outlineLevel="2" collapsed="false">
      <c r="A54" s="27" t="n">
        <v>50</v>
      </c>
      <c r="B54" s="27" t="s">
        <v>202</v>
      </c>
      <c r="C54" s="27" t="n">
        <v>3</v>
      </c>
      <c r="D54" s="27" t="s">
        <v>92</v>
      </c>
      <c r="E54" s="28" t="s">
        <v>160</v>
      </c>
      <c r="F54" s="27" t="s">
        <v>154</v>
      </c>
      <c r="G54" s="27" t="s">
        <v>157</v>
      </c>
      <c r="H54" s="27" t="s">
        <v>45</v>
      </c>
      <c r="I54" s="29" t="n">
        <v>27</v>
      </c>
      <c r="J54" s="29" t="n">
        <v>8</v>
      </c>
      <c r="K54" s="30" t="n">
        <f aca="false">WORKDAY(Assumptions!$C$4,I54,Assumptions!$F$4:$F$44)</f>
        <v>46365</v>
      </c>
      <c r="L54" s="30" t="n">
        <f aca="false">IF(J54=0,K54,WORKDAY(K54,J54-1,Assumptions!$F$4:$F$44))</f>
        <v>46374</v>
      </c>
      <c r="M54" s="29" t="s">
        <v>161</v>
      </c>
      <c r="N54" s="31" t="n">
        <v>0</v>
      </c>
      <c r="O54" s="31" t="n">
        <v>0</v>
      </c>
      <c r="P54" s="31" t="n">
        <v>2</v>
      </c>
      <c r="Q54" s="31" t="n">
        <v>2</v>
      </c>
      <c r="R54" s="31" t="n">
        <v>0</v>
      </c>
      <c r="S54" s="31" t="n">
        <v>0</v>
      </c>
      <c r="T54" s="31" t="n">
        <v>0</v>
      </c>
      <c r="U54" s="31" t="n">
        <v>0</v>
      </c>
      <c r="V54" s="31" t="n">
        <v>0</v>
      </c>
      <c r="W54" s="31" t="n">
        <v>0</v>
      </c>
      <c r="X54" s="31" t="n">
        <v>0</v>
      </c>
      <c r="Y54" s="32" t="n">
        <f aca="false">SUM(N54:X54)</f>
        <v>4</v>
      </c>
      <c r="Z54" s="32" t="n">
        <f aca="false">Y54*(1+Assumptions!$C$5)</f>
        <v>4.6</v>
      </c>
      <c r="AA54" s="27" t="s">
        <v>162</v>
      </c>
      <c r="AB54" s="27" t="s">
        <v>95</v>
      </c>
      <c r="AC54" s="27"/>
      <c r="AD54" s="33" t="n">
        <v>0</v>
      </c>
      <c r="AF54" s="21" t="n">
        <f aca="false">IF($J54=0,0,MAX(0,NETWORKDAYS(MAX($K54,AF$4),MIN($L54,EOMONTH(AF$4,0)),Assumptions!$F$4:$F$44))/NETWORKDAYS($K54,$L54,Assumptions!$F$4:$F$44))</f>
        <v>0</v>
      </c>
      <c r="AG54" s="21" t="n">
        <f aca="false">IF($J54=0,0,MAX(0,NETWORKDAYS(MAX($K54,AG$4),MIN($L54,EOMONTH(AG$4,0)),Assumptions!$F$4:$F$44))/NETWORKDAYS($K54,$L54,Assumptions!$F$4:$F$44))</f>
        <v>1</v>
      </c>
      <c r="AH54" s="21" t="n">
        <f aca="false">IF($J54=0,0,MAX(0,NETWORKDAYS(MAX($K54,AH$4),MIN($L54,EOMONTH(AH$4,0)),Assumptions!$F$4:$F$44))/NETWORKDAYS($K54,$L54,Assumptions!$F$4:$F$44))</f>
        <v>0</v>
      </c>
      <c r="AI54" s="21" t="n">
        <f aca="false">IF($J54=0,0,MAX(0,NETWORKDAYS(MAX($K54,AI$4),MIN($L54,EOMONTH(AI$4,0)),Assumptions!$F$4:$F$44))/NETWORKDAYS($K54,$L54,Assumptions!$F$4:$F$44))</f>
        <v>0</v>
      </c>
      <c r="AJ54" s="21" t="n">
        <f aca="false">IF($J54=0,0,MAX(0,NETWORKDAYS(MAX($K54,AJ$4),MIN($L54,EOMONTH(AJ$4,0)),Assumptions!$F$4:$F$44))/NETWORKDAYS($K54,$L54,Assumptions!$F$4:$F$44))</f>
        <v>0</v>
      </c>
      <c r="AK54" s="21" t="n">
        <f aca="false">IF($J54=0,0,MAX(0,NETWORKDAYS(MAX($K54,AK$4),MIN($L54,EOMONTH(AK$4,0)),Assumptions!$F$4:$F$44))/NETWORKDAYS($K54,$L54,Assumptions!$F$4:$F$44))</f>
        <v>0</v>
      </c>
      <c r="AL54" s="21" t="n">
        <f aca="false">IF($J54=0,0,MAX(0,NETWORKDAYS(MAX($K54,AL$4),MIN($L54,EOMONTH(AL$4,0)),Assumptions!$F$4:$F$44))/NETWORKDAYS($K54,$L54,Assumptions!$F$4:$F$44))</f>
        <v>0</v>
      </c>
      <c r="AM54" s="21" t="n">
        <f aca="false">IF($J54=0,0,MAX(0,NETWORKDAYS(MAX($K54,AM$4),MIN($L54,EOMONTH(AM$4,0)),Assumptions!$F$4:$F$44))/NETWORKDAYS($K54,$L54,Assumptions!$F$4:$F$44))</f>
        <v>0</v>
      </c>
      <c r="AN54" s="21" t="n">
        <f aca="false">IF($J54=0,0,MAX(0,NETWORKDAYS(MAX($K54,AN$4),MIN($L54,EOMONTH(AN$4,0)),Assumptions!$F$4:$F$44))/NETWORKDAYS($K54,$L54,Assumptions!$F$4:$F$44))</f>
        <v>0</v>
      </c>
      <c r="AO54" s="21" t="n">
        <f aca="false">IF($J54=0,0,MAX(0,NETWORKDAYS(MAX($K54,AO$4),MIN($L54,EOMONTH(AO$4,0)),Assumptions!$F$4:$F$44))/NETWORKDAYS($K54,$L54,Assumptions!$F$4:$F$44))</f>
        <v>0</v>
      </c>
      <c r="AP54" s="21" t="n">
        <f aca="false">IF($J54=0,0,MAX(0,NETWORKDAYS(MAX($K54,AP$4),MIN($L54,EOMONTH(AP$4,0)),Assumptions!$F$4:$F$44))/NETWORKDAYS($K54,$L54,Assumptions!$F$4:$F$44))</f>
        <v>0</v>
      </c>
      <c r="AQ54" s="21" t="n">
        <f aca="false">IF($J54=0,0,MAX(0,NETWORKDAYS(MAX($K54,AQ$4),MIN($L54,EOMONTH(AQ$4,0)),Assumptions!$F$4:$F$44))/NETWORKDAYS($K54,$L54,Assumptions!$F$4:$F$44))</f>
        <v>0</v>
      </c>
      <c r="AR54" s="21" t="n">
        <f aca="false">IF($J54=0,0,MAX(0,NETWORKDAYS(MAX($K54,AR$4),MIN($L54,EOMONTH(AR$4,0)),Assumptions!$F$4:$F$44))/NETWORKDAYS($K54,$L54,Assumptions!$F$4:$F$44))</f>
        <v>0</v>
      </c>
      <c r="AS54" s="21" t="n">
        <f aca="false">IF($J54=0,0,MAX(0,NETWORKDAYS(MAX($K54,AS$4),MIN($L54,EOMONTH(AS$4,0)),Assumptions!$F$4:$F$44))/NETWORKDAYS($K54,$L54,Assumptions!$F$4:$F$44))</f>
        <v>0</v>
      </c>
      <c r="AT54" s="21" t="n">
        <f aca="false">IF($J54=0,0,MAX(0,NETWORKDAYS(MAX($K54,AT$4),MIN($L54,EOMONTH(AT$4,0)),Assumptions!$F$4:$F$44))/NETWORKDAYS($K54,$L54,Assumptions!$F$4:$F$44))</f>
        <v>0</v>
      </c>
      <c r="AU54" s="21" t="n">
        <f aca="false">IF($J54=0,0,MAX(0,NETWORKDAYS(MAX($K54,AU$4),MIN($L54,EOMONTH(AU$4,0)),Assumptions!$F$4:$F$44))/NETWORKDAYS($K54,$L54,Assumptions!$F$4:$F$44))</f>
        <v>0</v>
      </c>
      <c r="AV54" s="21" t="n">
        <f aca="false">IF($J54=0,0,MAX(0,NETWORKDAYS(MAX($K54,AV$4),MIN($L54,EOMONTH(AV$4,0)),Assumptions!$F$4:$F$44))/NETWORKDAYS($K54,$L54,Assumptions!$F$4:$F$44))</f>
        <v>0</v>
      </c>
      <c r="AW54" s="21" t="n">
        <f aca="false">IF($J54=0,0,MAX(0,NETWORKDAYS(MAX($K54,AW$4),MIN($L54,EOMONTH(AW$4,0)),Assumptions!$F$4:$F$44))/NETWORKDAYS($K54,$L54,Assumptions!$F$4:$F$44))</f>
        <v>0</v>
      </c>
      <c r="AX54" s="21" t="n">
        <f aca="false">IF($J54=0,0,MAX(0,NETWORKDAYS(MAX($K54,AX$4),MIN($L54,EOMONTH(AX$4,0)),Assumptions!$F$4:$F$44))/NETWORKDAYS($K54,$L54,Assumptions!$F$4:$F$44))</f>
        <v>0</v>
      </c>
      <c r="AY54" s="21" t="n">
        <f aca="false">IF($J54=0,0,MAX(0,NETWORKDAYS(MAX($K54,AY$4),MIN($L54,EOMONTH(AY$4,0)),Assumptions!$F$4:$F$44))/NETWORKDAYS($K54,$L54,Assumptions!$F$4:$F$44))</f>
        <v>0</v>
      </c>
      <c r="AZ54" s="21" t="n">
        <f aca="false">IF($J54=0,0,MAX(0,NETWORKDAYS(MAX($K54,AZ$4),MIN($L54,EOMONTH(AZ$4,0)),Assumptions!$F$4:$F$44))/NETWORKDAYS($K54,$L54,Assumptions!$F$4:$F$44))</f>
        <v>0</v>
      </c>
      <c r="BA54" s="21" t="n">
        <f aca="false">IF($J54=0,0,MAX(0,NETWORKDAYS(MAX($K54,BA$4),MIN($L54,EOMONTH(BA$4,0)),Assumptions!$F$4:$F$44))/NETWORKDAYS($K54,$L54,Assumptions!$F$4:$F$44))</f>
        <v>0</v>
      </c>
      <c r="BB54" s="21" t="n">
        <f aca="false">IF($J54=0,0,MAX(0,NETWORKDAYS(MAX($K54,BB$4),MIN($L54,EOMONTH(BB$4,0)),Assumptions!$F$4:$F$44))/NETWORKDAYS($K54,$L54,Assumptions!$F$4:$F$44))</f>
        <v>0</v>
      </c>
      <c r="BC54" s="21" t="n">
        <f aca="false">IF($J54=0,0,MAX(0,NETWORKDAYS(MAX($K54,BC$4),MIN($L54,EOMONTH(BC$4,0)),Assumptions!$F$4:$F$44))/NETWORKDAYS($K54,$L54,Assumptions!$F$4:$F$44))</f>
        <v>0</v>
      </c>
    </row>
    <row r="55" customFormat="false" ht="15" hidden="false" customHeight="false" outlineLevel="2" collapsed="false">
      <c r="A55" s="27" t="n">
        <v>51</v>
      </c>
      <c r="B55" s="27" t="s">
        <v>203</v>
      </c>
      <c r="C55" s="27" t="n">
        <v>3</v>
      </c>
      <c r="D55" s="27" t="s">
        <v>92</v>
      </c>
      <c r="E55" s="28" t="s">
        <v>164</v>
      </c>
      <c r="F55" s="27" t="s">
        <v>154</v>
      </c>
      <c r="G55" s="27" t="s">
        <v>157</v>
      </c>
      <c r="H55" s="27" t="s">
        <v>47</v>
      </c>
      <c r="I55" s="29" t="n">
        <v>35</v>
      </c>
      <c r="J55" s="29" t="n">
        <v>24</v>
      </c>
      <c r="K55" s="30" t="n">
        <f aca="false">WORKDAY(Assumptions!$C$4,I55,Assumptions!$F$4:$F$44)</f>
        <v>46377</v>
      </c>
      <c r="L55" s="30" t="n">
        <f aca="false">IF(J55=0,K55,WORKDAY(K55,J55-1,Assumptions!$F$4:$F$44))</f>
        <v>46408</v>
      </c>
      <c r="M55" s="29"/>
      <c r="N55" s="31" t="n">
        <v>0</v>
      </c>
      <c r="O55" s="31" t="n">
        <v>4</v>
      </c>
      <c r="P55" s="31" t="n">
        <v>0</v>
      </c>
      <c r="Q55" s="31" t="n">
        <v>16</v>
      </c>
      <c r="R55" s="31" t="n">
        <v>0</v>
      </c>
      <c r="S55" s="31" t="n">
        <v>0</v>
      </c>
      <c r="T55" s="31" t="n">
        <v>0</v>
      </c>
      <c r="U55" s="31" t="n">
        <v>0</v>
      </c>
      <c r="V55" s="31" t="n">
        <v>0</v>
      </c>
      <c r="W55" s="31" t="n">
        <v>0</v>
      </c>
      <c r="X55" s="31" t="n">
        <v>0</v>
      </c>
      <c r="Y55" s="32" t="n">
        <f aca="false">SUM(N55:X55)</f>
        <v>20</v>
      </c>
      <c r="Z55" s="32" t="n">
        <f aca="false">Y55*(1+Assumptions!$C$5)</f>
        <v>23</v>
      </c>
      <c r="AA55" s="27" t="s">
        <v>165</v>
      </c>
      <c r="AB55" s="27" t="s">
        <v>95</v>
      </c>
      <c r="AC55" s="27"/>
      <c r="AD55" s="33" t="n">
        <v>0</v>
      </c>
      <c r="AF55" s="21" t="n">
        <f aca="false">IF($J55=0,0,MAX(0,NETWORKDAYS(MAX($K55,AF$4),MIN($L55,EOMONTH(AF$4,0)),Assumptions!$F$4:$F$44))/NETWORKDAYS($K55,$L55,Assumptions!$F$4:$F$44))</f>
        <v>0</v>
      </c>
      <c r="AG55" s="21" t="n">
        <f aca="false">IF($J55=0,0,MAX(0,NETWORKDAYS(MAX($K55,AG$4),MIN($L55,EOMONTH(AG$4,0)),Assumptions!$F$4:$F$44))/NETWORKDAYS($K55,$L55,Assumptions!$F$4:$F$44))</f>
        <v>0.375</v>
      </c>
      <c r="AH55" s="21" t="n">
        <f aca="false">IF($J55=0,0,MAX(0,NETWORKDAYS(MAX($K55,AH$4),MIN($L55,EOMONTH(AH$4,0)),Assumptions!$F$4:$F$44))/NETWORKDAYS($K55,$L55,Assumptions!$F$4:$F$44))</f>
        <v>0.625</v>
      </c>
      <c r="AI55" s="21" t="n">
        <f aca="false">IF($J55=0,0,MAX(0,NETWORKDAYS(MAX($K55,AI$4),MIN($L55,EOMONTH(AI$4,0)),Assumptions!$F$4:$F$44))/NETWORKDAYS($K55,$L55,Assumptions!$F$4:$F$44))</f>
        <v>0</v>
      </c>
      <c r="AJ55" s="21" t="n">
        <f aca="false">IF($J55=0,0,MAX(0,NETWORKDAYS(MAX($K55,AJ$4),MIN($L55,EOMONTH(AJ$4,0)),Assumptions!$F$4:$F$44))/NETWORKDAYS($K55,$L55,Assumptions!$F$4:$F$44))</f>
        <v>0</v>
      </c>
      <c r="AK55" s="21" t="n">
        <f aca="false">IF($J55=0,0,MAX(0,NETWORKDAYS(MAX($K55,AK$4),MIN($L55,EOMONTH(AK$4,0)),Assumptions!$F$4:$F$44))/NETWORKDAYS($K55,$L55,Assumptions!$F$4:$F$44))</f>
        <v>0</v>
      </c>
      <c r="AL55" s="21" t="n">
        <f aca="false">IF($J55=0,0,MAX(0,NETWORKDAYS(MAX($K55,AL$4),MIN($L55,EOMONTH(AL$4,0)),Assumptions!$F$4:$F$44))/NETWORKDAYS($K55,$L55,Assumptions!$F$4:$F$44))</f>
        <v>0</v>
      </c>
      <c r="AM55" s="21" t="n">
        <f aca="false">IF($J55=0,0,MAX(0,NETWORKDAYS(MAX($K55,AM$4),MIN($L55,EOMONTH(AM$4,0)),Assumptions!$F$4:$F$44))/NETWORKDAYS($K55,$L55,Assumptions!$F$4:$F$44))</f>
        <v>0</v>
      </c>
      <c r="AN55" s="21" t="n">
        <f aca="false">IF($J55=0,0,MAX(0,NETWORKDAYS(MAX($K55,AN$4),MIN($L55,EOMONTH(AN$4,0)),Assumptions!$F$4:$F$44))/NETWORKDAYS($K55,$L55,Assumptions!$F$4:$F$44))</f>
        <v>0</v>
      </c>
      <c r="AO55" s="21" t="n">
        <f aca="false">IF($J55=0,0,MAX(0,NETWORKDAYS(MAX($K55,AO$4),MIN($L55,EOMONTH(AO$4,0)),Assumptions!$F$4:$F$44))/NETWORKDAYS($K55,$L55,Assumptions!$F$4:$F$44))</f>
        <v>0</v>
      </c>
      <c r="AP55" s="21" t="n">
        <f aca="false">IF($J55=0,0,MAX(0,NETWORKDAYS(MAX($K55,AP$4),MIN($L55,EOMONTH(AP$4,0)),Assumptions!$F$4:$F$44))/NETWORKDAYS($K55,$L55,Assumptions!$F$4:$F$44))</f>
        <v>0</v>
      </c>
      <c r="AQ55" s="21" t="n">
        <f aca="false">IF($J55=0,0,MAX(0,NETWORKDAYS(MAX($K55,AQ$4),MIN($L55,EOMONTH(AQ$4,0)),Assumptions!$F$4:$F$44))/NETWORKDAYS($K55,$L55,Assumptions!$F$4:$F$44))</f>
        <v>0</v>
      </c>
      <c r="AR55" s="21" t="n">
        <f aca="false">IF($J55=0,0,MAX(0,NETWORKDAYS(MAX($K55,AR$4),MIN($L55,EOMONTH(AR$4,0)),Assumptions!$F$4:$F$44))/NETWORKDAYS($K55,$L55,Assumptions!$F$4:$F$44))</f>
        <v>0</v>
      </c>
      <c r="AS55" s="21" t="n">
        <f aca="false">IF($J55=0,0,MAX(0,NETWORKDAYS(MAX($K55,AS$4),MIN($L55,EOMONTH(AS$4,0)),Assumptions!$F$4:$F$44))/NETWORKDAYS($K55,$L55,Assumptions!$F$4:$F$44))</f>
        <v>0</v>
      </c>
      <c r="AT55" s="21" t="n">
        <f aca="false">IF($J55=0,0,MAX(0,NETWORKDAYS(MAX($K55,AT$4),MIN($L55,EOMONTH(AT$4,0)),Assumptions!$F$4:$F$44))/NETWORKDAYS($K55,$L55,Assumptions!$F$4:$F$44))</f>
        <v>0</v>
      </c>
      <c r="AU55" s="21" t="n">
        <f aca="false">IF($J55=0,0,MAX(0,NETWORKDAYS(MAX($K55,AU$4),MIN($L55,EOMONTH(AU$4,0)),Assumptions!$F$4:$F$44))/NETWORKDAYS($K55,$L55,Assumptions!$F$4:$F$44))</f>
        <v>0</v>
      </c>
      <c r="AV55" s="21" t="n">
        <f aca="false">IF($J55=0,0,MAX(0,NETWORKDAYS(MAX($K55,AV$4),MIN($L55,EOMONTH(AV$4,0)),Assumptions!$F$4:$F$44))/NETWORKDAYS($K55,$L55,Assumptions!$F$4:$F$44))</f>
        <v>0</v>
      </c>
      <c r="AW55" s="21" t="n">
        <f aca="false">IF($J55=0,0,MAX(0,NETWORKDAYS(MAX($K55,AW$4),MIN($L55,EOMONTH(AW$4,0)),Assumptions!$F$4:$F$44))/NETWORKDAYS($K55,$L55,Assumptions!$F$4:$F$44))</f>
        <v>0</v>
      </c>
      <c r="AX55" s="21" t="n">
        <f aca="false">IF($J55=0,0,MAX(0,NETWORKDAYS(MAX($K55,AX$4),MIN($L55,EOMONTH(AX$4,0)),Assumptions!$F$4:$F$44))/NETWORKDAYS($K55,$L55,Assumptions!$F$4:$F$44))</f>
        <v>0</v>
      </c>
      <c r="AY55" s="21" t="n">
        <f aca="false">IF($J55=0,0,MAX(0,NETWORKDAYS(MAX($K55,AY$4),MIN($L55,EOMONTH(AY$4,0)),Assumptions!$F$4:$F$44))/NETWORKDAYS($K55,$L55,Assumptions!$F$4:$F$44))</f>
        <v>0</v>
      </c>
      <c r="AZ55" s="21" t="n">
        <f aca="false">IF($J55=0,0,MAX(0,NETWORKDAYS(MAX($K55,AZ$4),MIN($L55,EOMONTH(AZ$4,0)),Assumptions!$F$4:$F$44))/NETWORKDAYS($K55,$L55,Assumptions!$F$4:$F$44))</f>
        <v>0</v>
      </c>
      <c r="BA55" s="21" t="n">
        <f aca="false">IF($J55=0,0,MAX(0,NETWORKDAYS(MAX($K55,BA$4),MIN($L55,EOMONTH(BA$4,0)),Assumptions!$F$4:$F$44))/NETWORKDAYS($K55,$L55,Assumptions!$F$4:$F$44))</f>
        <v>0</v>
      </c>
      <c r="BB55" s="21" t="n">
        <f aca="false">IF($J55=0,0,MAX(0,NETWORKDAYS(MAX($K55,BB$4),MIN($L55,EOMONTH(BB$4,0)),Assumptions!$F$4:$F$44))/NETWORKDAYS($K55,$L55,Assumptions!$F$4:$F$44))</f>
        <v>0</v>
      </c>
      <c r="BC55" s="21" t="n">
        <f aca="false">IF($J55=0,0,MAX(0,NETWORKDAYS(MAX($K55,BC$4),MIN($L55,EOMONTH(BC$4,0)),Assumptions!$F$4:$F$44))/NETWORKDAYS($K55,$L55,Assumptions!$F$4:$F$44))</f>
        <v>0</v>
      </c>
    </row>
    <row r="56" customFormat="false" ht="15" hidden="false" customHeight="false" outlineLevel="2" collapsed="false">
      <c r="A56" s="27" t="n">
        <v>52</v>
      </c>
      <c r="B56" s="27" t="s">
        <v>204</v>
      </c>
      <c r="C56" s="27" t="n">
        <v>3</v>
      </c>
      <c r="D56" s="27" t="s">
        <v>92</v>
      </c>
      <c r="E56" s="28" t="s">
        <v>167</v>
      </c>
      <c r="F56" s="27" t="s">
        <v>154</v>
      </c>
      <c r="G56" s="27" t="s">
        <v>157</v>
      </c>
      <c r="H56" s="27" t="s">
        <v>57</v>
      </c>
      <c r="I56" s="29" t="n">
        <v>56</v>
      </c>
      <c r="J56" s="29" t="n">
        <v>10</v>
      </c>
      <c r="K56" s="30" t="n">
        <f aca="false">WORKDAY(Assumptions!$C$4,I56,Assumptions!$F$4:$F$44)</f>
        <v>46406</v>
      </c>
      <c r="L56" s="30" t="n">
        <f aca="false">IF(J56=0,K56,WORKDAY(K56,J56-1,Assumptions!$F$4:$F$44))</f>
        <v>46419</v>
      </c>
      <c r="M56" s="29"/>
      <c r="N56" s="31" t="n">
        <v>0</v>
      </c>
      <c r="O56" s="31" t="n">
        <v>0</v>
      </c>
      <c r="P56" s="31" t="n">
        <v>0</v>
      </c>
      <c r="Q56" s="31" t="n">
        <v>2</v>
      </c>
      <c r="R56" s="31" t="n">
        <v>0</v>
      </c>
      <c r="S56" s="31" t="n">
        <v>0</v>
      </c>
      <c r="T56" s="31" t="n">
        <v>0</v>
      </c>
      <c r="U56" s="31" t="n">
        <v>0</v>
      </c>
      <c r="V56" s="31" t="n">
        <v>6</v>
      </c>
      <c r="W56" s="31" t="n">
        <v>0</v>
      </c>
      <c r="X56" s="31" t="n">
        <v>0</v>
      </c>
      <c r="Y56" s="32" t="n">
        <f aca="false">SUM(N56:X56)</f>
        <v>8</v>
      </c>
      <c r="Z56" s="32" t="n">
        <f aca="false">Y56*(1+Assumptions!$C$5)</f>
        <v>9.2</v>
      </c>
      <c r="AA56" s="27" t="s">
        <v>168</v>
      </c>
      <c r="AB56" s="27" t="s">
        <v>95</v>
      </c>
      <c r="AC56" s="27"/>
      <c r="AD56" s="33" t="n">
        <v>0</v>
      </c>
      <c r="AF56" s="21" t="n">
        <f aca="false">IF($J56=0,0,MAX(0,NETWORKDAYS(MAX($K56,AF$4),MIN($L56,EOMONTH(AF$4,0)),Assumptions!$F$4:$F$44))/NETWORKDAYS($K56,$L56,Assumptions!$F$4:$F$44))</f>
        <v>0</v>
      </c>
      <c r="AG56" s="21" t="n">
        <f aca="false">IF($J56=0,0,MAX(0,NETWORKDAYS(MAX($K56,AG$4),MIN($L56,EOMONTH(AG$4,0)),Assumptions!$F$4:$F$44))/NETWORKDAYS($K56,$L56,Assumptions!$F$4:$F$44))</f>
        <v>0</v>
      </c>
      <c r="AH56" s="21" t="n">
        <f aca="false">IF($J56=0,0,MAX(0,NETWORKDAYS(MAX($K56,AH$4),MIN($L56,EOMONTH(AH$4,0)),Assumptions!$F$4:$F$44))/NETWORKDAYS($K56,$L56,Assumptions!$F$4:$F$44))</f>
        <v>0.9</v>
      </c>
      <c r="AI56" s="21" t="n">
        <f aca="false">IF($J56=0,0,MAX(0,NETWORKDAYS(MAX($K56,AI$4),MIN($L56,EOMONTH(AI$4,0)),Assumptions!$F$4:$F$44))/NETWORKDAYS($K56,$L56,Assumptions!$F$4:$F$44))</f>
        <v>0.1</v>
      </c>
      <c r="AJ56" s="21" t="n">
        <f aca="false">IF($J56=0,0,MAX(0,NETWORKDAYS(MAX($K56,AJ$4),MIN($L56,EOMONTH(AJ$4,0)),Assumptions!$F$4:$F$44))/NETWORKDAYS($K56,$L56,Assumptions!$F$4:$F$44))</f>
        <v>0</v>
      </c>
      <c r="AK56" s="21" t="n">
        <f aca="false">IF($J56=0,0,MAX(0,NETWORKDAYS(MAX($K56,AK$4),MIN($L56,EOMONTH(AK$4,0)),Assumptions!$F$4:$F$44))/NETWORKDAYS($K56,$L56,Assumptions!$F$4:$F$44))</f>
        <v>0</v>
      </c>
      <c r="AL56" s="21" t="n">
        <f aca="false">IF($J56=0,0,MAX(0,NETWORKDAYS(MAX($K56,AL$4),MIN($L56,EOMONTH(AL$4,0)),Assumptions!$F$4:$F$44))/NETWORKDAYS($K56,$L56,Assumptions!$F$4:$F$44))</f>
        <v>0</v>
      </c>
      <c r="AM56" s="21" t="n">
        <f aca="false">IF($J56=0,0,MAX(0,NETWORKDAYS(MAX($K56,AM$4),MIN($L56,EOMONTH(AM$4,0)),Assumptions!$F$4:$F$44))/NETWORKDAYS($K56,$L56,Assumptions!$F$4:$F$44))</f>
        <v>0</v>
      </c>
      <c r="AN56" s="21" t="n">
        <f aca="false">IF($J56=0,0,MAX(0,NETWORKDAYS(MAX($K56,AN$4),MIN($L56,EOMONTH(AN$4,0)),Assumptions!$F$4:$F$44))/NETWORKDAYS($K56,$L56,Assumptions!$F$4:$F$44))</f>
        <v>0</v>
      </c>
      <c r="AO56" s="21" t="n">
        <f aca="false">IF($J56=0,0,MAX(0,NETWORKDAYS(MAX($K56,AO$4),MIN($L56,EOMONTH(AO$4,0)),Assumptions!$F$4:$F$44))/NETWORKDAYS($K56,$L56,Assumptions!$F$4:$F$44))</f>
        <v>0</v>
      </c>
      <c r="AP56" s="21" t="n">
        <f aca="false">IF($J56=0,0,MAX(0,NETWORKDAYS(MAX($K56,AP$4),MIN($L56,EOMONTH(AP$4,0)),Assumptions!$F$4:$F$44))/NETWORKDAYS($K56,$L56,Assumptions!$F$4:$F$44))</f>
        <v>0</v>
      </c>
      <c r="AQ56" s="21" t="n">
        <f aca="false">IF($J56=0,0,MAX(0,NETWORKDAYS(MAX($K56,AQ$4),MIN($L56,EOMONTH(AQ$4,0)),Assumptions!$F$4:$F$44))/NETWORKDAYS($K56,$L56,Assumptions!$F$4:$F$44))</f>
        <v>0</v>
      </c>
      <c r="AR56" s="21" t="n">
        <f aca="false">IF($J56=0,0,MAX(0,NETWORKDAYS(MAX($K56,AR$4),MIN($L56,EOMONTH(AR$4,0)),Assumptions!$F$4:$F$44))/NETWORKDAYS($K56,$L56,Assumptions!$F$4:$F$44))</f>
        <v>0</v>
      </c>
      <c r="AS56" s="21" t="n">
        <f aca="false">IF($J56=0,0,MAX(0,NETWORKDAYS(MAX($K56,AS$4),MIN($L56,EOMONTH(AS$4,0)),Assumptions!$F$4:$F$44))/NETWORKDAYS($K56,$L56,Assumptions!$F$4:$F$44))</f>
        <v>0</v>
      </c>
      <c r="AT56" s="21" t="n">
        <f aca="false">IF($J56=0,0,MAX(0,NETWORKDAYS(MAX($K56,AT$4),MIN($L56,EOMONTH(AT$4,0)),Assumptions!$F$4:$F$44))/NETWORKDAYS($K56,$L56,Assumptions!$F$4:$F$44))</f>
        <v>0</v>
      </c>
      <c r="AU56" s="21" t="n">
        <f aca="false">IF($J56=0,0,MAX(0,NETWORKDAYS(MAX($K56,AU$4),MIN($L56,EOMONTH(AU$4,0)),Assumptions!$F$4:$F$44))/NETWORKDAYS($K56,$L56,Assumptions!$F$4:$F$44))</f>
        <v>0</v>
      </c>
      <c r="AV56" s="21" t="n">
        <f aca="false">IF($J56=0,0,MAX(0,NETWORKDAYS(MAX($K56,AV$4),MIN($L56,EOMONTH(AV$4,0)),Assumptions!$F$4:$F$44))/NETWORKDAYS($K56,$L56,Assumptions!$F$4:$F$44))</f>
        <v>0</v>
      </c>
      <c r="AW56" s="21" t="n">
        <f aca="false">IF($J56=0,0,MAX(0,NETWORKDAYS(MAX($K56,AW$4),MIN($L56,EOMONTH(AW$4,0)),Assumptions!$F$4:$F$44))/NETWORKDAYS($K56,$L56,Assumptions!$F$4:$F$44))</f>
        <v>0</v>
      </c>
      <c r="AX56" s="21" t="n">
        <f aca="false">IF($J56=0,0,MAX(0,NETWORKDAYS(MAX($K56,AX$4),MIN($L56,EOMONTH(AX$4,0)),Assumptions!$F$4:$F$44))/NETWORKDAYS($K56,$L56,Assumptions!$F$4:$F$44))</f>
        <v>0</v>
      </c>
      <c r="AY56" s="21" t="n">
        <f aca="false">IF($J56=0,0,MAX(0,NETWORKDAYS(MAX($K56,AY$4),MIN($L56,EOMONTH(AY$4,0)),Assumptions!$F$4:$F$44))/NETWORKDAYS($K56,$L56,Assumptions!$F$4:$F$44))</f>
        <v>0</v>
      </c>
      <c r="AZ56" s="21" t="n">
        <f aca="false">IF($J56=0,0,MAX(0,NETWORKDAYS(MAX($K56,AZ$4),MIN($L56,EOMONTH(AZ$4,0)),Assumptions!$F$4:$F$44))/NETWORKDAYS($K56,$L56,Assumptions!$F$4:$F$44))</f>
        <v>0</v>
      </c>
      <c r="BA56" s="21" t="n">
        <f aca="false">IF($J56=0,0,MAX(0,NETWORKDAYS(MAX($K56,BA$4),MIN($L56,EOMONTH(BA$4,0)),Assumptions!$F$4:$F$44))/NETWORKDAYS($K56,$L56,Assumptions!$F$4:$F$44))</f>
        <v>0</v>
      </c>
      <c r="BB56" s="21" t="n">
        <f aca="false">IF($J56=0,0,MAX(0,NETWORKDAYS(MAX($K56,BB$4),MIN($L56,EOMONTH(BB$4,0)),Assumptions!$F$4:$F$44))/NETWORKDAYS($K56,$L56,Assumptions!$F$4:$F$44))</f>
        <v>0</v>
      </c>
      <c r="BC56" s="21" t="n">
        <f aca="false">IF($J56=0,0,MAX(0,NETWORKDAYS(MAX($K56,BC$4),MIN($L56,EOMONTH(BC$4,0)),Assumptions!$F$4:$F$44))/NETWORKDAYS($K56,$L56,Assumptions!$F$4:$F$44))</f>
        <v>0</v>
      </c>
    </row>
    <row r="57" customFormat="false" ht="15" hidden="false" customHeight="false" outlineLevel="1" collapsed="false">
      <c r="A57" s="22" t="n">
        <v>53</v>
      </c>
      <c r="B57" s="22" t="s">
        <v>205</v>
      </c>
      <c r="C57" s="22" t="n">
        <v>2</v>
      </c>
      <c r="D57" s="22" t="s">
        <v>89</v>
      </c>
      <c r="E57" s="23" t="s">
        <v>206</v>
      </c>
      <c r="F57" s="22" t="s">
        <v>154</v>
      </c>
      <c r="G57" s="22" t="s">
        <v>157</v>
      </c>
      <c r="H57" s="22"/>
      <c r="I57" s="22"/>
      <c r="J57" s="22" t="n">
        <f aca="false">NETWORKDAYS(K57,L57,Assumptions!$F$4:$F$44)</f>
        <v>56</v>
      </c>
      <c r="K57" s="24" t="n">
        <f aca="false">MIN(K58:K60)</f>
        <v>46350</v>
      </c>
      <c r="L57" s="24" t="n">
        <f aca="false">MAX(L58:L60)</f>
        <v>46427</v>
      </c>
      <c r="M57" s="22"/>
      <c r="N57" s="25" t="n">
        <f aca="false">SUMPRODUCT(($C$58:$C$60=3)*(N58:N60))</f>
        <v>0</v>
      </c>
      <c r="O57" s="25" t="n">
        <f aca="false">SUMPRODUCT(($C$58:$C$60=3)*(O58:O60))</f>
        <v>0</v>
      </c>
      <c r="P57" s="25" t="n">
        <f aca="false">SUMPRODUCT(($C$58:$C$60=3)*(P58:P60))</f>
        <v>2</v>
      </c>
      <c r="Q57" s="25" t="n">
        <f aca="false">SUMPRODUCT(($C$58:$C$60=3)*(Q58:Q60))</f>
        <v>9</v>
      </c>
      <c r="R57" s="25" t="n">
        <f aca="false">SUMPRODUCT(($C$58:$C$60=3)*(R58:R60))</f>
        <v>9</v>
      </c>
      <c r="S57" s="25" t="n">
        <f aca="false">SUMPRODUCT(($C$58:$C$60=3)*(S58:S60))</f>
        <v>0</v>
      </c>
      <c r="T57" s="25" t="n">
        <f aca="false">SUMPRODUCT(($C$58:$C$60=3)*(T58:T60))</f>
        <v>32</v>
      </c>
      <c r="U57" s="25" t="n">
        <f aca="false">SUMPRODUCT(($C$58:$C$60=3)*(U58:U60))</f>
        <v>0</v>
      </c>
      <c r="V57" s="25" t="n">
        <f aca="false">SUMPRODUCT(($C$58:$C$60=3)*(V58:V60))</f>
        <v>5</v>
      </c>
      <c r="W57" s="25" t="n">
        <f aca="false">SUMPRODUCT(($C$58:$C$60=3)*(W58:W60))</f>
        <v>0</v>
      </c>
      <c r="X57" s="25" t="n">
        <f aca="false">SUMPRODUCT(($C$58:$C$60=3)*(X58:X60))</f>
        <v>0</v>
      </c>
      <c r="Y57" s="25" t="n">
        <f aca="false">SUM(N57:X57)</f>
        <v>57</v>
      </c>
      <c r="Z57" s="25" t="n">
        <f aca="false">Y57*(1+Assumptions!$C$5)</f>
        <v>65.55</v>
      </c>
      <c r="AA57" s="22" t="s">
        <v>207</v>
      </c>
      <c r="AB57" s="22"/>
      <c r="AC57" s="22"/>
      <c r="AD57" s="26"/>
      <c r="AF57" s="21" t="n">
        <v>0</v>
      </c>
      <c r="AG57" s="21" t="n">
        <v>0</v>
      </c>
      <c r="AH57" s="21" t="n">
        <v>0</v>
      </c>
      <c r="AI57" s="21" t="n">
        <v>0</v>
      </c>
      <c r="AJ57" s="21" t="n">
        <v>0</v>
      </c>
      <c r="AK57" s="21" t="n">
        <v>0</v>
      </c>
      <c r="AL57" s="21" t="n">
        <v>0</v>
      </c>
      <c r="AM57" s="21" t="n">
        <v>0</v>
      </c>
      <c r="AN57" s="21" t="n">
        <v>0</v>
      </c>
      <c r="AO57" s="21" t="n">
        <v>0</v>
      </c>
      <c r="AP57" s="21" t="n">
        <v>0</v>
      </c>
      <c r="AQ57" s="21" t="n">
        <v>0</v>
      </c>
      <c r="AR57" s="21" t="n">
        <v>0</v>
      </c>
      <c r="AS57" s="21" t="n">
        <v>0</v>
      </c>
      <c r="AT57" s="21" t="n">
        <v>0</v>
      </c>
      <c r="AU57" s="21" t="n">
        <v>0</v>
      </c>
      <c r="AV57" s="21" t="n">
        <v>0</v>
      </c>
      <c r="AW57" s="21" t="n">
        <v>0</v>
      </c>
      <c r="AX57" s="21" t="n">
        <v>0</v>
      </c>
      <c r="AY57" s="21" t="n">
        <v>0</v>
      </c>
      <c r="AZ57" s="21" t="n">
        <v>0</v>
      </c>
      <c r="BA57" s="21" t="n">
        <v>0</v>
      </c>
      <c r="BB57" s="21" t="n">
        <v>0</v>
      </c>
      <c r="BC57" s="21" t="n">
        <v>0</v>
      </c>
    </row>
    <row r="58" customFormat="false" ht="15" hidden="false" customHeight="false" outlineLevel="2" collapsed="false">
      <c r="A58" s="27" t="n">
        <v>54</v>
      </c>
      <c r="B58" s="27" t="s">
        <v>208</v>
      </c>
      <c r="C58" s="27" t="n">
        <v>3</v>
      </c>
      <c r="D58" s="27" t="s">
        <v>92</v>
      </c>
      <c r="E58" s="28" t="s">
        <v>160</v>
      </c>
      <c r="F58" s="27" t="s">
        <v>154</v>
      </c>
      <c r="G58" s="27" t="s">
        <v>157</v>
      </c>
      <c r="H58" s="27" t="s">
        <v>45</v>
      </c>
      <c r="I58" s="29" t="n">
        <v>16</v>
      </c>
      <c r="J58" s="29" t="n">
        <v>11</v>
      </c>
      <c r="K58" s="30" t="n">
        <f aca="false">WORKDAY(Assumptions!$C$4,I58,Assumptions!$F$4:$F$44)</f>
        <v>46350</v>
      </c>
      <c r="L58" s="30" t="n">
        <f aca="false">IF(J58=0,K58,WORKDAY(K58,J58-1,Assumptions!$F$4:$F$44))</f>
        <v>46364</v>
      </c>
      <c r="M58" s="29" t="s">
        <v>161</v>
      </c>
      <c r="N58" s="31" t="n">
        <v>0</v>
      </c>
      <c r="O58" s="31" t="n">
        <v>0</v>
      </c>
      <c r="P58" s="31" t="n">
        <v>2</v>
      </c>
      <c r="Q58" s="31" t="n">
        <v>1</v>
      </c>
      <c r="R58" s="31" t="n">
        <v>0</v>
      </c>
      <c r="S58" s="31" t="n">
        <v>0</v>
      </c>
      <c r="T58" s="31" t="n">
        <v>0</v>
      </c>
      <c r="U58" s="31" t="n">
        <v>0</v>
      </c>
      <c r="V58" s="31" t="n">
        <v>0</v>
      </c>
      <c r="W58" s="31" t="n">
        <v>0</v>
      </c>
      <c r="X58" s="31" t="n">
        <v>0</v>
      </c>
      <c r="Y58" s="32" t="n">
        <f aca="false">SUM(N58:X58)</f>
        <v>3</v>
      </c>
      <c r="Z58" s="32" t="n">
        <f aca="false">Y58*(1+Assumptions!$C$5)</f>
        <v>3.45</v>
      </c>
      <c r="AA58" s="27" t="s">
        <v>162</v>
      </c>
      <c r="AB58" s="27" t="s">
        <v>95</v>
      </c>
      <c r="AC58" s="27"/>
      <c r="AD58" s="33" t="n">
        <v>0</v>
      </c>
      <c r="AF58" s="21" t="n">
        <f aca="false">IF($J58=0,0,MAX(0,NETWORKDAYS(MAX($K58,AF$4),MIN($L58,EOMONTH(AF$4,0)),Assumptions!$F$4:$F$44))/NETWORKDAYS($K58,$L58,Assumptions!$F$4:$F$44))</f>
        <v>0.454545454545455</v>
      </c>
      <c r="AG58" s="21" t="n">
        <f aca="false">IF($J58=0,0,MAX(0,NETWORKDAYS(MAX($K58,AG$4),MIN($L58,EOMONTH(AG$4,0)),Assumptions!$F$4:$F$44))/NETWORKDAYS($K58,$L58,Assumptions!$F$4:$F$44))</f>
        <v>0.545454545454545</v>
      </c>
      <c r="AH58" s="21" t="n">
        <f aca="false">IF($J58=0,0,MAX(0,NETWORKDAYS(MAX($K58,AH$4),MIN($L58,EOMONTH(AH$4,0)),Assumptions!$F$4:$F$44))/NETWORKDAYS($K58,$L58,Assumptions!$F$4:$F$44))</f>
        <v>0</v>
      </c>
      <c r="AI58" s="21" t="n">
        <f aca="false">IF($J58=0,0,MAX(0,NETWORKDAYS(MAX($K58,AI$4),MIN($L58,EOMONTH(AI$4,0)),Assumptions!$F$4:$F$44))/NETWORKDAYS($K58,$L58,Assumptions!$F$4:$F$44))</f>
        <v>0</v>
      </c>
      <c r="AJ58" s="21" t="n">
        <f aca="false">IF($J58=0,0,MAX(0,NETWORKDAYS(MAX($K58,AJ$4),MIN($L58,EOMONTH(AJ$4,0)),Assumptions!$F$4:$F$44))/NETWORKDAYS($K58,$L58,Assumptions!$F$4:$F$44))</f>
        <v>0</v>
      </c>
      <c r="AK58" s="21" t="n">
        <f aca="false">IF($J58=0,0,MAX(0,NETWORKDAYS(MAX($K58,AK$4),MIN($L58,EOMONTH(AK$4,0)),Assumptions!$F$4:$F$44))/NETWORKDAYS($K58,$L58,Assumptions!$F$4:$F$44))</f>
        <v>0</v>
      </c>
      <c r="AL58" s="21" t="n">
        <f aca="false">IF($J58=0,0,MAX(0,NETWORKDAYS(MAX($K58,AL$4),MIN($L58,EOMONTH(AL$4,0)),Assumptions!$F$4:$F$44))/NETWORKDAYS($K58,$L58,Assumptions!$F$4:$F$44))</f>
        <v>0</v>
      </c>
      <c r="AM58" s="21" t="n">
        <f aca="false">IF($J58=0,0,MAX(0,NETWORKDAYS(MAX($K58,AM$4),MIN($L58,EOMONTH(AM$4,0)),Assumptions!$F$4:$F$44))/NETWORKDAYS($K58,$L58,Assumptions!$F$4:$F$44))</f>
        <v>0</v>
      </c>
      <c r="AN58" s="21" t="n">
        <f aca="false">IF($J58=0,0,MAX(0,NETWORKDAYS(MAX($K58,AN$4),MIN($L58,EOMONTH(AN$4,0)),Assumptions!$F$4:$F$44))/NETWORKDAYS($K58,$L58,Assumptions!$F$4:$F$44))</f>
        <v>0</v>
      </c>
      <c r="AO58" s="21" t="n">
        <f aca="false">IF($J58=0,0,MAX(0,NETWORKDAYS(MAX($K58,AO$4),MIN($L58,EOMONTH(AO$4,0)),Assumptions!$F$4:$F$44))/NETWORKDAYS($K58,$L58,Assumptions!$F$4:$F$44))</f>
        <v>0</v>
      </c>
      <c r="AP58" s="21" t="n">
        <f aca="false">IF($J58=0,0,MAX(0,NETWORKDAYS(MAX($K58,AP$4),MIN($L58,EOMONTH(AP$4,0)),Assumptions!$F$4:$F$44))/NETWORKDAYS($K58,$L58,Assumptions!$F$4:$F$44))</f>
        <v>0</v>
      </c>
      <c r="AQ58" s="21" t="n">
        <f aca="false">IF($J58=0,0,MAX(0,NETWORKDAYS(MAX($K58,AQ$4),MIN($L58,EOMONTH(AQ$4,0)),Assumptions!$F$4:$F$44))/NETWORKDAYS($K58,$L58,Assumptions!$F$4:$F$44))</f>
        <v>0</v>
      </c>
      <c r="AR58" s="21" t="n">
        <f aca="false">IF($J58=0,0,MAX(0,NETWORKDAYS(MAX($K58,AR$4),MIN($L58,EOMONTH(AR$4,0)),Assumptions!$F$4:$F$44))/NETWORKDAYS($K58,$L58,Assumptions!$F$4:$F$44))</f>
        <v>0</v>
      </c>
      <c r="AS58" s="21" t="n">
        <f aca="false">IF($J58=0,0,MAX(0,NETWORKDAYS(MAX($K58,AS$4),MIN($L58,EOMONTH(AS$4,0)),Assumptions!$F$4:$F$44))/NETWORKDAYS($K58,$L58,Assumptions!$F$4:$F$44))</f>
        <v>0</v>
      </c>
      <c r="AT58" s="21" t="n">
        <f aca="false">IF($J58=0,0,MAX(0,NETWORKDAYS(MAX($K58,AT$4),MIN($L58,EOMONTH(AT$4,0)),Assumptions!$F$4:$F$44))/NETWORKDAYS($K58,$L58,Assumptions!$F$4:$F$44))</f>
        <v>0</v>
      </c>
      <c r="AU58" s="21" t="n">
        <f aca="false">IF($J58=0,0,MAX(0,NETWORKDAYS(MAX($K58,AU$4),MIN($L58,EOMONTH(AU$4,0)),Assumptions!$F$4:$F$44))/NETWORKDAYS($K58,$L58,Assumptions!$F$4:$F$44))</f>
        <v>0</v>
      </c>
      <c r="AV58" s="21" t="n">
        <f aca="false">IF($J58=0,0,MAX(0,NETWORKDAYS(MAX($K58,AV$4),MIN($L58,EOMONTH(AV$4,0)),Assumptions!$F$4:$F$44))/NETWORKDAYS($K58,$L58,Assumptions!$F$4:$F$44))</f>
        <v>0</v>
      </c>
      <c r="AW58" s="21" t="n">
        <f aca="false">IF($J58=0,0,MAX(0,NETWORKDAYS(MAX($K58,AW$4),MIN($L58,EOMONTH(AW$4,0)),Assumptions!$F$4:$F$44))/NETWORKDAYS($K58,$L58,Assumptions!$F$4:$F$44))</f>
        <v>0</v>
      </c>
      <c r="AX58" s="21" t="n">
        <f aca="false">IF($J58=0,0,MAX(0,NETWORKDAYS(MAX($K58,AX$4),MIN($L58,EOMONTH(AX$4,0)),Assumptions!$F$4:$F$44))/NETWORKDAYS($K58,$L58,Assumptions!$F$4:$F$44))</f>
        <v>0</v>
      </c>
      <c r="AY58" s="21" t="n">
        <f aca="false">IF($J58=0,0,MAX(0,NETWORKDAYS(MAX($K58,AY$4),MIN($L58,EOMONTH(AY$4,0)),Assumptions!$F$4:$F$44))/NETWORKDAYS($K58,$L58,Assumptions!$F$4:$F$44))</f>
        <v>0</v>
      </c>
      <c r="AZ58" s="21" t="n">
        <f aca="false">IF($J58=0,0,MAX(0,NETWORKDAYS(MAX($K58,AZ$4),MIN($L58,EOMONTH(AZ$4,0)),Assumptions!$F$4:$F$44))/NETWORKDAYS($K58,$L58,Assumptions!$F$4:$F$44))</f>
        <v>0</v>
      </c>
      <c r="BA58" s="21" t="n">
        <f aca="false">IF($J58=0,0,MAX(0,NETWORKDAYS(MAX($K58,BA$4),MIN($L58,EOMONTH(BA$4,0)),Assumptions!$F$4:$F$44))/NETWORKDAYS($K58,$L58,Assumptions!$F$4:$F$44))</f>
        <v>0</v>
      </c>
      <c r="BB58" s="21" t="n">
        <f aca="false">IF($J58=0,0,MAX(0,NETWORKDAYS(MAX($K58,BB$4),MIN($L58,EOMONTH(BB$4,0)),Assumptions!$F$4:$F$44))/NETWORKDAYS($K58,$L58,Assumptions!$F$4:$F$44))</f>
        <v>0</v>
      </c>
      <c r="BC58" s="21" t="n">
        <f aca="false">IF($J58=0,0,MAX(0,NETWORKDAYS(MAX($K58,BC$4),MIN($L58,EOMONTH(BC$4,0)),Assumptions!$F$4:$F$44))/NETWORKDAYS($K58,$L58,Assumptions!$F$4:$F$44))</f>
        <v>0</v>
      </c>
    </row>
    <row r="59" customFormat="false" ht="15" hidden="false" customHeight="false" outlineLevel="2" collapsed="false">
      <c r="A59" s="27" t="n">
        <v>55</v>
      </c>
      <c r="B59" s="27" t="s">
        <v>209</v>
      </c>
      <c r="C59" s="27" t="n">
        <v>3</v>
      </c>
      <c r="D59" s="27" t="s">
        <v>92</v>
      </c>
      <c r="E59" s="28" t="s">
        <v>164</v>
      </c>
      <c r="F59" s="27" t="s">
        <v>154</v>
      </c>
      <c r="G59" s="27" t="s">
        <v>157</v>
      </c>
      <c r="H59" s="27" t="s">
        <v>53</v>
      </c>
      <c r="I59" s="29" t="n">
        <v>27</v>
      </c>
      <c r="J59" s="29" t="n">
        <v>34</v>
      </c>
      <c r="K59" s="30" t="n">
        <f aca="false">WORKDAY(Assumptions!$C$4,I59,Assumptions!$F$4:$F$44)</f>
        <v>46365</v>
      </c>
      <c r="L59" s="30" t="n">
        <f aca="false">IF(J59=0,K59,WORKDAY(K59,J59-1,Assumptions!$F$4:$F$44))</f>
        <v>46412</v>
      </c>
      <c r="M59" s="29"/>
      <c r="N59" s="31" t="n">
        <v>0</v>
      </c>
      <c r="O59" s="31" t="n">
        <v>0</v>
      </c>
      <c r="P59" s="31" t="n">
        <v>0</v>
      </c>
      <c r="Q59" s="31" t="n">
        <v>7</v>
      </c>
      <c r="R59" s="31" t="n">
        <v>9</v>
      </c>
      <c r="S59" s="31" t="n">
        <v>0</v>
      </c>
      <c r="T59" s="31" t="n">
        <v>32</v>
      </c>
      <c r="U59" s="31" t="n">
        <v>0</v>
      </c>
      <c r="V59" s="31" t="n">
        <v>0</v>
      </c>
      <c r="W59" s="31" t="n">
        <v>0</v>
      </c>
      <c r="X59" s="31" t="n">
        <v>0</v>
      </c>
      <c r="Y59" s="32" t="n">
        <f aca="false">SUM(N59:X59)</f>
        <v>48</v>
      </c>
      <c r="Z59" s="32" t="n">
        <f aca="false">Y59*(1+Assumptions!$C$5)</f>
        <v>55.2</v>
      </c>
      <c r="AA59" s="27" t="s">
        <v>165</v>
      </c>
      <c r="AB59" s="27" t="s">
        <v>95</v>
      </c>
      <c r="AC59" s="27"/>
      <c r="AD59" s="33" t="n">
        <v>0</v>
      </c>
      <c r="AF59" s="21" t="n">
        <f aca="false">IF($J59=0,0,MAX(0,NETWORKDAYS(MAX($K59,AF$4),MIN($L59,EOMONTH(AF$4,0)),Assumptions!$F$4:$F$44))/NETWORKDAYS($K59,$L59,Assumptions!$F$4:$F$44))</f>
        <v>0</v>
      </c>
      <c r="AG59" s="21" t="n">
        <f aca="false">IF($J59=0,0,MAX(0,NETWORKDAYS(MAX($K59,AG$4),MIN($L59,EOMONTH(AG$4,0)),Assumptions!$F$4:$F$44))/NETWORKDAYS($K59,$L59,Assumptions!$F$4:$F$44))</f>
        <v>0.5</v>
      </c>
      <c r="AH59" s="21" t="n">
        <f aca="false">IF($J59=0,0,MAX(0,NETWORKDAYS(MAX($K59,AH$4),MIN($L59,EOMONTH(AH$4,0)),Assumptions!$F$4:$F$44))/NETWORKDAYS($K59,$L59,Assumptions!$F$4:$F$44))</f>
        <v>0.5</v>
      </c>
      <c r="AI59" s="21" t="n">
        <f aca="false">IF($J59=0,0,MAX(0,NETWORKDAYS(MAX($K59,AI$4),MIN($L59,EOMONTH(AI$4,0)),Assumptions!$F$4:$F$44))/NETWORKDAYS($K59,$L59,Assumptions!$F$4:$F$44))</f>
        <v>0</v>
      </c>
      <c r="AJ59" s="21" t="n">
        <f aca="false">IF($J59=0,0,MAX(0,NETWORKDAYS(MAX($K59,AJ$4),MIN($L59,EOMONTH(AJ$4,0)),Assumptions!$F$4:$F$44))/NETWORKDAYS($K59,$L59,Assumptions!$F$4:$F$44))</f>
        <v>0</v>
      </c>
      <c r="AK59" s="21" t="n">
        <f aca="false">IF($J59=0,0,MAX(0,NETWORKDAYS(MAX($K59,AK$4),MIN($L59,EOMONTH(AK$4,0)),Assumptions!$F$4:$F$44))/NETWORKDAYS($K59,$L59,Assumptions!$F$4:$F$44))</f>
        <v>0</v>
      </c>
      <c r="AL59" s="21" t="n">
        <f aca="false">IF($J59=0,0,MAX(0,NETWORKDAYS(MAX($K59,AL$4),MIN($L59,EOMONTH(AL$4,0)),Assumptions!$F$4:$F$44))/NETWORKDAYS($K59,$L59,Assumptions!$F$4:$F$44))</f>
        <v>0</v>
      </c>
      <c r="AM59" s="21" t="n">
        <f aca="false">IF($J59=0,0,MAX(0,NETWORKDAYS(MAX($K59,AM$4),MIN($L59,EOMONTH(AM$4,0)),Assumptions!$F$4:$F$44))/NETWORKDAYS($K59,$L59,Assumptions!$F$4:$F$44))</f>
        <v>0</v>
      </c>
      <c r="AN59" s="21" t="n">
        <f aca="false">IF($J59=0,0,MAX(0,NETWORKDAYS(MAX($K59,AN$4),MIN($L59,EOMONTH(AN$4,0)),Assumptions!$F$4:$F$44))/NETWORKDAYS($K59,$L59,Assumptions!$F$4:$F$44))</f>
        <v>0</v>
      </c>
      <c r="AO59" s="21" t="n">
        <f aca="false">IF($J59=0,0,MAX(0,NETWORKDAYS(MAX($K59,AO$4),MIN($L59,EOMONTH(AO$4,0)),Assumptions!$F$4:$F$44))/NETWORKDAYS($K59,$L59,Assumptions!$F$4:$F$44))</f>
        <v>0</v>
      </c>
      <c r="AP59" s="21" t="n">
        <f aca="false">IF($J59=0,0,MAX(0,NETWORKDAYS(MAX($K59,AP$4),MIN($L59,EOMONTH(AP$4,0)),Assumptions!$F$4:$F$44))/NETWORKDAYS($K59,$L59,Assumptions!$F$4:$F$44))</f>
        <v>0</v>
      </c>
      <c r="AQ59" s="21" t="n">
        <f aca="false">IF($J59=0,0,MAX(0,NETWORKDAYS(MAX($K59,AQ$4),MIN($L59,EOMONTH(AQ$4,0)),Assumptions!$F$4:$F$44))/NETWORKDAYS($K59,$L59,Assumptions!$F$4:$F$44))</f>
        <v>0</v>
      </c>
      <c r="AR59" s="21" t="n">
        <f aca="false">IF($J59=0,0,MAX(0,NETWORKDAYS(MAX($K59,AR$4),MIN($L59,EOMONTH(AR$4,0)),Assumptions!$F$4:$F$44))/NETWORKDAYS($K59,$L59,Assumptions!$F$4:$F$44))</f>
        <v>0</v>
      </c>
      <c r="AS59" s="21" t="n">
        <f aca="false">IF($J59=0,0,MAX(0,NETWORKDAYS(MAX($K59,AS$4),MIN($L59,EOMONTH(AS$4,0)),Assumptions!$F$4:$F$44))/NETWORKDAYS($K59,$L59,Assumptions!$F$4:$F$44))</f>
        <v>0</v>
      </c>
      <c r="AT59" s="21" t="n">
        <f aca="false">IF($J59=0,0,MAX(0,NETWORKDAYS(MAX($K59,AT$4),MIN($L59,EOMONTH(AT$4,0)),Assumptions!$F$4:$F$44))/NETWORKDAYS($K59,$L59,Assumptions!$F$4:$F$44))</f>
        <v>0</v>
      </c>
      <c r="AU59" s="21" t="n">
        <f aca="false">IF($J59=0,0,MAX(0,NETWORKDAYS(MAX($K59,AU$4),MIN($L59,EOMONTH(AU$4,0)),Assumptions!$F$4:$F$44))/NETWORKDAYS($K59,$L59,Assumptions!$F$4:$F$44))</f>
        <v>0</v>
      </c>
      <c r="AV59" s="21" t="n">
        <f aca="false">IF($J59=0,0,MAX(0,NETWORKDAYS(MAX($K59,AV$4),MIN($L59,EOMONTH(AV$4,0)),Assumptions!$F$4:$F$44))/NETWORKDAYS($K59,$L59,Assumptions!$F$4:$F$44))</f>
        <v>0</v>
      </c>
      <c r="AW59" s="21" t="n">
        <f aca="false">IF($J59=0,0,MAX(0,NETWORKDAYS(MAX($K59,AW$4),MIN($L59,EOMONTH(AW$4,0)),Assumptions!$F$4:$F$44))/NETWORKDAYS($K59,$L59,Assumptions!$F$4:$F$44))</f>
        <v>0</v>
      </c>
      <c r="AX59" s="21" t="n">
        <f aca="false">IF($J59=0,0,MAX(0,NETWORKDAYS(MAX($K59,AX$4),MIN($L59,EOMONTH(AX$4,0)),Assumptions!$F$4:$F$44))/NETWORKDAYS($K59,$L59,Assumptions!$F$4:$F$44))</f>
        <v>0</v>
      </c>
      <c r="AY59" s="21" t="n">
        <f aca="false">IF($J59=0,0,MAX(0,NETWORKDAYS(MAX($K59,AY$4),MIN($L59,EOMONTH(AY$4,0)),Assumptions!$F$4:$F$44))/NETWORKDAYS($K59,$L59,Assumptions!$F$4:$F$44))</f>
        <v>0</v>
      </c>
      <c r="AZ59" s="21" t="n">
        <f aca="false">IF($J59=0,0,MAX(0,NETWORKDAYS(MAX($K59,AZ$4),MIN($L59,EOMONTH(AZ$4,0)),Assumptions!$F$4:$F$44))/NETWORKDAYS($K59,$L59,Assumptions!$F$4:$F$44))</f>
        <v>0</v>
      </c>
      <c r="BA59" s="21" t="n">
        <f aca="false">IF($J59=0,0,MAX(0,NETWORKDAYS(MAX($K59,BA$4),MIN($L59,EOMONTH(BA$4,0)),Assumptions!$F$4:$F$44))/NETWORKDAYS($K59,$L59,Assumptions!$F$4:$F$44))</f>
        <v>0</v>
      </c>
      <c r="BB59" s="21" t="n">
        <f aca="false">IF($J59=0,0,MAX(0,NETWORKDAYS(MAX($K59,BB$4),MIN($L59,EOMONTH(BB$4,0)),Assumptions!$F$4:$F$44))/NETWORKDAYS($K59,$L59,Assumptions!$F$4:$F$44))</f>
        <v>0</v>
      </c>
      <c r="BC59" s="21" t="n">
        <f aca="false">IF($J59=0,0,MAX(0,NETWORKDAYS(MAX($K59,BC$4),MIN($L59,EOMONTH(BC$4,0)),Assumptions!$F$4:$F$44))/NETWORKDAYS($K59,$L59,Assumptions!$F$4:$F$44))</f>
        <v>0</v>
      </c>
    </row>
    <row r="60" customFormat="false" ht="15" hidden="false" customHeight="false" outlineLevel="2" collapsed="false">
      <c r="A60" s="27" t="n">
        <v>56</v>
      </c>
      <c r="B60" s="27" t="s">
        <v>210</v>
      </c>
      <c r="C60" s="27" t="n">
        <v>3</v>
      </c>
      <c r="D60" s="27" t="s">
        <v>92</v>
      </c>
      <c r="E60" s="28" t="s">
        <v>167</v>
      </c>
      <c r="F60" s="27" t="s">
        <v>154</v>
      </c>
      <c r="G60" s="27" t="s">
        <v>157</v>
      </c>
      <c r="H60" s="27" t="s">
        <v>57</v>
      </c>
      <c r="I60" s="29" t="n">
        <v>58</v>
      </c>
      <c r="J60" s="29" t="n">
        <v>14</v>
      </c>
      <c r="K60" s="30" t="n">
        <f aca="false">WORKDAY(Assumptions!$C$4,I60,Assumptions!$F$4:$F$44)</f>
        <v>46408</v>
      </c>
      <c r="L60" s="30" t="n">
        <f aca="false">IF(J60=0,K60,WORKDAY(K60,J60-1,Assumptions!$F$4:$F$44))</f>
        <v>46427</v>
      </c>
      <c r="M60" s="29"/>
      <c r="N60" s="31" t="n">
        <v>0</v>
      </c>
      <c r="O60" s="31" t="n">
        <v>0</v>
      </c>
      <c r="P60" s="31" t="n">
        <v>0</v>
      </c>
      <c r="Q60" s="31" t="n">
        <v>1</v>
      </c>
      <c r="R60" s="31" t="n">
        <v>0</v>
      </c>
      <c r="S60" s="31" t="n">
        <v>0</v>
      </c>
      <c r="T60" s="31" t="n">
        <v>0</v>
      </c>
      <c r="U60" s="31" t="n">
        <v>0</v>
      </c>
      <c r="V60" s="31" t="n">
        <v>5</v>
      </c>
      <c r="W60" s="31" t="n">
        <v>0</v>
      </c>
      <c r="X60" s="31" t="n">
        <v>0</v>
      </c>
      <c r="Y60" s="32" t="n">
        <f aca="false">SUM(N60:X60)</f>
        <v>6</v>
      </c>
      <c r="Z60" s="32" t="n">
        <f aca="false">Y60*(1+Assumptions!$C$5)</f>
        <v>6.9</v>
      </c>
      <c r="AA60" s="27" t="s">
        <v>168</v>
      </c>
      <c r="AB60" s="27" t="s">
        <v>95</v>
      </c>
      <c r="AC60" s="27"/>
      <c r="AD60" s="33" t="n">
        <v>0</v>
      </c>
      <c r="AF60" s="21" t="n">
        <f aca="false">IF($J60=0,0,MAX(0,NETWORKDAYS(MAX($K60,AF$4),MIN($L60,EOMONTH(AF$4,0)),Assumptions!$F$4:$F$44))/NETWORKDAYS($K60,$L60,Assumptions!$F$4:$F$44))</f>
        <v>0</v>
      </c>
      <c r="AG60" s="21" t="n">
        <f aca="false">IF($J60=0,0,MAX(0,NETWORKDAYS(MAX($K60,AG$4),MIN($L60,EOMONTH(AG$4,0)),Assumptions!$F$4:$F$44))/NETWORKDAYS($K60,$L60,Assumptions!$F$4:$F$44))</f>
        <v>0</v>
      </c>
      <c r="AH60" s="21" t="n">
        <f aca="false">IF($J60=0,0,MAX(0,NETWORKDAYS(MAX($K60,AH$4),MIN($L60,EOMONTH(AH$4,0)),Assumptions!$F$4:$F$44))/NETWORKDAYS($K60,$L60,Assumptions!$F$4:$F$44))</f>
        <v>0.5</v>
      </c>
      <c r="AI60" s="21" t="n">
        <f aca="false">IF($J60=0,0,MAX(0,NETWORKDAYS(MAX($K60,AI$4),MIN($L60,EOMONTH(AI$4,0)),Assumptions!$F$4:$F$44))/NETWORKDAYS($K60,$L60,Assumptions!$F$4:$F$44))</f>
        <v>0.5</v>
      </c>
      <c r="AJ60" s="21" t="n">
        <f aca="false">IF($J60=0,0,MAX(0,NETWORKDAYS(MAX($K60,AJ$4),MIN($L60,EOMONTH(AJ$4,0)),Assumptions!$F$4:$F$44))/NETWORKDAYS($K60,$L60,Assumptions!$F$4:$F$44))</f>
        <v>0</v>
      </c>
      <c r="AK60" s="21" t="n">
        <f aca="false">IF($J60=0,0,MAX(0,NETWORKDAYS(MAX($K60,AK$4),MIN($L60,EOMONTH(AK$4,0)),Assumptions!$F$4:$F$44))/NETWORKDAYS($K60,$L60,Assumptions!$F$4:$F$44))</f>
        <v>0</v>
      </c>
      <c r="AL60" s="21" t="n">
        <f aca="false">IF($J60=0,0,MAX(0,NETWORKDAYS(MAX($K60,AL$4),MIN($L60,EOMONTH(AL$4,0)),Assumptions!$F$4:$F$44))/NETWORKDAYS($K60,$L60,Assumptions!$F$4:$F$44))</f>
        <v>0</v>
      </c>
      <c r="AM60" s="21" t="n">
        <f aca="false">IF($J60=0,0,MAX(0,NETWORKDAYS(MAX($K60,AM$4),MIN($L60,EOMONTH(AM$4,0)),Assumptions!$F$4:$F$44))/NETWORKDAYS($K60,$L60,Assumptions!$F$4:$F$44))</f>
        <v>0</v>
      </c>
      <c r="AN60" s="21" t="n">
        <f aca="false">IF($J60=0,0,MAX(0,NETWORKDAYS(MAX($K60,AN$4),MIN($L60,EOMONTH(AN$4,0)),Assumptions!$F$4:$F$44))/NETWORKDAYS($K60,$L60,Assumptions!$F$4:$F$44))</f>
        <v>0</v>
      </c>
      <c r="AO60" s="21" t="n">
        <f aca="false">IF($J60=0,0,MAX(0,NETWORKDAYS(MAX($K60,AO$4),MIN($L60,EOMONTH(AO$4,0)),Assumptions!$F$4:$F$44))/NETWORKDAYS($K60,$L60,Assumptions!$F$4:$F$44))</f>
        <v>0</v>
      </c>
      <c r="AP60" s="21" t="n">
        <f aca="false">IF($J60=0,0,MAX(0,NETWORKDAYS(MAX($K60,AP$4),MIN($L60,EOMONTH(AP$4,0)),Assumptions!$F$4:$F$44))/NETWORKDAYS($K60,$L60,Assumptions!$F$4:$F$44))</f>
        <v>0</v>
      </c>
      <c r="AQ60" s="21" t="n">
        <f aca="false">IF($J60=0,0,MAX(0,NETWORKDAYS(MAX($K60,AQ$4),MIN($L60,EOMONTH(AQ$4,0)),Assumptions!$F$4:$F$44))/NETWORKDAYS($K60,$L60,Assumptions!$F$4:$F$44))</f>
        <v>0</v>
      </c>
      <c r="AR60" s="21" t="n">
        <f aca="false">IF($J60=0,0,MAX(0,NETWORKDAYS(MAX($K60,AR$4),MIN($L60,EOMONTH(AR$4,0)),Assumptions!$F$4:$F$44))/NETWORKDAYS($K60,$L60,Assumptions!$F$4:$F$44))</f>
        <v>0</v>
      </c>
      <c r="AS60" s="21" t="n">
        <f aca="false">IF($J60=0,0,MAX(0,NETWORKDAYS(MAX($K60,AS$4),MIN($L60,EOMONTH(AS$4,0)),Assumptions!$F$4:$F$44))/NETWORKDAYS($K60,$L60,Assumptions!$F$4:$F$44))</f>
        <v>0</v>
      </c>
      <c r="AT60" s="21" t="n">
        <f aca="false">IF($J60=0,0,MAX(0,NETWORKDAYS(MAX($K60,AT$4),MIN($L60,EOMONTH(AT$4,0)),Assumptions!$F$4:$F$44))/NETWORKDAYS($K60,$L60,Assumptions!$F$4:$F$44))</f>
        <v>0</v>
      </c>
      <c r="AU60" s="21" t="n">
        <f aca="false">IF($J60=0,0,MAX(0,NETWORKDAYS(MAX($K60,AU$4),MIN($L60,EOMONTH(AU$4,0)),Assumptions!$F$4:$F$44))/NETWORKDAYS($K60,$L60,Assumptions!$F$4:$F$44))</f>
        <v>0</v>
      </c>
      <c r="AV60" s="21" t="n">
        <f aca="false">IF($J60=0,0,MAX(0,NETWORKDAYS(MAX($K60,AV$4),MIN($L60,EOMONTH(AV$4,0)),Assumptions!$F$4:$F$44))/NETWORKDAYS($K60,$L60,Assumptions!$F$4:$F$44))</f>
        <v>0</v>
      </c>
      <c r="AW60" s="21" t="n">
        <f aca="false">IF($J60=0,0,MAX(0,NETWORKDAYS(MAX($K60,AW$4),MIN($L60,EOMONTH(AW$4,0)),Assumptions!$F$4:$F$44))/NETWORKDAYS($K60,$L60,Assumptions!$F$4:$F$44))</f>
        <v>0</v>
      </c>
      <c r="AX60" s="21" t="n">
        <f aca="false">IF($J60=0,0,MAX(0,NETWORKDAYS(MAX($K60,AX$4),MIN($L60,EOMONTH(AX$4,0)),Assumptions!$F$4:$F$44))/NETWORKDAYS($K60,$L60,Assumptions!$F$4:$F$44))</f>
        <v>0</v>
      </c>
      <c r="AY60" s="21" t="n">
        <f aca="false">IF($J60=0,0,MAX(0,NETWORKDAYS(MAX($K60,AY$4),MIN($L60,EOMONTH(AY$4,0)),Assumptions!$F$4:$F$44))/NETWORKDAYS($K60,$L60,Assumptions!$F$4:$F$44))</f>
        <v>0</v>
      </c>
      <c r="AZ60" s="21" t="n">
        <f aca="false">IF($J60=0,0,MAX(0,NETWORKDAYS(MAX($K60,AZ$4),MIN($L60,EOMONTH(AZ$4,0)),Assumptions!$F$4:$F$44))/NETWORKDAYS($K60,$L60,Assumptions!$F$4:$F$44))</f>
        <v>0</v>
      </c>
      <c r="BA60" s="21" t="n">
        <f aca="false">IF($J60=0,0,MAX(0,NETWORKDAYS(MAX($K60,BA$4),MIN($L60,EOMONTH(BA$4,0)),Assumptions!$F$4:$F$44))/NETWORKDAYS($K60,$L60,Assumptions!$F$4:$F$44))</f>
        <v>0</v>
      </c>
      <c r="BB60" s="21" t="n">
        <f aca="false">IF($J60=0,0,MAX(0,NETWORKDAYS(MAX($K60,BB$4),MIN($L60,EOMONTH(BB$4,0)),Assumptions!$F$4:$F$44))/NETWORKDAYS($K60,$L60,Assumptions!$F$4:$F$44))</f>
        <v>0</v>
      </c>
      <c r="BC60" s="21" t="n">
        <f aca="false">IF($J60=0,0,MAX(0,NETWORKDAYS(MAX($K60,BC$4),MIN($L60,EOMONTH(BC$4,0)),Assumptions!$F$4:$F$44))/NETWORKDAYS($K60,$L60,Assumptions!$F$4:$F$44))</f>
        <v>0</v>
      </c>
    </row>
    <row r="61" customFormat="false" ht="15" hidden="false" customHeight="false" outlineLevel="1" collapsed="false">
      <c r="A61" s="22" t="n">
        <v>57</v>
      </c>
      <c r="B61" s="22" t="s">
        <v>211</v>
      </c>
      <c r="C61" s="22" t="n">
        <v>2</v>
      </c>
      <c r="D61" s="22" t="s">
        <v>89</v>
      </c>
      <c r="E61" s="23" t="s">
        <v>212</v>
      </c>
      <c r="F61" s="22" t="s">
        <v>154</v>
      </c>
      <c r="G61" s="22" t="s">
        <v>157</v>
      </c>
      <c r="H61" s="22"/>
      <c r="I61" s="22"/>
      <c r="J61" s="22" t="n">
        <f aca="false">NETWORKDAYS(K61,L61,Assumptions!$F$4:$F$44)</f>
        <v>56</v>
      </c>
      <c r="K61" s="24" t="n">
        <f aca="false">MIN(K62:K64)</f>
        <v>46357</v>
      </c>
      <c r="L61" s="24" t="n">
        <f aca="false">MAX(L62:L64)</f>
        <v>46434</v>
      </c>
      <c r="M61" s="22"/>
      <c r="N61" s="25" t="n">
        <f aca="false">SUMPRODUCT(($C$62:$C$64=3)*(N62:N64))</f>
        <v>0</v>
      </c>
      <c r="O61" s="25" t="n">
        <f aca="false">SUMPRODUCT(($C$62:$C$64=3)*(O62:O64))</f>
        <v>0</v>
      </c>
      <c r="P61" s="25" t="n">
        <f aca="false">SUMPRODUCT(($C$62:$C$64=3)*(P62:P64))</f>
        <v>4</v>
      </c>
      <c r="Q61" s="25" t="n">
        <f aca="false">SUMPRODUCT(($C$62:$C$64=3)*(Q62:Q64))</f>
        <v>40</v>
      </c>
      <c r="R61" s="25" t="n">
        <f aca="false">SUMPRODUCT(($C$62:$C$64=3)*(R62:R64))</f>
        <v>0</v>
      </c>
      <c r="S61" s="25" t="n">
        <f aca="false">SUMPRODUCT(($C$62:$C$64=3)*(S62:S64))</f>
        <v>0</v>
      </c>
      <c r="T61" s="25" t="n">
        <f aca="false">SUMPRODUCT(($C$62:$C$64=3)*(T62:T64))</f>
        <v>0</v>
      </c>
      <c r="U61" s="25" t="n">
        <f aca="false">SUMPRODUCT(($C$62:$C$64=3)*(U62:U64))</f>
        <v>4</v>
      </c>
      <c r="V61" s="25" t="n">
        <f aca="false">SUMPRODUCT(($C$62:$C$64=3)*(V62:V64))</f>
        <v>10</v>
      </c>
      <c r="W61" s="25" t="n">
        <f aca="false">SUMPRODUCT(($C$62:$C$64=3)*(W62:W64))</f>
        <v>0</v>
      </c>
      <c r="X61" s="25" t="n">
        <f aca="false">SUMPRODUCT(($C$62:$C$64=3)*(X62:X64))</f>
        <v>0</v>
      </c>
      <c r="Y61" s="25" t="n">
        <f aca="false">SUM(N61:X61)</f>
        <v>58</v>
      </c>
      <c r="Z61" s="25" t="n">
        <f aca="false">Y61*(1+Assumptions!$C$5)</f>
        <v>66.7</v>
      </c>
      <c r="AA61" s="22" t="s">
        <v>213</v>
      </c>
      <c r="AB61" s="22"/>
      <c r="AC61" s="22"/>
      <c r="AD61" s="26"/>
      <c r="AF61" s="21" t="n">
        <v>0</v>
      </c>
      <c r="AG61" s="21" t="n">
        <v>0</v>
      </c>
      <c r="AH61" s="21" t="n">
        <v>0</v>
      </c>
      <c r="AI61" s="21" t="n">
        <v>0</v>
      </c>
      <c r="AJ61" s="21" t="n">
        <v>0</v>
      </c>
      <c r="AK61" s="21" t="n">
        <v>0</v>
      </c>
      <c r="AL61" s="21" t="n">
        <v>0</v>
      </c>
      <c r="AM61" s="21" t="n">
        <v>0</v>
      </c>
      <c r="AN61" s="21" t="n">
        <v>0</v>
      </c>
      <c r="AO61" s="21" t="n">
        <v>0</v>
      </c>
      <c r="AP61" s="21" t="n">
        <v>0</v>
      </c>
      <c r="AQ61" s="21" t="n">
        <v>0</v>
      </c>
      <c r="AR61" s="21" t="n">
        <v>0</v>
      </c>
      <c r="AS61" s="21" t="n">
        <v>0</v>
      </c>
      <c r="AT61" s="21" t="n">
        <v>0</v>
      </c>
      <c r="AU61" s="21" t="n">
        <v>0</v>
      </c>
      <c r="AV61" s="21" t="n">
        <v>0</v>
      </c>
      <c r="AW61" s="21" t="n">
        <v>0</v>
      </c>
      <c r="AX61" s="21" t="n">
        <v>0</v>
      </c>
      <c r="AY61" s="21" t="n">
        <v>0</v>
      </c>
      <c r="AZ61" s="21" t="n">
        <v>0</v>
      </c>
      <c r="BA61" s="21" t="n">
        <v>0</v>
      </c>
      <c r="BB61" s="21" t="n">
        <v>0</v>
      </c>
      <c r="BC61" s="21" t="n">
        <v>0</v>
      </c>
    </row>
    <row r="62" customFormat="false" ht="15" hidden="false" customHeight="false" outlineLevel="2" collapsed="false">
      <c r="A62" s="27" t="n">
        <v>58</v>
      </c>
      <c r="B62" s="27" t="s">
        <v>214</v>
      </c>
      <c r="C62" s="27" t="n">
        <v>3</v>
      </c>
      <c r="D62" s="27" t="s">
        <v>92</v>
      </c>
      <c r="E62" s="28" t="s">
        <v>160</v>
      </c>
      <c r="F62" s="27" t="s">
        <v>154</v>
      </c>
      <c r="G62" s="27" t="s">
        <v>157</v>
      </c>
      <c r="H62" s="27" t="s">
        <v>45</v>
      </c>
      <c r="I62" s="29" t="n">
        <v>21</v>
      </c>
      <c r="J62" s="29" t="n">
        <v>11</v>
      </c>
      <c r="K62" s="30" t="n">
        <f aca="false">WORKDAY(Assumptions!$C$4,I62,Assumptions!$F$4:$F$44)</f>
        <v>46357</v>
      </c>
      <c r="L62" s="30" t="n">
        <f aca="false">IF(J62=0,K62,WORKDAY(K62,J62-1,Assumptions!$F$4:$F$44))</f>
        <v>46371</v>
      </c>
      <c r="M62" s="29" t="s">
        <v>161</v>
      </c>
      <c r="N62" s="31" t="n">
        <v>0</v>
      </c>
      <c r="O62" s="31" t="n">
        <v>0</v>
      </c>
      <c r="P62" s="31" t="n">
        <v>4</v>
      </c>
      <c r="Q62" s="31" t="n">
        <v>4</v>
      </c>
      <c r="R62" s="31" t="n">
        <v>0</v>
      </c>
      <c r="S62" s="31" t="n">
        <v>0</v>
      </c>
      <c r="T62" s="31" t="n">
        <v>0</v>
      </c>
      <c r="U62" s="31" t="n">
        <v>0</v>
      </c>
      <c r="V62" s="31" t="n">
        <v>0</v>
      </c>
      <c r="W62" s="31" t="n">
        <v>0</v>
      </c>
      <c r="X62" s="31" t="n">
        <v>0</v>
      </c>
      <c r="Y62" s="32" t="n">
        <f aca="false">SUM(N62:X62)</f>
        <v>8</v>
      </c>
      <c r="Z62" s="32" t="n">
        <f aca="false">Y62*(1+Assumptions!$C$5)</f>
        <v>9.2</v>
      </c>
      <c r="AA62" s="27" t="s">
        <v>162</v>
      </c>
      <c r="AB62" s="27" t="s">
        <v>95</v>
      </c>
      <c r="AC62" s="27"/>
      <c r="AD62" s="33" t="n">
        <v>0</v>
      </c>
      <c r="AF62" s="21" t="n">
        <f aca="false">IF($J62=0,0,MAX(0,NETWORKDAYS(MAX($K62,AF$4),MIN($L62,EOMONTH(AF$4,0)),Assumptions!$F$4:$F$44))/NETWORKDAYS($K62,$L62,Assumptions!$F$4:$F$44))</f>
        <v>0</v>
      </c>
      <c r="AG62" s="21" t="n">
        <f aca="false">IF($J62=0,0,MAX(0,NETWORKDAYS(MAX($K62,AG$4),MIN($L62,EOMONTH(AG$4,0)),Assumptions!$F$4:$F$44))/NETWORKDAYS($K62,$L62,Assumptions!$F$4:$F$44))</f>
        <v>1</v>
      </c>
      <c r="AH62" s="21" t="n">
        <f aca="false">IF($J62=0,0,MAX(0,NETWORKDAYS(MAX($K62,AH$4),MIN($L62,EOMONTH(AH$4,0)),Assumptions!$F$4:$F$44))/NETWORKDAYS($K62,$L62,Assumptions!$F$4:$F$44))</f>
        <v>0</v>
      </c>
      <c r="AI62" s="21" t="n">
        <f aca="false">IF($J62=0,0,MAX(0,NETWORKDAYS(MAX($K62,AI$4),MIN($L62,EOMONTH(AI$4,0)),Assumptions!$F$4:$F$44))/NETWORKDAYS($K62,$L62,Assumptions!$F$4:$F$44))</f>
        <v>0</v>
      </c>
      <c r="AJ62" s="21" t="n">
        <f aca="false">IF($J62=0,0,MAX(0,NETWORKDAYS(MAX($K62,AJ$4),MIN($L62,EOMONTH(AJ$4,0)),Assumptions!$F$4:$F$44))/NETWORKDAYS($K62,$L62,Assumptions!$F$4:$F$44))</f>
        <v>0</v>
      </c>
      <c r="AK62" s="21" t="n">
        <f aca="false">IF($J62=0,0,MAX(0,NETWORKDAYS(MAX($K62,AK$4),MIN($L62,EOMONTH(AK$4,0)),Assumptions!$F$4:$F$44))/NETWORKDAYS($K62,$L62,Assumptions!$F$4:$F$44))</f>
        <v>0</v>
      </c>
      <c r="AL62" s="21" t="n">
        <f aca="false">IF($J62=0,0,MAX(0,NETWORKDAYS(MAX($K62,AL$4),MIN($L62,EOMONTH(AL$4,0)),Assumptions!$F$4:$F$44))/NETWORKDAYS($K62,$L62,Assumptions!$F$4:$F$44))</f>
        <v>0</v>
      </c>
      <c r="AM62" s="21" t="n">
        <f aca="false">IF($J62=0,0,MAX(0,NETWORKDAYS(MAX($K62,AM$4),MIN($L62,EOMONTH(AM$4,0)),Assumptions!$F$4:$F$44))/NETWORKDAYS($K62,$L62,Assumptions!$F$4:$F$44))</f>
        <v>0</v>
      </c>
      <c r="AN62" s="21" t="n">
        <f aca="false">IF($J62=0,0,MAX(0,NETWORKDAYS(MAX($K62,AN$4),MIN($L62,EOMONTH(AN$4,0)),Assumptions!$F$4:$F$44))/NETWORKDAYS($K62,$L62,Assumptions!$F$4:$F$44))</f>
        <v>0</v>
      </c>
      <c r="AO62" s="21" t="n">
        <f aca="false">IF($J62=0,0,MAX(0,NETWORKDAYS(MAX($K62,AO$4),MIN($L62,EOMONTH(AO$4,0)),Assumptions!$F$4:$F$44))/NETWORKDAYS($K62,$L62,Assumptions!$F$4:$F$44))</f>
        <v>0</v>
      </c>
      <c r="AP62" s="21" t="n">
        <f aca="false">IF($J62=0,0,MAX(0,NETWORKDAYS(MAX($K62,AP$4),MIN($L62,EOMONTH(AP$4,0)),Assumptions!$F$4:$F$44))/NETWORKDAYS($K62,$L62,Assumptions!$F$4:$F$44))</f>
        <v>0</v>
      </c>
      <c r="AQ62" s="21" t="n">
        <f aca="false">IF($J62=0,0,MAX(0,NETWORKDAYS(MAX($K62,AQ$4),MIN($L62,EOMONTH(AQ$4,0)),Assumptions!$F$4:$F$44))/NETWORKDAYS($K62,$L62,Assumptions!$F$4:$F$44))</f>
        <v>0</v>
      </c>
      <c r="AR62" s="21" t="n">
        <f aca="false">IF($J62=0,0,MAX(0,NETWORKDAYS(MAX($K62,AR$4),MIN($L62,EOMONTH(AR$4,0)),Assumptions!$F$4:$F$44))/NETWORKDAYS($K62,$L62,Assumptions!$F$4:$F$44))</f>
        <v>0</v>
      </c>
      <c r="AS62" s="21" t="n">
        <f aca="false">IF($J62=0,0,MAX(0,NETWORKDAYS(MAX($K62,AS$4),MIN($L62,EOMONTH(AS$4,0)),Assumptions!$F$4:$F$44))/NETWORKDAYS($K62,$L62,Assumptions!$F$4:$F$44))</f>
        <v>0</v>
      </c>
      <c r="AT62" s="21" t="n">
        <f aca="false">IF($J62=0,0,MAX(0,NETWORKDAYS(MAX($K62,AT$4),MIN($L62,EOMONTH(AT$4,0)),Assumptions!$F$4:$F$44))/NETWORKDAYS($K62,$L62,Assumptions!$F$4:$F$44))</f>
        <v>0</v>
      </c>
      <c r="AU62" s="21" t="n">
        <f aca="false">IF($J62=0,0,MAX(0,NETWORKDAYS(MAX($K62,AU$4),MIN($L62,EOMONTH(AU$4,0)),Assumptions!$F$4:$F$44))/NETWORKDAYS($K62,$L62,Assumptions!$F$4:$F$44))</f>
        <v>0</v>
      </c>
      <c r="AV62" s="21" t="n">
        <f aca="false">IF($J62=0,0,MAX(0,NETWORKDAYS(MAX($K62,AV$4),MIN($L62,EOMONTH(AV$4,0)),Assumptions!$F$4:$F$44))/NETWORKDAYS($K62,$L62,Assumptions!$F$4:$F$44))</f>
        <v>0</v>
      </c>
      <c r="AW62" s="21" t="n">
        <f aca="false">IF($J62=0,0,MAX(0,NETWORKDAYS(MAX($K62,AW$4),MIN($L62,EOMONTH(AW$4,0)),Assumptions!$F$4:$F$44))/NETWORKDAYS($K62,$L62,Assumptions!$F$4:$F$44))</f>
        <v>0</v>
      </c>
      <c r="AX62" s="21" t="n">
        <f aca="false">IF($J62=0,0,MAX(0,NETWORKDAYS(MAX($K62,AX$4),MIN($L62,EOMONTH(AX$4,0)),Assumptions!$F$4:$F$44))/NETWORKDAYS($K62,$L62,Assumptions!$F$4:$F$44))</f>
        <v>0</v>
      </c>
      <c r="AY62" s="21" t="n">
        <f aca="false">IF($J62=0,0,MAX(0,NETWORKDAYS(MAX($K62,AY$4),MIN($L62,EOMONTH(AY$4,0)),Assumptions!$F$4:$F$44))/NETWORKDAYS($K62,$L62,Assumptions!$F$4:$F$44))</f>
        <v>0</v>
      </c>
      <c r="AZ62" s="21" t="n">
        <f aca="false">IF($J62=0,0,MAX(0,NETWORKDAYS(MAX($K62,AZ$4),MIN($L62,EOMONTH(AZ$4,0)),Assumptions!$F$4:$F$44))/NETWORKDAYS($K62,$L62,Assumptions!$F$4:$F$44))</f>
        <v>0</v>
      </c>
      <c r="BA62" s="21" t="n">
        <f aca="false">IF($J62=0,0,MAX(0,NETWORKDAYS(MAX($K62,BA$4),MIN($L62,EOMONTH(BA$4,0)),Assumptions!$F$4:$F$44))/NETWORKDAYS($K62,$L62,Assumptions!$F$4:$F$44))</f>
        <v>0</v>
      </c>
      <c r="BB62" s="21" t="n">
        <f aca="false">IF($J62=0,0,MAX(0,NETWORKDAYS(MAX($K62,BB$4),MIN($L62,EOMONTH(BB$4,0)),Assumptions!$F$4:$F$44))/NETWORKDAYS($K62,$L62,Assumptions!$F$4:$F$44))</f>
        <v>0</v>
      </c>
      <c r="BC62" s="21" t="n">
        <f aca="false">IF($J62=0,0,MAX(0,NETWORKDAYS(MAX($K62,BC$4),MIN($L62,EOMONTH(BC$4,0)),Assumptions!$F$4:$F$44))/NETWORKDAYS($K62,$L62,Assumptions!$F$4:$F$44))</f>
        <v>0</v>
      </c>
    </row>
    <row r="63" customFormat="false" ht="15" hidden="false" customHeight="false" outlineLevel="2" collapsed="false">
      <c r="A63" s="27" t="n">
        <v>59</v>
      </c>
      <c r="B63" s="27" t="s">
        <v>215</v>
      </c>
      <c r="C63" s="27" t="n">
        <v>3</v>
      </c>
      <c r="D63" s="27" t="s">
        <v>92</v>
      </c>
      <c r="E63" s="28" t="s">
        <v>164</v>
      </c>
      <c r="F63" s="27" t="s">
        <v>154</v>
      </c>
      <c r="G63" s="27" t="s">
        <v>157</v>
      </c>
      <c r="H63" s="27" t="s">
        <v>47</v>
      </c>
      <c r="I63" s="29" t="n">
        <v>32</v>
      </c>
      <c r="J63" s="29" t="n">
        <v>34</v>
      </c>
      <c r="K63" s="30" t="n">
        <f aca="false">WORKDAY(Assumptions!$C$4,I63,Assumptions!$F$4:$F$44)</f>
        <v>46372</v>
      </c>
      <c r="L63" s="30" t="n">
        <f aca="false">IF(J63=0,K63,WORKDAY(K63,J63-1,Assumptions!$F$4:$F$44))</f>
        <v>46419</v>
      </c>
      <c r="M63" s="29"/>
      <c r="N63" s="31" t="n">
        <v>0</v>
      </c>
      <c r="O63" s="31" t="n">
        <v>0</v>
      </c>
      <c r="P63" s="31" t="n">
        <v>0</v>
      </c>
      <c r="Q63" s="31" t="n">
        <v>32</v>
      </c>
      <c r="R63" s="31" t="n">
        <v>0</v>
      </c>
      <c r="S63" s="31" t="n">
        <v>0</v>
      </c>
      <c r="T63" s="31" t="n">
        <v>0</v>
      </c>
      <c r="U63" s="31" t="n">
        <v>4</v>
      </c>
      <c r="V63" s="31" t="n">
        <v>0</v>
      </c>
      <c r="W63" s="31" t="n">
        <v>0</v>
      </c>
      <c r="X63" s="31" t="n">
        <v>0</v>
      </c>
      <c r="Y63" s="32" t="n">
        <f aca="false">SUM(N63:X63)</f>
        <v>36</v>
      </c>
      <c r="Z63" s="32" t="n">
        <f aca="false">Y63*(1+Assumptions!$C$5)</f>
        <v>41.4</v>
      </c>
      <c r="AA63" s="27" t="s">
        <v>165</v>
      </c>
      <c r="AB63" s="27" t="s">
        <v>95</v>
      </c>
      <c r="AC63" s="27"/>
      <c r="AD63" s="33" t="n">
        <v>0</v>
      </c>
      <c r="AF63" s="21" t="n">
        <f aca="false">IF($J63=0,0,MAX(0,NETWORKDAYS(MAX($K63,AF$4),MIN($L63,EOMONTH(AF$4,0)),Assumptions!$F$4:$F$44))/NETWORKDAYS($K63,$L63,Assumptions!$F$4:$F$44))</f>
        <v>0</v>
      </c>
      <c r="AG63" s="21" t="n">
        <f aca="false">IF($J63=0,0,MAX(0,NETWORKDAYS(MAX($K63,AG$4),MIN($L63,EOMONTH(AG$4,0)),Assumptions!$F$4:$F$44))/NETWORKDAYS($K63,$L63,Assumptions!$F$4:$F$44))</f>
        <v>0.352941176470588</v>
      </c>
      <c r="AH63" s="21" t="n">
        <f aca="false">IF($J63=0,0,MAX(0,NETWORKDAYS(MAX($K63,AH$4),MIN($L63,EOMONTH(AH$4,0)),Assumptions!$F$4:$F$44))/NETWORKDAYS($K63,$L63,Assumptions!$F$4:$F$44))</f>
        <v>0.617647058823529</v>
      </c>
      <c r="AI63" s="21" t="n">
        <f aca="false">IF($J63=0,0,MAX(0,NETWORKDAYS(MAX($K63,AI$4),MIN($L63,EOMONTH(AI$4,0)),Assumptions!$F$4:$F$44))/NETWORKDAYS($K63,$L63,Assumptions!$F$4:$F$44))</f>
        <v>0.0294117647058824</v>
      </c>
      <c r="AJ63" s="21" t="n">
        <f aca="false">IF($J63=0,0,MAX(0,NETWORKDAYS(MAX($K63,AJ$4),MIN($L63,EOMONTH(AJ$4,0)),Assumptions!$F$4:$F$44))/NETWORKDAYS($K63,$L63,Assumptions!$F$4:$F$44))</f>
        <v>0</v>
      </c>
      <c r="AK63" s="21" t="n">
        <f aca="false">IF($J63=0,0,MAX(0,NETWORKDAYS(MAX($K63,AK$4),MIN($L63,EOMONTH(AK$4,0)),Assumptions!$F$4:$F$44))/NETWORKDAYS($K63,$L63,Assumptions!$F$4:$F$44))</f>
        <v>0</v>
      </c>
      <c r="AL63" s="21" t="n">
        <f aca="false">IF($J63=0,0,MAX(0,NETWORKDAYS(MAX($K63,AL$4),MIN($L63,EOMONTH(AL$4,0)),Assumptions!$F$4:$F$44))/NETWORKDAYS($K63,$L63,Assumptions!$F$4:$F$44))</f>
        <v>0</v>
      </c>
      <c r="AM63" s="21" t="n">
        <f aca="false">IF($J63=0,0,MAX(0,NETWORKDAYS(MAX($K63,AM$4),MIN($L63,EOMONTH(AM$4,0)),Assumptions!$F$4:$F$44))/NETWORKDAYS($K63,$L63,Assumptions!$F$4:$F$44))</f>
        <v>0</v>
      </c>
      <c r="AN63" s="21" t="n">
        <f aca="false">IF($J63=0,0,MAX(0,NETWORKDAYS(MAX($K63,AN$4),MIN($L63,EOMONTH(AN$4,0)),Assumptions!$F$4:$F$44))/NETWORKDAYS($K63,$L63,Assumptions!$F$4:$F$44))</f>
        <v>0</v>
      </c>
      <c r="AO63" s="21" t="n">
        <f aca="false">IF($J63=0,0,MAX(0,NETWORKDAYS(MAX($K63,AO$4),MIN($L63,EOMONTH(AO$4,0)),Assumptions!$F$4:$F$44))/NETWORKDAYS($K63,$L63,Assumptions!$F$4:$F$44))</f>
        <v>0</v>
      </c>
      <c r="AP63" s="21" t="n">
        <f aca="false">IF($J63=0,0,MAX(0,NETWORKDAYS(MAX($K63,AP$4),MIN($L63,EOMONTH(AP$4,0)),Assumptions!$F$4:$F$44))/NETWORKDAYS($K63,$L63,Assumptions!$F$4:$F$44))</f>
        <v>0</v>
      </c>
      <c r="AQ63" s="21" t="n">
        <f aca="false">IF($J63=0,0,MAX(0,NETWORKDAYS(MAX($K63,AQ$4),MIN($L63,EOMONTH(AQ$4,0)),Assumptions!$F$4:$F$44))/NETWORKDAYS($K63,$L63,Assumptions!$F$4:$F$44))</f>
        <v>0</v>
      </c>
      <c r="AR63" s="21" t="n">
        <f aca="false">IF($J63=0,0,MAX(0,NETWORKDAYS(MAX($K63,AR$4),MIN($L63,EOMONTH(AR$4,0)),Assumptions!$F$4:$F$44))/NETWORKDAYS($K63,$L63,Assumptions!$F$4:$F$44))</f>
        <v>0</v>
      </c>
      <c r="AS63" s="21" t="n">
        <f aca="false">IF($J63=0,0,MAX(0,NETWORKDAYS(MAX($K63,AS$4),MIN($L63,EOMONTH(AS$4,0)),Assumptions!$F$4:$F$44))/NETWORKDAYS($K63,$L63,Assumptions!$F$4:$F$44))</f>
        <v>0</v>
      </c>
      <c r="AT63" s="21" t="n">
        <f aca="false">IF($J63=0,0,MAX(0,NETWORKDAYS(MAX($K63,AT$4),MIN($L63,EOMONTH(AT$4,0)),Assumptions!$F$4:$F$44))/NETWORKDAYS($K63,$L63,Assumptions!$F$4:$F$44))</f>
        <v>0</v>
      </c>
      <c r="AU63" s="21" t="n">
        <f aca="false">IF($J63=0,0,MAX(0,NETWORKDAYS(MAX($K63,AU$4),MIN($L63,EOMONTH(AU$4,0)),Assumptions!$F$4:$F$44))/NETWORKDAYS($K63,$L63,Assumptions!$F$4:$F$44))</f>
        <v>0</v>
      </c>
      <c r="AV63" s="21" t="n">
        <f aca="false">IF($J63=0,0,MAX(0,NETWORKDAYS(MAX($K63,AV$4),MIN($L63,EOMONTH(AV$4,0)),Assumptions!$F$4:$F$44))/NETWORKDAYS($K63,$L63,Assumptions!$F$4:$F$44))</f>
        <v>0</v>
      </c>
      <c r="AW63" s="21" t="n">
        <f aca="false">IF($J63=0,0,MAX(0,NETWORKDAYS(MAX($K63,AW$4),MIN($L63,EOMONTH(AW$4,0)),Assumptions!$F$4:$F$44))/NETWORKDAYS($K63,$L63,Assumptions!$F$4:$F$44))</f>
        <v>0</v>
      </c>
      <c r="AX63" s="21" t="n">
        <f aca="false">IF($J63=0,0,MAX(0,NETWORKDAYS(MAX($K63,AX$4),MIN($L63,EOMONTH(AX$4,0)),Assumptions!$F$4:$F$44))/NETWORKDAYS($K63,$L63,Assumptions!$F$4:$F$44))</f>
        <v>0</v>
      </c>
      <c r="AY63" s="21" t="n">
        <f aca="false">IF($J63=0,0,MAX(0,NETWORKDAYS(MAX($K63,AY$4),MIN($L63,EOMONTH(AY$4,0)),Assumptions!$F$4:$F$44))/NETWORKDAYS($K63,$L63,Assumptions!$F$4:$F$44))</f>
        <v>0</v>
      </c>
      <c r="AZ63" s="21" t="n">
        <f aca="false">IF($J63=0,0,MAX(0,NETWORKDAYS(MAX($K63,AZ$4),MIN($L63,EOMONTH(AZ$4,0)),Assumptions!$F$4:$F$44))/NETWORKDAYS($K63,$L63,Assumptions!$F$4:$F$44))</f>
        <v>0</v>
      </c>
      <c r="BA63" s="21" t="n">
        <f aca="false">IF($J63=0,0,MAX(0,NETWORKDAYS(MAX($K63,BA$4),MIN($L63,EOMONTH(BA$4,0)),Assumptions!$F$4:$F$44))/NETWORKDAYS($K63,$L63,Assumptions!$F$4:$F$44))</f>
        <v>0</v>
      </c>
      <c r="BB63" s="21" t="n">
        <f aca="false">IF($J63=0,0,MAX(0,NETWORKDAYS(MAX($K63,BB$4),MIN($L63,EOMONTH(BB$4,0)),Assumptions!$F$4:$F$44))/NETWORKDAYS($K63,$L63,Assumptions!$F$4:$F$44))</f>
        <v>0</v>
      </c>
      <c r="BC63" s="21" t="n">
        <f aca="false">IF($J63=0,0,MAX(0,NETWORKDAYS(MAX($K63,BC$4),MIN($L63,EOMONTH(BC$4,0)),Assumptions!$F$4:$F$44))/NETWORKDAYS($K63,$L63,Assumptions!$F$4:$F$44))</f>
        <v>0</v>
      </c>
    </row>
    <row r="64" customFormat="false" ht="15" hidden="false" customHeight="false" outlineLevel="2" collapsed="false">
      <c r="A64" s="27" t="n">
        <v>60</v>
      </c>
      <c r="B64" s="27" t="s">
        <v>216</v>
      </c>
      <c r="C64" s="27" t="n">
        <v>3</v>
      </c>
      <c r="D64" s="27" t="s">
        <v>92</v>
      </c>
      <c r="E64" s="28" t="s">
        <v>167</v>
      </c>
      <c r="F64" s="27" t="s">
        <v>154</v>
      </c>
      <c r="G64" s="27" t="s">
        <v>157</v>
      </c>
      <c r="H64" s="27" t="s">
        <v>57</v>
      </c>
      <c r="I64" s="29" t="n">
        <v>63</v>
      </c>
      <c r="J64" s="29" t="n">
        <v>14</v>
      </c>
      <c r="K64" s="30" t="n">
        <f aca="false">WORKDAY(Assumptions!$C$4,I64,Assumptions!$F$4:$F$44)</f>
        <v>46415</v>
      </c>
      <c r="L64" s="30" t="n">
        <f aca="false">IF(J64=0,K64,WORKDAY(K64,J64-1,Assumptions!$F$4:$F$44))</f>
        <v>46434</v>
      </c>
      <c r="M64" s="29"/>
      <c r="N64" s="31" t="n">
        <v>0</v>
      </c>
      <c r="O64" s="31" t="n">
        <v>0</v>
      </c>
      <c r="P64" s="31" t="n">
        <v>0</v>
      </c>
      <c r="Q64" s="31" t="n">
        <v>4</v>
      </c>
      <c r="R64" s="31" t="n">
        <v>0</v>
      </c>
      <c r="S64" s="31" t="n">
        <v>0</v>
      </c>
      <c r="T64" s="31" t="n">
        <v>0</v>
      </c>
      <c r="U64" s="31" t="n">
        <v>0</v>
      </c>
      <c r="V64" s="31" t="n">
        <v>10</v>
      </c>
      <c r="W64" s="31" t="n">
        <v>0</v>
      </c>
      <c r="X64" s="31" t="n">
        <v>0</v>
      </c>
      <c r="Y64" s="32" t="n">
        <f aca="false">SUM(N64:X64)</f>
        <v>14</v>
      </c>
      <c r="Z64" s="32" t="n">
        <f aca="false">Y64*(1+Assumptions!$C$5)</f>
        <v>16.1</v>
      </c>
      <c r="AA64" s="27" t="s">
        <v>168</v>
      </c>
      <c r="AB64" s="27" t="s">
        <v>95</v>
      </c>
      <c r="AC64" s="27"/>
      <c r="AD64" s="33" t="n">
        <v>0</v>
      </c>
      <c r="AF64" s="21" t="n">
        <f aca="false">IF($J64=0,0,MAX(0,NETWORKDAYS(MAX($K64,AF$4),MIN($L64,EOMONTH(AF$4,0)),Assumptions!$F$4:$F$44))/NETWORKDAYS($K64,$L64,Assumptions!$F$4:$F$44))</f>
        <v>0</v>
      </c>
      <c r="AG64" s="21" t="n">
        <f aca="false">IF($J64=0,0,MAX(0,NETWORKDAYS(MAX($K64,AG$4),MIN($L64,EOMONTH(AG$4,0)),Assumptions!$F$4:$F$44))/NETWORKDAYS($K64,$L64,Assumptions!$F$4:$F$44))</f>
        <v>0</v>
      </c>
      <c r="AH64" s="21" t="n">
        <f aca="false">IF($J64=0,0,MAX(0,NETWORKDAYS(MAX($K64,AH$4),MIN($L64,EOMONTH(AH$4,0)),Assumptions!$F$4:$F$44))/NETWORKDAYS($K64,$L64,Assumptions!$F$4:$F$44))</f>
        <v>0.142857142857143</v>
      </c>
      <c r="AI64" s="21" t="n">
        <f aca="false">IF($J64=0,0,MAX(0,NETWORKDAYS(MAX($K64,AI$4),MIN($L64,EOMONTH(AI$4,0)),Assumptions!$F$4:$F$44))/NETWORKDAYS($K64,$L64,Assumptions!$F$4:$F$44))</f>
        <v>0.857142857142857</v>
      </c>
      <c r="AJ64" s="21" t="n">
        <f aca="false">IF($J64=0,0,MAX(0,NETWORKDAYS(MAX($K64,AJ$4),MIN($L64,EOMONTH(AJ$4,0)),Assumptions!$F$4:$F$44))/NETWORKDAYS($K64,$L64,Assumptions!$F$4:$F$44))</f>
        <v>0</v>
      </c>
      <c r="AK64" s="21" t="n">
        <f aca="false">IF($J64=0,0,MAX(0,NETWORKDAYS(MAX($K64,AK$4),MIN($L64,EOMONTH(AK$4,0)),Assumptions!$F$4:$F$44))/NETWORKDAYS($K64,$L64,Assumptions!$F$4:$F$44))</f>
        <v>0</v>
      </c>
      <c r="AL64" s="21" t="n">
        <f aca="false">IF($J64=0,0,MAX(0,NETWORKDAYS(MAX($K64,AL$4),MIN($L64,EOMONTH(AL$4,0)),Assumptions!$F$4:$F$44))/NETWORKDAYS($K64,$L64,Assumptions!$F$4:$F$44))</f>
        <v>0</v>
      </c>
      <c r="AM64" s="21" t="n">
        <f aca="false">IF($J64=0,0,MAX(0,NETWORKDAYS(MAX($K64,AM$4),MIN($L64,EOMONTH(AM$4,0)),Assumptions!$F$4:$F$44))/NETWORKDAYS($K64,$L64,Assumptions!$F$4:$F$44))</f>
        <v>0</v>
      </c>
      <c r="AN64" s="21" t="n">
        <f aca="false">IF($J64=0,0,MAX(0,NETWORKDAYS(MAX($K64,AN$4),MIN($L64,EOMONTH(AN$4,0)),Assumptions!$F$4:$F$44))/NETWORKDAYS($K64,$L64,Assumptions!$F$4:$F$44))</f>
        <v>0</v>
      </c>
      <c r="AO64" s="21" t="n">
        <f aca="false">IF($J64=0,0,MAX(0,NETWORKDAYS(MAX($K64,AO$4),MIN($L64,EOMONTH(AO$4,0)),Assumptions!$F$4:$F$44))/NETWORKDAYS($K64,$L64,Assumptions!$F$4:$F$44))</f>
        <v>0</v>
      </c>
      <c r="AP64" s="21" t="n">
        <f aca="false">IF($J64=0,0,MAX(0,NETWORKDAYS(MAX($K64,AP$4),MIN($L64,EOMONTH(AP$4,0)),Assumptions!$F$4:$F$44))/NETWORKDAYS($K64,$L64,Assumptions!$F$4:$F$44))</f>
        <v>0</v>
      </c>
      <c r="AQ64" s="21" t="n">
        <f aca="false">IF($J64=0,0,MAX(0,NETWORKDAYS(MAX($K64,AQ$4),MIN($L64,EOMONTH(AQ$4,0)),Assumptions!$F$4:$F$44))/NETWORKDAYS($K64,$L64,Assumptions!$F$4:$F$44))</f>
        <v>0</v>
      </c>
      <c r="AR64" s="21" t="n">
        <f aca="false">IF($J64=0,0,MAX(0,NETWORKDAYS(MAX($K64,AR$4),MIN($L64,EOMONTH(AR$4,0)),Assumptions!$F$4:$F$44))/NETWORKDAYS($K64,$L64,Assumptions!$F$4:$F$44))</f>
        <v>0</v>
      </c>
      <c r="AS64" s="21" t="n">
        <f aca="false">IF($J64=0,0,MAX(0,NETWORKDAYS(MAX($K64,AS$4),MIN($L64,EOMONTH(AS$4,0)),Assumptions!$F$4:$F$44))/NETWORKDAYS($K64,$L64,Assumptions!$F$4:$F$44))</f>
        <v>0</v>
      </c>
      <c r="AT64" s="21" t="n">
        <f aca="false">IF($J64=0,0,MAX(0,NETWORKDAYS(MAX($K64,AT$4),MIN($L64,EOMONTH(AT$4,0)),Assumptions!$F$4:$F$44))/NETWORKDAYS($K64,$L64,Assumptions!$F$4:$F$44))</f>
        <v>0</v>
      </c>
      <c r="AU64" s="21" t="n">
        <f aca="false">IF($J64=0,0,MAX(0,NETWORKDAYS(MAX($K64,AU$4),MIN($L64,EOMONTH(AU$4,0)),Assumptions!$F$4:$F$44))/NETWORKDAYS($K64,$L64,Assumptions!$F$4:$F$44))</f>
        <v>0</v>
      </c>
      <c r="AV64" s="21" t="n">
        <f aca="false">IF($J64=0,0,MAX(0,NETWORKDAYS(MAX($K64,AV$4),MIN($L64,EOMONTH(AV$4,0)),Assumptions!$F$4:$F$44))/NETWORKDAYS($K64,$L64,Assumptions!$F$4:$F$44))</f>
        <v>0</v>
      </c>
      <c r="AW64" s="21" t="n">
        <f aca="false">IF($J64=0,0,MAX(0,NETWORKDAYS(MAX($K64,AW$4),MIN($L64,EOMONTH(AW$4,0)),Assumptions!$F$4:$F$44))/NETWORKDAYS($K64,$L64,Assumptions!$F$4:$F$44))</f>
        <v>0</v>
      </c>
      <c r="AX64" s="21" t="n">
        <f aca="false">IF($J64=0,0,MAX(0,NETWORKDAYS(MAX($K64,AX$4),MIN($L64,EOMONTH(AX$4,0)),Assumptions!$F$4:$F$44))/NETWORKDAYS($K64,$L64,Assumptions!$F$4:$F$44))</f>
        <v>0</v>
      </c>
      <c r="AY64" s="21" t="n">
        <f aca="false">IF($J64=0,0,MAX(0,NETWORKDAYS(MAX($K64,AY$4),MIN($L64,EOMONTH(AY$4,0)),Assumptions!$F$4:$F$44))/NETWORKDAYS($K64,$L64,Assumptions!$F$4:$F$44))</f>
        <v>0</v>
      </c>
      <c r="AZ64" s="21" t="n">
        <f aca="false">IF($J64=0,0,MAX(0,NETWORKDAYS(MAX($K64,AZ$4),MIN($L64,EOMONTH(AZ$4,0)),Assumptions!$F$4:$F$44))/NETWORKDAYS($K64,$L64,Assumptions!$F$4:$F$44))</f>
        <v>0</v>
      </c>
      <c r="BA64" s="21" t="n">
        <f aca="false">IF($J64=0,0,MAX(0,NETWORKDAYS(MAX($K64,BA$4),MIN($L64,EOMONTH(BA$4,0)),Assumptions!$F$4:$F$44))/NETWORKDAYS($K64,$L64,Assumptions!$F$4:$F$44))</f>
        <v>0</v>
      </c>
      <c r="BB64" s="21" t="n">
        <f aca="false">IF($J64=0,0,MAX(0,NETWORKDAYS(MAX($K64,BB$4),MIN($L64,EOMONTH(BB$4,0)),Assumptions!$F$4:$F$44))/NETWORKDAYS($K64,$L64,Assumptions!$F$4:$F$44))</f>
        <v>0</v>
      </c>
      <c r="BC64" s="21" t="n">
        <f aca="false">IF($J64=0,0,MAX(0,NETWORKDAYS(MAX($K64,BC$4),MIN($L64,EOMONTH(BC$4,0)),Assumptions!$F$4:$F$44))/NETWORKDAYS($K64,$L64,Assumptions!$F$4:$F$44))</f>
        <v>0</v>
      </c>
    </row>
    <row r="65" customFormat="false" ht="15" hidden="false" customHeight="false" outlineLevel="1" collapsed="false">
      <c r="A65" s="22" t="n">
        <v>61</v>
      </c>
      <c r="B65" s="22" t="s">
        <v>217</v>
      </c>
      <c r="C65" s="22" t="n">
        <v>2</v>
      </c>
      <c r="D65" s="22" t="s">
        <v>89</v>
      </c>
      <c r="E65" s="23" t="s">
        <v>218</v>
      </c>
      <c r="F65" s="22" t="s">
        <v>154</v>
      </c>
      <c r="G65" s="22" t="s">
        <v>157</v>
      </c>
      <c r="H65" s="22"/>
      <c r="I65" s="22"/>
      <c r="J65" s="22" t="n">
        <f aca="false">NETWORKDAYS(K65,L65,Assumptions!$F$4:$F$44)</f>
        <v>40</v>
      </c>
      <c r="K65" s="24" t="n">
        <f aca="false">MIN(K66:K68)</f>
        <v>46372</v>
      </c>
      <c r="L65" s="24" t="n">
        <f aca="false">MAX(L66:L68)</f>
        <v>46427</v>
      </c>
      <c r="M65" s="22"/>
      <c r="N65" s="25" t="n">
        <f aca="false">SUMPRODUCT(($C$66:$C$68=3)*(N66:N68))</f>
        <v>0</v>
      </c>
      <c r="O65" s="25" t="n">
        <f aca="false">SUMPRODUCT(($C$66:$C$68=3)*(O66:O68))</f>
        <v>0</v>
      </c>
      <c r="P65" s="25" t="n">
        <f aca="false">SUMPRODUCT(($C$66:$C$68=3)*(P66:P68))</f>
        <v>2</v>
      </c>
      <c r="Q65" s="25" t="n">
        <f aca="false">SUMPRODUCT(($C$66:$C$68=3)*(Q66:Q68))</f>
        <v>18</v>
      </c>
      <c r="R65" s="25" t="n">
        <f aca="false">SUMPRODUCT(($C$66:$C$68=3)*(R66:R68))</f>
        <v>0</v>
      </c>
      <c r="S65" s="25" t="n">
        <f aca="false">SUMPRODUCT(($C$66:$C$68=3)*(S66:S68))</f>
        <v>0</v>
      </c>
      <c r="T65" s="25" t="n">
        <f aca="false">SUMPRODUCT(($C$66:$C$68=3)*(T66:T68))</f>
        <v>0</v>
      </c>
      <c r="U65" s="25" t="n">
        <f aca="false">SUMPRODUCT(($C$66:$C$68=3)*(U66:U68))</f>
        <v>0</v>
      </c>
      <c r="V65" s="25" t="n">
        <f aca="false">SUMPRODUCT(($C$66:$C$68=3)*(V66:V68))</f>
        <v>4</v>
      </c>
      <c r="W65" s="25" t="n">
        <f aca="false">SUMPRODUCT(($C$66:$C$68=3)*(W66:W68))</f>
        <v>0</v>
      </c>
      <c r="X65" s="25" t="n">
        <f aca="false">SUMPRODUCT(($C$66:$C$68=3)*(X66:X68))</f>
        <v>0</v>
      </c>
      <c r="Y65" s="25" t="n">
        <f aca="false">SUM(N65:X65)</f>
        <v>24</v>
      </c>
      <c r="Z65" s="25" t="n">
        <f aca="false">Y65*(1+Assumptions!$C$5)</f>
        <v>27.6</v>
      </c>
      <c r="AA65" s="22" t="s">
        <v>219</v>
      </c>
      <c r="AB65" s="22"/>
      <c r="AC65" s="22"/>
      <c r="AD65" s="26"/>
      <c r="AF65" s="21" t="n">
        <v>0</v>
      </c>
      <c r="AG65" s="21" t="n">
        <v>0</v>
      </c>
      <c r="AH65" s="21" t="n">
        <v>0</v>
      </c>
      <c r="AI65" s="21" t="n">
        <v>0</v>
      </c>
      <c r="AJ65" s="21" t="n">
        <v>0</v>
      </c>
      <c r="AK65" s="21" t="n">
        <v>0</v>
      </c>
      <c r="AL65" s="21" t="n">
        <v>0</v>
      </c>
      <c r="AM65" s="21" t="n">
        <v>0</v>
      </c>
      <c r="AN65" s="21" t="n">
        <v>0</v>
      </c>
      <c r="AO65" s="21" t="n">
        <v>0</v>
      </c>
      <c r="AP65" s="21" t="n">
        <v>0</v>
      </c>
      <c r="AQ65" s="21" t="n">
        <v>0</v>
      </c>
      <c r="AR65" s="21" t="n">
        <v>0</v>
      </c>
      <c r="AS65" s="21" t="n">
        <v>0</v>
      </c>
      <c r="AT65" s="21" t="n">
        <v>0</v>
      </c>
      <c r="AU65" s="21" t="n">
        <v>0</v>
      </c>
      <c r="AV65" s="21" t="n">
        <v>0</v>
      </c>
      <c r="AW65" s="21" t="n">
        <v>0</v>
      </c>
      <c r="AX65" s="21" t="n">
        <v>0</v>
      </c>
      <c r="AY65" s="21" t="n">
        <v>0</v>
      </c>
      <c r="AZ65" s="21" t="n">
        <v>0</v>
      </c>
      <c r="BA65" s="21" t="n">
        <v>0</v>
      </c>
      <c r="BB65" s="21" t="n">
        <v>0</v>
      </c>
      <c r="BC65" s="21" t="n">
        <v>0</v>
      </c>
    </row>
    <row r="66" customFormat="false" ht="15" hidden="false" customHeight="false" outlineLevel="2" collapsed="false">
      <c r="A66" s="27" t="n">
        <v>62</v>
      </c>
      <c r="B66" s="27" t="s">
        <v>220</v>
      </c>
      <c r="C66" s="27" t="n">
        <v>3</v>
      </c>
      <c r="D66" s="27" t="s">
        <v>92</v>
      </c>
      <c r="E66" s="28" t="s">
        <v>160</v>
      </c>
      <c r="F66" s="27" t="s">
        <v>154</v>
      </c>
      <c r="G66" s="27" t="s">
        <v>157</v>
      </c>
      <c r="H66" s="27" t="s">
        <v>45</v>
      </c>
      <c r="I66" s="29" t="n">
        <v>32</v>
      </c>
      <c r="J66" s="29" t="n">
        <v>8</v>
      </c>
      <c r="K66" s="30" t="n">
        <f aca="false">WORKDAY(Assumptions!$C$4,I66,Assumptions!$F$4:$F$44)</f>
        <v>46372</v>
      </c>
      <c r="L66" s="30" t="n">
        <f aca="false">IF(J66=0,K66,WORKDAY(K66,J66-1,Assumptions!$F$4:$F$44))</f>
        <v>46381</v>
      </c>
      <c r="M66" s="29" t="s">
        <v>161</v>
      </c>
      <c r="N66" s="31" t="n">
        <v>0</v>
      </c>
      <c r="O66" s="31" t="n">
        <v>0</v>
      </c>
      <c r="P66" s="31" t="n">
        <v>2</v>
      </c>
      <c r="Q66" s="31" t="n">
        <v>2</v>
      </c>
      <c r="R66" s="31" t="n">
        <v>0</v>
      </c>
      <c r="S66" s="31" t="n">
        <v>0</v>
      </c>
      <c r="T66" s="31" t="n">
        <v>0</v>
      </c>
      <c r="U66" s="31" t="n">
        <v>0</v>
      </c>
      <c r="V66" s="31" t="n">
        <v>0</v>
      </c>
      <c r="W66" s="31" t="n">
        <v>0</v>
      </c>
      <c r="X66" s="31" t="n">
        <v>0</v>
      </c>
      <c r="Y66" s="32" t="n">
        <f aca="false">SUM(N66:X66)</f>
        <v>4</v>
      </c>
      <c r="Z66" s="32" t="n">
        <f aca="false">Y66*(1+Assumptions!$C$5)</f>
        <v>4.6</v>
      </c>
      <c r="AA66" s="27" t="s">
        <v>162</v>
      </c>
      <c r="AB66" s="27" t="s">
        <v>95</v>
      </c>
      <c r="AC66" s="27"/>
      <c r="AD66" s="33" t="n">
        <v>0</v>
      </c>
      <c r="AF66" s="21" t="n">
        <f aca="false">IF($J66=0,0,MAX(0,NETWORKDAYS(MAX($K66,AF$4),MIN($L66,EOMONTH(AF$4,0)),Assumptions!$F$4:$F$44))/NETWORKDAYS($K66,$L66,Assumptions!$F$4:$F$44))</f>
        <v>0</v>
      </c>
      <c r="AG66" s="21" t="n">
        <f aca="false">IF($J66=0,0,MAX(0,NETWORKDAYS(MAX($K66,AG$4),MIN($L66,EOMONTH(AG$4,0)),Assumptions!$F$4:$F$44))/NETWORKDAYS($K66,$L66,Assumptions!$F$4:$F$44))</f>
        <v>1</v>
      </c>
      <c r="AH66" s="21" t="n">
        <f aca="false">IF($J66=0,0,MAX(0,NETWORKDAYS(MAX($K66,AH$4),MIN($L66,EOMONTH(AH$4,0)),Assumptions!$F$4:$F$44))/NETWORKDAYS($K66,$L66,Assumptions!$F$4:$F$44))</f>
        <v>0</v>
      </c>
      <c r="AI66" s="21" t="n">
        <f aca="false">IF($J66=0,0,MAX(0,NETWORKDAYS(MAX($K66,AI$4),MIN($L66,EOMONTH(AI$4,0)),Assumptions!$F$4:$F$44))/NETWORKDAYS($K66,$L66,Assumptions!$F$4:$F$44))</f>
        <v>0</v>
      </c>
      <c r="AJ66" s="21" t="n">
        <f aca="false">IF($J66=0,0,MAX(0,NETWORKDAYS(MAX($K66,AJ$4),MIN($L66,EOMONTH(AJ$4,0)),Assumptions!$F$4:$F$44))/NETWORKDAYS($K66,$L66,Assumptions!$F$4:$F$44))</f>
        <v>0</v>
      </c>
      <c r="AK66" s="21" t="n">
        <f aca="false">IF($J66=0,0,MAX(0,NETWORKDAYS(MAX($K66,AK$4),MIN($L66,EOMONTH(AK$4,0)),Assumptions!$F$4:$F$44))/NETWORKDAYS($K66,$L66,Assumptions!$F$4:$F$44))</f>
        <v>0</v>
      </c>
      <c r="AL66" s="21" t="n">
        <f aca="false">IF($J66=0,0,MAX(0,NETWORKDAYS(MAX($K66,AL$4),MIN($L66,EOMONTH(AL$4,0)),Assumptions!$F$4:$F$44))/NETWORKDAYS($K66,$L66,Assumptions!$F$4:$F$44))</f>
        <v>0</v>
      </c>
      <c r="AM66" s="21" t="n">
        <f aca="false">IF($J66=0,0,MAX(0,NETWORKDAYS(MAX($K66,AM$4),MIN($L66,EOMONTH(AM$4,0)),Assumptions!$F$4:$F$44))/NETWORKDAYS($K66,$L66,Assumptions!$F$4:$F$44))</f>
        <v>0</v>
      </c>
      <c r="AN66" s="21" t="n">
        <f aca="false">IF($J66=0,0,MAX(0,NETWORKDAYS(MAX($K66,AN$4),MIN($L66,EOMONTH(AN$4,0)),Assumptions!$F$4:$F$44))/NETWORKDAYS($K66,$L66,Assumptions!$F$4:$F$44))</f>
        <v>0</v>
      </c>
      <c r="AO66" s="21" t="n">
        <f aca="false">IF($J66=0,0,MAX(0,NETWORKDAYS(MAX($K66,AO$4),MIN($L66,EOMONTH(AO$4,0)),Assumptions!$F$4:$F$44))/NETWORKDAYS($K66,$L66,Assumptions!$F$4:$F$44))</f>
        <v>0</v>
      </c>
      <c r="AP66" s="21" t="n">
        <f aca="false">IF($J66=0,0,MAX(0,NETWORKDAYS(MAX($K66,AP$4),MIN($L66,EOMONTH(AP$4,0)),Assumptions!$F$4:$F$44))/NETWORKDAYS($K66,$L66,Assumptions!$F$4:$F$44))</f>
        <v>0</v>
      </c>
      <c r="AQ66" s="21" t="n">
        <f aca="false">IF($J66=0,0,MAX(0,NETWORKDAYS(MAX($K66,AQ$4),MIN($L66,EOMONTH(AQ$4,0)),Assumptions!$F$4:$F$44))/NETWORKDAYS($K66,$L66,Assumptions!$F$4:$F$44))</f>
        <v>0</v>
      </c>
      <c r="AR66" s="21" t="n">
        <f aca="false">IF($J66=0,0,MAX(0,NETWORKDAYS(MAX($K66,AR$4),MIN($L66,EOMONTH(AR$4,0)),Assumptions!$F$4:$F$44))/NETWORKDAYS($K66,$L66,Assumptions!$F$4:$F$44))</f>
        <v>0</v>
      </c>
      <c r="AS66" s="21" t="n">
        <f aca="false">IF($J66=0,0,MAX(0,NETWORKDAYS(MAX($K66,AS$4),MIN($L66,EOMONTH(AS$4,0)),Assumptions!$F$4:$F$44))/NETWORKDAYS($K66,$L66,Assumptions!$F$4:$F$44))</f>
        <v>0</v>
      </c>
      <c r="AT66" s="21" t="n">
        <f aca="false">IF($J66=0,0,MAX(0,NETWORKDAYS(MAX($K66,AT$4),MIN($L66,EOMONTH(AT$4,0)),Assumptions!$F$4:$F$44))/NETWORKDAYS($K66,$L66,Assumptions!$F$4:$F$44))</f>
        <v>0</v>
      </c>
      <c r="AU66" s="21" t="n">
        <f aca="false">IF($J66=0,0,MAX(0,NETWORKDAYS(MAX($K66,AU$4),MIN($L66,EOMONTH(AU$4,0)),Assumptions!$F$4:$F$44))/NETWORKDAYS($K66,$L66,Assumptions!$F$4:$F$44))</f>
        <v>0</v>
      </c>
      <c r="AV66" s="21" t="n">
        <f aca="false">IF($J66=0,0,MAX(0,NETWORKDAYS(MAX($K66,AV$4),MIN($L66,EOMONTH(AV$4,0)),Assumptions!$F$4:$F$44))/NETWORKDAYS($K66,$L66,Assumptions!$F$4:$F$44))</f>
        <v>0</v>
      </c>
      <c r="AW66" s="21" t="n">
        <f aca="false">IF($J66=0,0,MAX(0,NETWORKDAYS(MAX($K66,AW$4),MIN($L66,EOMONTH(AW$4,0)),Assumptions!$F$4:$F$44))/NETWORKDAYS($K66,$L66,Assumptions!$F$4:$F$44))</f>
        <v>0</v>
      </c>
      <c r="AX66" s="21" t="n">
        <f aca="false">IF($J66=0,0,MAX(0,NETWORKDAYS(MAX($K66,AX$4),MIN($L66,EOMONTH(AX$4,0)),Assumptions!$F$4:$F$44))/NETWORKDAYS($K66,$L66,Assumptions!$F$4:$F$44))</f>
        <v>0</v>
      </c>
      <c r="AY66" s="21" t="n">
        <f aca="false">IF($J66=0,0,MAX(0,NETWORKDAYS(MAX($K66,AY$4),MIN($L66,EOMONTH(AY$4,0)),Assumptions!$F$4:$F$44))/NETWORKDAYS($K66,$L66,Assumptions!$F$4:$F$44))</f>
        <v>0</v>
      </c>
      <c r="AZ66" s="21" t="n">
        <f aca="false">IF($J66=0,0,MAX(0,NETWORKDAYS(MAX($K66,AZ$4),MIN($L66,EOMONTH(AZ$4,0)),Assumptions!$F$4:$F$44))/NETWORKDAYS($K66,$L66,Assumptions!$F$4:$F$44))</f>
        <v>0</v>
      </c>
      <c r="BA66" s="21" t="n">
        <f aca="false">IF($J66=0,0,MAX(0,NETWORKDAYS(MAX($K66,BA$4),MIN($L66,EOMONTH(BA$4,0)),Assumptions!$F$4:$F$44))/NETWORKDAYS($K66,$L66,Assumptions!$F$4:$F$44))</f>
        <v>0</v>
      </c>
      <c r="BB66" s="21" t="n">
        <f aca="false">IF($J66=0,0,MAX(0,NETWORKDAYS(MAX($K66,BB$4),MIN($L66,EOMONTH(BB$4,0)),Assumptions!$F$4:$F$44))/NETWORKDAYS($K66,$L66,Assumptions!$F$4:$F$44))</f>
        <v>0</v>
      </c>
      <c r="BC66" s="21" t="n">
        <f aca="false">IF($J66=0,0,MAX(0,NETWORKDAYS(MAX($K66,BC$4),MIN($L66,EOMONTH(BC$4,0)),Assumptions!$F$4:$F$44))/NETWORKDAYS($K66,$L66,Assumptions!$F$4:$F$44))</f>
        <v>0</v>
      </c>
    </row>
    <row r="67" customFormat="false" ht="15" hidden="false" customHeight="false" outlineLevel="2" collapsed="false">
      <c r="A67" s="27" t="n">
        <v>63</v>
      </c>
      <c r="B67" s="27" t="s">
        <v>221</v>
      </c>
      <c r="C67" s="27" t="n">
        <v>3</v>
      </c>
      <c r="D67" s="27" t="s">
        <v>92</v>
      </c>
      <c r="E67" s="28" t="s">
        <v>164</v>
      </c>
      <c r="F67" s="27" t="s">
        <v>154</v>
      </c>
      <c r="G67" s="27" t="s">
        <v>157</v>
      </c>
      <c r="H67" s="27" t="s">
        <v>47</v>
      </c>
      <c r="I67" s="29" t="n">
        <v>40</v>
      </c>
      <c r="J67" s="29" t="n">
        <v>24</v>
      </c>
      <c r="K67" s="30" t="n">
        <f aca="false">WORKDAY(Assumptions!$C$4,I67,Assumptions!$F$4:$F$44)</f>
        <v>46384</v>
      </c>
      <c r="L67" s="30" t="n">
        <f aca="false">IF(J67=0,K67,WORKDAY(K67,J67-1,Assumptions!$F$4:$F$44))</f>
        <v>46415</v>
      </c>
      <c r="M67" s="29"/>
      <c r="N67" s="31" t="n">
        <v>0</v>
      </c>
      <c r="O67" s="31" t="n">
        <v>0</v>
      </c>
      <c r="P67" s="31" t="n">
        <v>0</v>
      </c>
      <c r="Q67" s="31" t="n">
        <v>14</v>
      </c>
      <c r="R67" s="31" t="n">
        <v>0</v>
      </c>
      <c r="S67" s="31" t="n">
        <v>0</v>
      </c>
      <c r="T67" s="31" t="n">
        <v>0</v>
      </c>
      <c r="U67" s="31" t="n">
        <v>0</v>
      </c>
      <c r="V67" s="31" t="n">
        <v>0</v>
      </c>
      <c r="W67" s="31" t="n">
        <v>0</v>
      </c>
      <c r="X67" s="31" t="n">
        <v>0</v>
      </c>
      <c r="Y67" s="32" t="n">
        <f aca="false">SUM(N67:X67)</f>
        <v>14</v>
      </c>
      <c r="Z67" s="32" t="n">
        <f aca="false">Y67*(1+Assumptions!$C$5)</f>
        <v>16.1</v>
      </c>
      <c r="AA67" s="27" t="s">
        <v>165</v>
      </c>
      <c r="AB67" s="27" t="s">
        <v>95</v>
      </c>
      <c r="AC67" s="27"/>
      <c r="AD67" s="33" t="n">
        <v>0</v>
      </c>
      <c r="AF67" s="21" t="n">
        <f aca="false">IF($J67=0,0,MAX(0,NETWORKDAYS(MAX($K67,AF$4),MIN($L67,EOMONTH(AF$4,0)),Assumptions!$F$4:$F$44))/NETWORKDAYS($K67,$L67,Assumptions!$F$4:$F$44))</f>
        <v>0</v>
      </c>
      <c r="AG67" s="21" t="n">
        <f aca="false">IF($J67=0,0,MAX(0,NETWORKDAYS(MAX($K67,AG$4),MIN($L67,EOMONTH(AG$4,0)),Assumptions!$F$4:$F$44))/NETWORKDAYS($K67,$L67,Assumptions!$F$4:$F$44))</f>
        <v>0.166666666666667</v>
      </c>
      <c r="AH67" s="21" t="n">
        <f aca="false">IF($J67=0,0,MAX(0,NETWORKDAYS(MAX($K67,AH$4),MIN($L67,EOMONTH(AH$4,0)),Assumptions!$F$4:$F$44))/NETWORKDAYS($K67,$L67,Assumptions!$F$4:$F$44))</f>
        <v>0.833333333333333</v>
      </c>
      <c r="AI67" s="21" t="n">
        <f aca="false">IF($J67=0,0,MAX(0,NETWORKDAYS(MAX($K67,AI$4),MIN($L67,EOMONTH(AI$4,0)),Assumptions!$F$4:$F$44))/NETWORKDAYS($K67,$L67,Assumptions!$F$4:$F$44))</f>
        <v>0</v>
      </c>
      <c r="AJ67" s="21" t="n">
        <f aca="false">IF($J67=0,0,MAX(0,NETWORKDAYS(MAX($K67,AJ$4),MIN($L67,EOMONTH(AJ$4,0)),Assumptions!$F$4:$F$44))/NETWORKDAYS($K67,$L67,Assumptions!$F$4:$F$44))</f>
        <v>0</v>
      </c>
      <c r="AK67" s="21" t="n">
        <f aca="false">IF($J67=0,0,MAX(0,NETWORKDAYS(MAX($K67,AK$4),MIN($L67,EOMONTH(AK$4,0)),Assumptions!$F$4:$F$44))/NETWORKDAYS($K67,$L67,Assumptions!$F$4:$F$44))</f>
        <v>0</v>
      </c>
      <c r="AL67" s="21" t="n">
        <f aca="false">IF($J67=0,0,MAX(0,NETWORKDAYS(MAX($K67,AL$4),MIN($L67,EOMONTH(AL$4,0)),Assumptions!$F$4:$F$44))/NETWORKDAYS($K67,$L67,Assumptions!$F$4:$F$44))</f>
        <v>0</v>
      </c>
      <c r="AM67" s="21" t="n">
        <f aca="false">IF($J67=0,0,MAX(0,NETWORKDAYS(MAX($K67,AM$4),MIN($L67,EOMONTH(AM$4,0)),Assumptions!$F$4:$F$44))/NETWORKDAYS($K67,$L67,Assumptions!$F$4:$F$44))</f>
        <v>0</v>
      </c>
      <c r="AN67" s="21" t="n">
        <f aca="false">IF($J67=0,0,MAX(0,NETWORKDAYS(MAX($K67,AN$4),MIN($L67,EOMONTH(AN$4,0)),Assumptions!$F$4:$F$44))/NETWORKDAYS($K67,$L67,Assumptions!$F$4:$F$44))</f>
        <v>0</v>
      </c>
      <c r="AO67" s="21" t="n">
        <f aca="false">IF($J67=0,0,MAX(0,NETWORKDAYS(MAX($K67,AO$4),MIN($L67,EOMONTH(AO$4,0)),Assumptions!$F$4:$F$44))/NETWORKDAYS($K67,$L67,Assumptions!$F$4:$F$44))</f>
        <v>0</v>
      </c>
      <c r="AP67" s="21" t="n">
        <f aca="false">IF($J67=0,0,MAX(0,NETWORKDAYS(MAX($K67,AP$4),MIN($L67,EOMONTH(AP$4,0)),Assumptions!$F$4:$F$44))/NETWORKDAYS($K67,$L67,Assumptions!$F$4:$F$44))</f>
        <v>0</v>
      </c>
      <c r="AQ67" s="21" t="n">
        <f aca="false">IF($J67=0,0,MAX(0,NETWORKDAYS(MAX($K67,AQ$4),MIN($L67,EOMONTH(AQ$4,0)),Assumptions!$F$4:$F$44))/NETWORKDAYS($K67,$L67,Assumptions!$F$4:$F$44))</f>
        <v>0</v>
      </c>
      <c r="AR67" s="21" t="n">
        <f aca="false">IF($J67=0,0,MAX(0,NETWORKDAYS(MAX($K67,AR$4),MIN($L67,EOMONTH(AR$4,0)),Assumptions!$F$4:$F$44))/NETWORKDAYS($K67,$L67,Assumptions!$F$4:$F$44))</f>
        <v>0</v>
      </c>
      <c r="AS67" s="21" t="n">
        <f aca="false">IF($J67=0,0,MAX(0,NETWORKDAYS(MAX($K67,AS$4),MIN($L67,EOMONTH(AS$4,0)),Assumptions!$F$4:$F$44))/NETWORKDAYS($K67,$L67,Assumptions!$F$4:$F$44))</f>
        <v>0</v>
      </c>
      <c r="AT67" s="21" t="n">
        <f aca="false">IF($J67=0,0,MAX(0,NETWORKDAYS(MAX($K67,AT$4),MIN($L67,EOMONTH(AT$4,0)),Assumptions!$F$4:$F$44))/NETWORKDAYS($K67,$L67,Assumptions!$F$4:$F$44))</f>
        <v>0</v>
      </c>
      <c r="AU67" s="21" t="n">
        <f aca="false">IF($J67=0,0,MAX(0,NETWORKDAYS(MAX($K67,AU$4),MIN($L67,EOMONTH(AU$4,0)),Assumptions!$F$4:$F$44))/NETWORKDAYS($K67,$L67,Assumptions!$F$4:$F$44))</f>
        <v>0</v>
      </c>
      <c r="AV67" s="21" t="n">
        <f aca="false">IF($J67=0,0,MAX(0,NETWORKDAYS(MAX($K67,AV$4),MIN($L67,EOMONTH(AV$4,0)),Assumptions!$F$4:$F$44))/NETWORKDAYS($K67,$L67,Assumptions!$F$4:$F$44))</f>
        <v>0</v>
      </c>
      <c r="AW67" s="21" t="n">
        <f aca="false">IF($J67=0,0,MAX(0,NETWORKDAYS(MAX($K67,AW$4),MIN($L67,EOMONTH(AW$4,0)),Assumptions!$F$4:$F$44))/NETWORKDAYS($K67,$L67,Assumptions!$F$4:$F$44))</f>
        <v>0</v>
      </c>
      <c r="AX67" s="21" t="n">
        <f aca="false">IF($J67=0,0,MAX(0,NETWORKDAYS(MAX($K67,AX$4),MIN($L67,EOMONTH(AX$4,0)),Assumptions!$F$4:$F$44))/NETWORKDAYS($K67,$L67,Assumptions!$F$4:$F$44))</f>
        <v>0</v>
      </c>
      <c r="AY67" s="21" t="n">
        <f aca="false">IF($J67=0,0,MAX(0,NETWORKDAYS(MAX($K67,AY$4),MIN($L67,EOMONTH(AY$4,0)),Assumptions!$F$4:$F$44))/NETWORKDAYS($K67,$L67,Assumptions!$F$4:$F$44))</f>
        <v>0</v>
      </c>
      <c r="AZ67" s="21" t="n">
        <f aca="false">IF($J67=0,0,MAX(0,NETWORKDAYS(MAX($K67,AZ$4),MIN($L67,EOMONTH(AZ$4,0)),Assumptions!$F$4:$F$44))/NETWORKDAYS($K67,$L67,Assumptions!$F$4:$F$44))</f>
        <v>0</v>
      </c>
      <c r="BA67" s="21" t="n">
        <f aca="false">IF($J67=0,0,MAX(0,NETWORKDAYS(MAX($K67,BA$4),MIN($L67,EOMONTH(BA$4,0)),Assumptions!$F$4:$F$44))/NETWORKDAYS($K67,$L67,Assumptions!$F$4:$F$44))</f>
        <v>0</v>
      </c>
      <c r="BB67" s="21" t="n">
        <f aca="false">IF($J67=0,0,MAX(0,NETWORKDAYS(MAX($K67,BB$4),MIN($L67,EOMONTH(BB$4,0)),Assumptions!$F$4:$F$44))/NETWORKDAYS($K67,$L67,Assumptions!$F$4:$F$44))</f>
        <v>0</v>
      </c>
      <c r="BC67" s="21" t="n">
        <f aca="false">IF($J67=0,0,MAX(0,NETWORKDAYS(MAX($K67,BC$4),MIN($L67,EOMONTH(BC$4,0)),Assumptions!$F$4:$F$44))/NETWORKDAYS($K67,$L67,Assumptions!$F$4:$F$44))</f>
        <v>0</v>
      </c>
    </row>
    <row r="68" customFormat="false" ht="15" hidden="false" customHeight="false" outlineLevel="2" collapsed="false">
      <c r="A68" s="27" t="n">
        <v>64</v>
      </c>
      <c r="B68" s="27" t="s">
        <v>222</v>
      </c>
      <c r="C68" s="27" t="n">
        <v>3</v>
      </c>
      <c r="D68" s="27" t="s">
        <v>92</v>
      </c>
      <c r="E68" s="28" t="s">
        <v>167</v>
      </c>
      <c r="F68" s="27" t="s">
        <v>154</v>
      </c>
      <c r="G68" s="27" t="s">
        <v>157</v>
      </c>
      <c r="H68" s="27" t="s">
        <v>57</v>
      </c>
      <c r="I68" s="29" t="n">
        <v>62</v>
      </c>
      <c r="J68" s="29" t="n">
        <v>10</v>
      </c>
      <c r="K68" s="30" t="n">
        <f aca="false">WORKDAY(Assumptions!$C$4,I68,Assumptions!$F$4:$F$44)</f>
        <v>46414</v>
      </c>
      <c r="L68" s="30" t="n">
        <f aca="false">IF(J68=0,K68,WORKDAY(K68,J68-1,Assumptions!$F$4:$F$44))</f>
        <v>46427</v>
      </c>
      <c r="M68" s="29"/>
      <c r="N68" s="31" t="n">
        <v>0</v>
      </c>
      <c r="O68" s="31" t="n">
        <v>0</v>
      </c>
      <c r="P68" s="31" t="n">
        <v>0</v>
      </c>
      <c r="Q68" s="31" t="n">
        <v>2</v>
      </c>
      <c r="R68" s="31" t="n">
        <v>0</v>
      </c>
      <c r="S68" s="31" t="n">
        <v>0</v>
      </c>
      <c r="T68" s="31" t="n">
        <v>0</v>
      </c>
      <c r="U68" s="31" t="n">
        <v>0</v>
      </c>
      <c r="V68" s="31" t="n">
        <v>4</v>
      </c>
      <c r="W68" s="31" t="n">
        <v>0</v>
      </c>
      <c r="X68" s="31" t="n">
        <v>0</v>
      </c>
      <c r="Y68" s="32" t="n">
        <f aca="false">SUM(N68:X68)</f>
        <v>6</v>
      </c>
      <c r="Z68" s="32" t="n">
        <f aca="false">Y68*(1+Assumptions!$C$5)</f>
        <v>6.9</v>
      </c>
      <c r="AA68" s="27" t="s">
        <v>168</v>
      </c>
      <c r="AB68" s="27" t="s">
        <v>95</v>
      </c>
      <c r="AC68" s="27"/>
      <c r="AD68" s="33" t="n">
        <v>0</v>
      </c>
      <c r="AF68" s="21" t="n">
        <f aca="false">IF($J68=0,0,MAX(0,NETWORKDAYS(MAX($K68,AF$4),MIN($L68,EOMONTH(AF$4,0)),Assumptions!$F$4:$F$44))/NETWORKDAYS($K68,$L68,Assumptions!$F$4:$F$44))</f>
        <v>0</v>
      </c>
      <c r="AG68" s="21" t="n">
        <f aca="false">IF($J68=0,0,MAX(0,NETWORKDAYS(MAX($K68,AG$4),MIN($L68,EOMONTH(AG$4,0)),Assumptions!$F$4:$F$44))/NETWORKDAYS($K68,$L68,Assumptions!$F$4:$F$44))</f>
        <v>0</v>
      </c>
      <c r="AH68" s="21" t="n">
        <f aca="false">IF($J68=0,0,MAX(0,NETWORKDAYS(MAX($K68,AH$4),MIN($L68,EOMONTH(AH$4,0)),Assumptions!$F$4:$F$44))/NETWORKDAYS($K68,$L68,Assumptions!$F$4:$F$44))</f>
        <v>0.3</v>
      </c>
      <c r="AI68" s="21" t="n">
        <f aca="false">IF($J68=0,0,MAX(0,NETWORKDAYS(MAX($K68,AI$4),MIN($L68,EOMONTH(AI$4,0)),Assumptions!$F$4:$F$44))/NETWORKDAYS($K68,$L68,Assumptions!$F$4:$F$44))</f>
        <v>0.7</v>
      </c>
      <c r="AJ68" s="21" t="n">
        <f aca="false">IF($J68=0,0,MAX(0,NETWORKDAYS(MAX($K68,AJ$4),MIN($L68,EOMONTH(AJ$4,0)),Assumptions!$F$4:$F$44))/NETWORKDAYS($K68,$L68,Assumptions!$F$4:$F$44))</f>
        <v>0</v>
      </c>
      <c r="AK68" s="21" t="n">
        <f aca="false">IF($J68=0,0,MAX(0,NETWORKDAYS(MAX($K68,AK$4),MIN($L68,EOMONTH(AK$4,0)),Assumptions!$F$4:$F$44))/NETWORKDAYS($K68,$L68,Assumptions!$F$4:$F$44))</f>
        <v>0</v>
      </c>
      <c r="AL68" s="21" t="n">
        <f aca="false">IF($J68=0,0,MAX(0,NETWORKDAYS(MAX($K68,AL$4),MIN($L68,EOMONTH(AL$4,0)),Assumptions!$F$4:$F$44))/NETWORKDAYS($K68,$L68,Assumptions!$F$4:$F$44))</f>
        <v>0</v>
      </c>
      <c r="AM68" s="21" t="n">
        <f aca="false">IF($J68=0,0,MAX(0,NETWORKDAYS(MAX($K68,AM$4),MIN($L68,EOMONTH(AM$4,0)),Assumptions!$F$4:$F$44))/NETWORKDAYS($K68,$L68,Assumptions!$F$4:$F$44))</f>
        <v>0</v>
      </c>
      <c r="AN68" s="21" t="n">
        <f aca="false">IF($J68=0,0,MAX(0,NETWORKDAYS(MAX($K68,AN$4),MIN($L68,EOMONTH(AN$4,0)),Assumptions!$F$4:$F$44))/NETWORKDAYS($K68,$L68,Assumptions!$F$4:$F$44))</f>
        <v>0</v>
      </c>
      <c r="AO68" s="21" t="n">
        <f aca="false">IF($J68=0,0,MAX(0,NETWORKDAYS(MAX($K68,AO$4),MIN($L68,EOMONTH(AO$4,0)),Assumptions!$F$4:$F$44))/NETWORKDAYS($K68,$L68,Assumptions!$F$4:$F$44))</f>
        <v>0</v>
      </c>
      <c r="AP68" s="21" t="n">
        <f aca="false">IF($J68=0,0,MAX(0,NETWORKDAYS(MAX($K68,AP$4),MIN($L68,EOMONTH(AP$4,0)),Assumptions!$F$4:$F$44))/NETWORKDAYS($K68,$L68,Assumptions!$F$4:$F$44))</f>
        <v>0</v>
      </c>
      <c r="AQ68" s="21" t="n">
        <f aca="false">IF($J68=0,0,MAX(0,NETWORKDAYS(MAX($K68,AQ$4),MIN($L68,EOMONTH(AQ$4,0)),Assumptions!$F$4:$F$44))/NETWORKDAYS($K68,$L68,Assumptions!$F$4:$F$44))</f>
        <v>0</v>
      </c>
      <c r="AR68" s="21" t="n">
        <f aca="false">IF($J68=0,0,MAX(0,NETWORKDAYS(MAX($K68,AR$4),MIN($L68,EOMONTH(AR$4,0)),Assumptions!$F$4:$F$44))/NETWORKDAYS($K68,$L68,Assumptions!$F$4:$F$44))</f>
        <v>0</v>
      </c>
      <c r="AS68" s="21" t="n">
        <f aca="false">IF($J68=0,0,MAX(0,NETWORKDAYS(MAX($K68,AS$4),MIN($L68,EOMONTH(AS$4,0)),Assumptions!$F$4:$F$44))/NETWORKDAYS($K68,$L68,Assumptions!$F$4:$F$44))</f>
        <v>0</v>
      </c>
      <c r="AT68" s="21" t="n">
        <f aca="false">IF($J68=0,0,MAX(0,NETWORKDAYS(MAX($K68,AT$4),MIN($L68,EOMONTH(AT$4,0)),Assumptions!$F$4:$F$44))/NETWORKDAYS($K68,$L68,Assumptions!$F$4:$F$44))</f>
        <v>0</v>
      </c>
      <c r="AU68" s="21" t="n">
        <f aca="false">IF($J68=0,0,MAX(0,NETWORKDAYS(MAX($K68,AU$4),MIN($L68,EOMONTH(AU$4,0)),Assumptions!$F$4:$F$44))/NETWORKDAYS($K68,$L68,Assumptions!$F$4:$F$44))</f>
        <v>0</v>
      </c>
      <c r="AV68" s="21" t="n">
        <f aca="false">IF($J68=0,0,MAX(0,NETWORKDAYS(MAX($K68,AV$4),MIN($L68,EOMONTH(AV$4,0)),Assumptions!$F$4:$F$44))/NETWORKDAYS($K68,$L68,Assumptions!$F$4:$F$44))</f>
        <v>0</v>
      </c>
      <c r="AW68" s="21" t="n">
        <f aca="false">IF($J68=0,0,MAX(0,NETWORKDAYS(MAX($K68,AW$4),MIN($L68,EOMONTH(AW$4,0)),Assumptions!$F$4:$F$44))/NETWORKDAYS($K68,$L68,Assumptions!$F$4:$F$44))</f>
        <v>0</v>
      </c>
      <c r="AX68" s="21" t="n">
        <f aca="false">IF($J68=0,0,MAX(0,NETWORKDAYS(MAX($K68,AX$4),MIN($L68,EOMONTH(AX$4,0)),Assumptions!$F$4:$F$44))/NETWORKDAYS($K68,$L68,Assumptions!$F$4:$F$44))</f>
        <v>0</v>
      </c>
      <c r="AY68" s="21" t="n">
        <f aca="false">IF($J68=0,0,MAX(0,NETWORKDAYS(MAX($K68,AY$4),MIN($L68,EOMONTH(AY$4,0)),Assumptions!$F$4:$F$44))/NETWORKDAYS($K68,$L68,Assumptions!$F$4:$F$44))</f>
        <v>0</v>
      </c>
      <c r="AZ68" s="21" t="n">
        <f aca="false">IF($J68=0,0,MAX(0,NETWORKDAYS(MAX($K68,AZ$4),MIN($L68,EOMONTH(AZ$4,0)),Assumptions!$F$4:$F$44))/NETWORKDAYS($K68,$L68,Assumptions!$F$4:$F$44))</f>
        <v>0</v>
      </c>
      <c r="BA68" s="21" t="n">
        <f aca="false">IF($J68=0,0,MAX(0,NETWORKDAYS(MAX($K68,BA$4),MIN($L68,EOMONTH(BA$4,0)),Assumptions!$F$4:$F$44))/NETWORKDAYS($K68,$L68,Assumptions!$F$4:$F$44))</f>
        <v>0</v>
      </c>
      <c r="BB68" s="21" t="n">
        <f aca="false">IF($J68=0,0,MAX(0,NETWORKDAYS(MAX($K68,BB$4),MIN($L68,EOMONTH(BB$4,0)),Assumptions!$F$4:$F$44))/NETWORKDAYS($K68,$L68,Assumptions!$F$4:$F$44))</f>
        <v>0</v>
      </c>
      <c r="BC68" s="21" t="n">
        <f aca="false">IF($J68=0,0,MAX(0,NETWORKDAYS(MAX($K68,BC$4),MIN($L68,EOMONTH(BC$4,0)),Assumptions!$F$4:$F$44))/NETWORKDAYS($K68,$L68,Assumptions!$F$4:$F$44))</f>
        <v>0</v>
      </c>
    </row>
    <row r="69" customFormat="false" ht="15" hidden="false" customHeight="false" outlineLevel="1" collapsed="false">
      <c r="A69" s="22" t="n">
        <v>65</v>
      </c>
      <c r="B69" s="22" t="s">
        <v>223</v>
      </c>
      <c r="C69" s="22" t="n">
        <v>2</v>
      </c>
      <c r="D69" s="22" t="s">
        <v>89</v>
      </c>
      <c r="E69" s="23" t="s">
        <v>224</v>
      </c>
      <c r="F69" s="22" t="s">
        <v>154</v>
      </c>
      <c r="G69" s="22" t="s">
        <v>157</v>
      </c>
      <c r="H69" s="22"/>
      <c r="I69" s="22"/>
      <c r="J69" s="22" t="n">
        <f aca="false">NETWORKDAYS(K69,L69,Assumptions!$F$4:$F$44)</f>
        <v>40</v>
      </c>
      <c r="K69" s="24" t="n">
        <f aca="false">MIN(K70:K72)</f>
        <v>46372</v>
      </c>
      <c r="L69" s="24" t="n">
        <f aca="false">MAX(L70:L72)</f>
        <v>46427</v>
      </c>
      <c r="M69" s="22"/>
      <c r="N69" s="25" t="n">
        <f aca="false">SUMPRODUCT(($C$70:$C$72=3)*(N70:N72))</f>
        <v>0</v>
      </c>
      <c r="O69" s="25" t="n">
        <f aca="false">SUMPRODUCT(($C$70:$C$72=3)*(O70:O72))</f>
        <v>0</v>
      </c>
      <c r="P69" s="25" t="n">
        <f aca="false">SUMPRODUCT(($C$70:$C$72=3)*(P70:P72))</f>
        <v>2</v>
      </c>
      <c r="Q69" s="25" t="n">
        <f aca="false">SUMPRODUCT(($C$70:$C$72=3)*(Q70:Q72))</f>
        <v>11</v>
      </c>
      <c r="R69" s="25" t="n">
        <f aca="false">SUMPRODUCT(($C$70:$C$72=3)*(R70:R72))</f>
        <v>0</v>
      </c>
      <c r="S69" s="25" t="n">
        <f aca="false">SUMPRODUCT(($C$70:$C$72=3)*(S70:S72))</f>
        <v>0</v>
      </c>
      <c r="T69" s="25" t="n">
        <f aca="false">SUMPRODUCT(($C$70:$C$72=3)*(T70:T72))</f>
        <v>0</v>
      </c>
      <c r="U69" s="25" t="n">
        <f aca="false">SUMPRODUCT(($C$70:$C$72=3)*(U70:U72))</f>
        <v>9</v>
      </c>
      <c r="V69" s="25" t="n">
        <f aca="false">SUMPRODUCT(($C$70:$C$72=3)*(V70:V72))</f>
        <v>4</v>
      </c>
      <c r="W69" s="25" t="n">
        <f aca="false">SUMPRODUCT(($C$70:$C$72=3)*(W70:W72))</f>
        <v>0</v>
      </c>
      <c r="X69" s="25" t="n">
        <f aca="false">SUMPRODUCT(($C$70:$C$72=3)*(X70:X72))</f>
        <v>0</v>
      </c>
      <c r="Y69" s="25" t="n">
        <f aca="false">SUM(N69:X69)</f>
        <v>26</v>
      </c>
      <c r="Z69" s="25" t="n">
        <f aca="false">Y69*(1+Assumptions!$C$5)</f>
        <v>29.9</v>
      </c>
      <c r="AA69" s="22" t="s">
        <v>225</v>
      </c>
      <c r="AB69" s="22"/>
      <c r="AC69" s="22"/>
      <c r="AD69" s="26"/>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1" t="n">
        <v>0</v>
      </c>
      <c r="BA69" s="21" t="n">
        <v>0</v>
      </c>
      <c r="BB69" s="21" t="n">
        <v>0</v>
      </c>
      <c r="BC69" s="21" t="n">
        <v>0</v>
      </c>
    </row>
    <row r="70" customFormat="false" ht="15" hidden="false" customHeight="false" outlineLevel="2" collapsed="false">
      <c r="A70" s="27" t="n">
        <v>66</v>
      </c>
      <c r="B70" s="27" t="s">
        <v>226</v>
      </c>
      <c r="C70" s="27" t="n">
        <v>3</v>
      </c>
      <c r="D70" s="27" t="s">
        <v>92</v>
      </c>
      <c r="E70" s="28" t="s">
        <v>160</v>
      </c>
      <c r="F70" s="27" t="s">
        <v>154</v>
      </c>
      <c r="G70" s="27" t="s">
        <v>157</v>
      </c>
      <c r="H70" s="27" t="s">
        <v>45</v>
      </c>
      <c r="I70" s="29" t="n">
        <v>32</v>
      </c>
      <c r="J70" s="29" t="n">
        <v>8</v>
      </c>
      <c r="K70" s="30" t="n">
        <f aca="false">WORKDAY(Assumptions!$C$4,I70,Assumptions!$F$4:$F$44)</f>
        <v>46372</v>
      </c>
      <c r="L70" s="30" t="n">
        <f aca="false">IF(J70=0,K70,WORKDAY(K70,J70-1,Assumptions!$F$4:$F$44))</f>
        <v>46381</v>
      </c>
      <c r="M70" s="29" t="s">
        <v>161</v>
      </c>
      <c r="N70" s="31" t="n">
        <v>0</v>
      </c>
      <c r="O70" s="31" t="n">
        <v>0</v>
      </c>
      <c r="P70" s="31" t="n">
        <v>2</v>
      </c>
      <c r="Q70" s="31" t="n">
        <v>1</v>
      </c>
      <c r="R70" s="31" t="n">
        <v>0</v>
      </c>
      <c r="S70" s="31" t="n">
        <v>0</v>
      </c>
      <c r="T70" s="31" t="n">
        <v>0</v>
      </c>
      <c r="U70" s="31" t="n">
        <v>0</v>
      </c>
      <c r="V70" s="31" t="n">
        <v>0</v>
      </c>
      <c r="W70" s="31" t="n">
        <v>0</v>
      </c>
      <c r="X70" s="31" t="n">
        <v>0</v>
      </c>
      <c r="Y70" s="32" t="n">
        <f aca="false">SUM(N70:X70)</f>
        <v>3</v>
      </c>
      <c r="Z70" s="32" t="n">
        <f aca="false">Y70*(1+Assumptions!$C$5)</f>
        <v>3.45</v>
      </c>
      <c r="AA70" s="27" t="s">
        <v>162</v>
      </c>
      <c r="AB70" s="27" t="s">
        <v>95</v>
      </c>
      <c r="AC70" s="27"/>
      <c r="AD70" s="33" t="n">
        <v>0</v>
      </c>
      <c r="AF70" s="21" t="n">
        <f aca="false">IF($J70=0,0,MAX(0,NETWORKDAYS(MAX($K70,AF$4),MIN($L70,EOMONTH(AF$4,0)),Assumptions!$F$4:$F$44))/NETWORKDAYS($K70,$L70,Assumptions!$F$4:$F$44))</f>
        <v>0</v>
      </c>
      <c r="AG70" s="21" t="n">
        <f aca="false">IF($J70=0,0,MAX(0,NETWORKDAYS(MAX($K70,AG$4),MIN($L70,EOMONTH(AG$4,0)),Assumptions!$F$4:$F$44))/NETWORKDAYS($K70,$L70,Assumptions!$F$4:$F$44))</f>
        <v>1</v>
      </c>
      <c r="AH70" s="21" t="n">
        <f aca="false">IF($J70=0,0,MAX(0,NETWORKDAYS(MAX($K70,AH$4),MIN($L70,EOMONTH(AH$4,0)),Assumptions!$F$4:$F$44))/NETWORKDAYS($K70,$L70,Assumptions!$F$4:$F$44))</f>
        <v>0</v>
      </c>
      <c r="AI70" s="21" t="n">
        <f aca="false">IF($J70=0,0,MAX(0,NETWORKDAYS(MAX($K70,AI$4),MIN($L70,EOMONTH(AI$4,0)),Assumptions!$F$4:$F$44))/NETWORKDAYS($K70,$L70,Assumptions!$F$4:$F$44))</f>
        <v>0</v>
      </c>
      <c r="AJ70" s="21" t="n">
        <f aca="false">IF($J70=0,0,MAX(0,NETWORKDAYS(MAX($K70,AJ$4),MIN($L70,EOMONTH(AJ$4,0)),Assumptions!$F$4:$F$44))/NETWORKDAYS($K70,$L70,Assumptions!$F$4:$F$44))</f>
        <v>0</v>
      </c>
      <c r="AK70" s="21" t="n">
        <f aca="false">IF($J70=0,0,MAX(0,NETWORKDAYS(MAX($K70,AK$4),MIN($L70,EOMONTH(AK$4,0)),Assumptions!$F$4:$F$44))/NETWORKDAYS($K70,$L70,Assumptions!$F$4:$F$44))</f>
        <v>0</v>
      </c>
      <c r="AL70" s="21" t="n">
        <f aca="false">IF($J70=0,0,MAX(0,NETWORKDAYS(MAX($K70,AL$4),MIN($L70,EOMONTH(AL$4,0)),Assumptions!$F$4:$F$44))/NETWORKDAYS($K70,$L70,Assumptions!$F$4:$F$44))</f>
        <v>0</v>
      </c>
      <c r="AM70" s="21" t="n">
        <f aca="false">IF($J70=0,0,MAX(0,NETWORKDAYS(MAX($K70,AM$4),MIN($L70,EOMONTH(AM$4,0)),Assumptions!$F$4:$F$44))/NETWORKDAYS($K70,$L70,Assumptions!$F$4:$F$44))</f>
        <v>0</v>
      </c>
      <c r="AN70" s="21" t="n">
        <f aca="false">IF($J70=0,0,MAX(0,NETWORKDAYS(MAX($K70,AN$4),MIN($L70,EOMONTH(AN$4,0)),Assumptions!$F$4:$F$44))/NETWORKDAYS($K70,$L70,Assumptions!$F$4:$F$44))</f>
        <v>0</v>
      </c>
      <c r="AO70" s="21" t="n">
        <f aca="false">IF($J70=0,0,MAX(0,NETWORKDAYS(MAX($K70,AO$4),MIN($L70,EOMONTH(AO$4,0)),Assumptions!$F$4:$F$44))/NETWORKDAYS($K70,$L70,Assumptions!$F$4:$F$44))</f>
        <v>0</v>
      </c>
      <c r="AP70" s="21" t="n">
        <f aca="false">IF($J70=0,0,MAX(0,NETWORKDAYS(MAX($K70,AP$4),MIN($L70,EOMONTH(AP$4,0)),Assumptions!$F$4:$F$44))/NETWORKDAYS($K70,$L70,Assumptions!$F$4:$F$44))</f>
        <v>0</v>
      </c>
      <c r="AQ70" s="21" t="n">
        <f aca="false">IF($J70=0,0,MAX(0,NETWORKDAYS(MAX($K70,AQ$4),MIN($L70,EOMONTH(AQ$4,0)),Assumptions!$F$4:$F$44))/NETWORKDAYS($K70,$L70,Assumptions!$F$4:$F$44))</f>
        <v>0</v>
      </c>
      <c r="AR70" s="21" t="n">
        <f aca="false">IF($J70=0,0,MAX(0,NETWORKDAYS(MAX($K70,AR$4),MIN($L70,EOMONTH(AR$4,0)),Assumptions!$F$4:$F$44))/NETWORKDAYS($K70,$L70,Assumptions!$F$4:$F$44))</f>
        <v>0</v>
      </c>
      <c r="AS70" s="21" t="n">
        <f aca="false">IF($J70=0,0,MAX(0,NETWORKDAYS(MAX($K70,AS$4),MIN($L70,EOMONTH(AS$4,0)),Assumptions!$F$4:$F$44))/NETWORKDAYS($K70,$L70,Assumptions!$F$4:$F$44))</f>
        <v>0</v>
      </c>
      <c r="AT70" s="21" t="n">
        <f aca="false">IF($J70=0,0,MAX(0,NETWORKDAYS(MAX($K70,AT$4),MIN($L70,EOMONTH(AT$4,0)),Assumptions!$F$4:$F$44))/NETWORKDAYS($K70,$L70,Assumptions!$F$4:$F$44))</f>
        <v>0</v>
      </c>
      <c r="AU70" s="21" t="n">
        <f aca="false">IF($J70=0,0,MAX(0,NETWORKDAYS(MAX($K70,AU$4),MIN($L70,EOMONTH(AU$4,0)),Assumptions!$F$4:$F$44))/NETWORKDAYS($K70,$L70,Assumptions!$F$4:$F$44))</f>
        <v>0</v>
      </c>
      <c r="AV70" s="21" t="n">
        <f aca="false">IF($J70=0,0,MAX(0,NETWORKDAYS(MAX($K70,AV$4),MIN($L70,EOMONTH(AV$4,0)),Assumptions!$F$4:$F$44))/NETWORKDAYS($K70,$L70,Assumptions!$F$4:$F$44))</f>
        <v>0</v>
      </c>
      <c r="AW70" s="21" t="n">
        <f aca="false">IF($J70=0,0,MAX(0,NETWORKDAYS(MAX($K70,AW$4),MIN($L70,EOMONTH(AW$4,0)),Assumptions!$F$4:$F$44))/NETWORKDAYS($K70,$L70,Assumptions!$F$4:$F$44))</f>
        <v>0</v>
      </c>
      <c r="AX70" s="21" t="n">
        <f aca="false">IF($J70=0,0,MAX(0,NETWORKDAYS(MAX($K70,AX$4),MIN($L70,EOMONTH(AX$4,0)),Assumptions!$F$4:$F$44))/NETWORKDAYS($K70,$L70,Assumptions!$F$4:$F$44))</f>
        <v>0</v>
      </c>
      <c r="AY70" s="21" t="n">
        <f aca="false">IF($J70=0,0,MAX(0,NETWORKDAYS(MAX($K70,AY$4),MIN($L70,EOMONTH(AY$4,0)),Assumptions!$F$4:$F$44))/NETWORKDAYS($K70,$L70,Assumptions!$F$4:$F$44))</f>
        <v>0</v>
      </c>
      <c r="AZ70" s="21" t="n">
        <f aca="false">IF($J70=0,0,MAX(0,NETWORKDAYS(MAX($K70,AZ$4),MIN($L70,EOMONTH(AZ$4,0)),Assumptions!$F$4:$F$44))/NETWORKDAYS($K70,$L70,Assumptions!$F$4:$F$44))</f>
        <v>0</v>
      </c>
      <c r="BA70" s="21" t="n">
        <f aca="false">IF($J70=0,0,MAX(0,NETWORKDAYS(MAX($K70,BA$4),MIN($L70,EOMONTH(BA$4,0)),Assumptions!$F$4:$F$44))/NETWORKDAYS($K70,$L70,Assumptions!$F$4:$F$44))</f>
        <v>0</v>
      </c>
      <c r="BB70" s="21" t="n">
        <f aca="false">IF($J70=0,0,MAX(0,NETWORKDAYS(MAX($K70,BB$4),MIN($L70,EOMONTH(BB$4,0)),Assumptions!$F$4:$F$44))/NETWORKDAYS($K70,$L70,Assumptions!$F$4:$F$44))</f>
        <v>0</v>
      </c>
      <c r="BC70" s="21" t="n">
        <f aca="false">IF($J70=0,0,MAX(0,NETWORKDAYS(MAX($K70,BC$4),MIN($L70,EOMONTH(BC$4,0)),Assumptions!$F$4:$F$44))/NETWORKDAYS($K70,$L70,Assumptions!$F$4:$F$44))</f>
        <v>0</v>
      </c>
    </row>
    <row r="71" customFormat="false" ht="15" hidden="false" customHeight="false" outlineLevel="2" collapsed="false">
      <c r="A71" s="27" t="n">
        <v>67</v>
      </c>
      <c r="B71" s="27" t="s">
        <v>227</v>
      </c>
      <c r="C71" s="27" t="n">
        <v>3</v>
      </c>
      <c r="D71" s="27" t="s">
        <v>92</v>
      </c>
      <c r="E71" s="28" t="s">
        <v>164</v>
      </c>
      <c r="F71" s="27" t="s">
        <v>154</v>
      </c>
      <c r="G71" s="27" t="s">
        <v>157</v>
      </c>
      <c r="H71" s="27" t="s">
        <v>47</v>
      </c>
      <c r="I71" s="29" t="n">
        <v>40</v>
      </c>
      <c r="J71" s="29" t="n">
        <v>24</v>
      </c>
      <c r="K71" s="30" t="n">
        <f aca="false">WORKDAY(Assumptions!$C$4,I71,Assumptions!$F$4:$F$44)</f>
        <v>46384</v>
      </c>
      <c r="L71" s="30" t="n">
        <f aca="false">IF(J71=0,K71,WORKDAY(K71,J71-1,Assumptions!$F$4:$F$44))</f>
        <v>46415</v>
      </c>
      <c r="M71" s="29"/>
      <c r="N71" s="31" t="n">
        <v>0</v>
      </c>
      <c r="O71" s="31" t="n">
        <v>0</v>
      </c>
      <c r="P71" s="31" t="n">
        <v>0</v>
      </c>
      <c r="Q71" s="31" t="n">
        <v>9</v>
      </c>
      <c r="R71" s="31" t="n">
        <v>0</v>
      </c>
      <c r="S71" s="31" t="n">
        <v>0</v>
      </c>
      <c r="T71" s="31" t="n">
        <v>0</v>
      </c>
      <c r="U71" s="31" t="n">
        <v>9</v>
      </c>
      <c r="V71" s="31" t="n">
        <v>0</v>
      </c>
      <c r="W71" s="31" t="n">
        <v>0</v>
      </c>
      <c r="X71" s="31" t="n">
        <v>0</v>
      </c>
      <c r="Y71" s="32" t="n">
        <f aca="false">SUM(N71:X71)</f>
        <v>18</v>
      </c>
      <c r="Z71" s="32" t="n">
        <f aca="false">Y71*(1+Assumptions!$C$5)</f>
        <v>20.7</v>
      </c>
      <c r="AA71" s="27" t="s">
        <v>165</v>
      </c>
      <c r="AB71" s="27" t="s">
        <v>95</v>
      </c>
      <c r="AC71" s="27"/>
      <c r="AD71" s="33" t="n">
        <v>0</v>
      </c>
      <c r="AF71" s="21" t="n">
        <f aca="false">IF($J71=0,0,MAX(0,NETWORKDAYS(MAX($K71,AF$4),MIN($L71,EOMONTH(AF$4,0)),Assumptions!$F$4:$F$44))/NETWORKDAYS($K71,$L71,Assumptions!$F$4:$F$44))</f>
        <v>0</v>
      </c>
      <c r="AG71" s="21" t="n">
        <f aca="false">IF($J71=0,0,MAX(0,NETWORKDAYS(MAX($K71,AG$4),MIN($L71,EOMONTH(AG$4,0)),Assumptions!$F$4:$F$44))/NETWORKDAYS($K71,$L71,Assumptions!$F$4:$F$44))</f>
        <v>0.166666666666667</v>
      </c>
      <c r="AH71" s="21" t="n">
        <f aca="false">IF($J71=0,0,MAX(0,NETWORKDAYS(MAX($K71,AH$4),MIN($L71,EOMONTH(AH$4,0)),Assumptions!$F$4:$F$44))/NETWORKDAYS($K71,$L71,Assumptions!$F$4:$F$44))</f>
        <v>0.833333333333333</v>
      </c>
      <c r="AI71" s="21" t="n">
        <f aca="false">IF($J71=0,0,MAX(0,NETWORKDAYS(MAX($K71,AI$4),MIN($L71,EOMONTH(AI$4,0)),Assumptions!$F$4:$F$44))/NETWORKDAYS($K71,$L71,Assumptions!$F$4:$F$44))</f>
        <v>0</v>
      </c>
      <c r="AJ71" s="21" t="n">
        <f aca="false">IF($J71=0,0,MAX(0,NETWORKDAYS(MAX($K71,AJ$4),MIN($L71,EOMONTH(AJ$4,0)),Assumptions!$F$4:$F$44))/NETWORKDAYS($K71,$L71,Assumptions!$F$4:$F$44))</f>
        <v>0</v>
      </c>
      <c r="AK71" s="21" t="n">
        <f aca="false">IF($J71=0,0,MAX(0,NETWORKDAYS(MAX($K71,AK$4),MIN($L71,EOMONTH(AK$4,0)),Assumptions!$F$4:$F$44))/NETWORKDAYS($K71,$L71,Assumptions!$F$4:$F$44))</f>
        <v>0</v>
      </c>
      <c r="AL71" s="21" t="n">
        <f aca="false">IF($J71=0,0,MAX(0,NETWORKDAYS(MAX($K71,AL$4),MIN($L71,EOMONTH(AL$4,0)),Assumptions!$F$4:$F$44))/NETWORKDAYS($K71,$L71,Assumptions!$F$4:$F$44))</f>
        <v>0</v>
      </c>
      <c r="AM71" s="21" t="n">
        <f aca="false">IF($J71=0,0,MAX(0,NETWORKDAYS(MAX($K71,AM$4),MIN($L71,EOMONTH(AM$4,0)),Assumptions!$F$4:$F$44))/NETWORKDAYS($K71,$L71,Assumptions!$F$4:$F$44))</f>
        <v>0</v>
      </c>
      <c r="AN71" s="21" t="n">
        <f aca="false">IF($J71=0,0,MAX(0,NETWORKDAYS(MAX($K71,AN$4),MIN($L71,EOMONTH(AN$4,0)),Assumptions!$F$4:$F$44))/NETWORKDAYS($K71,$L71,Assumptions!$F$4:$F$44))</f>
        <v>0</v>
      </c>
      <c r="AO71" s="21" t="n">
        <f aca="false">IF($J71=0,0,MAX(0,NETWORKDAYS(MAX($K71,AO$4),MIN($L71,EOMONTH(AO$4,0)),Assumptions!$F$4:$F$44))/NETWORKDAYS($K71,$L71,Assumptions!$F$4:$F$44))</f>
        <v>0</v>
      </c>
      <c r="AP71" s="21" t="n">
        <f aca="false">IF($J71=0,0,MAX(0,NETWORKDAYS(MAX($K71,AP$4),MIN($L71,EOMONTH(AP$4,0)),Assumptions!$F$4:$F$44))/NETWORKDAYS($K71,$L71,Assumptions!$F$4:$F$44))</f>
        <v>0</v>
      </c>
      <c r="AQ71" s="21" t="n">
        <f aca="false">IF($J71=0,0,MAX(0,NETWORKDAYS(MAX($K71,AQ$4),MIN($L71,EOMONTH(AQ$4,0)),Assumptions!$F$4:$F$44))/NETWORKDAYS($K71,$L71,Assumptions!$F$4:$F$44))</f>
        <v>0</v>
      </c>
      <c r="AR71" s="21" t="n">
        <f aca="false">IF($J71=0,0,MAX(0,NETWORKDAYS(MAX($K71,AR$4),MIN($L71,EOMONTH(AR$4,0)),Assumptions!$F$4:$F$44))/NETWORKDAYS($K71,$L71,Assumptions!$F$4:$F$44))</f>
        <v>0</v>
      </c>
      <c r="AS71" s="21" t="n">
        <f aca="false">IF($J71=0,0,MAX(0,NETWORKDAYS(MAX($K71,AS$4),MIN($L71,EOMONTH(AS$4,0)),Assumptions!$F$4:$F$44))/NETWORKDAYS($K71,$L71,Assumptions!$F$4:$F$44))</f>
        <v>0</v>
      </c>
      <c r="AT71" s="21" t="n">
        <f aca="false">IF($J71=0,0,MAX(0,NETWORKDAYS(MAX($K71,AT$4),MIN($L71,EOMONTH(AT$4,0)),Assumptions!$F$4:$F$44))/NETWORKDAYS($K71,$L71,Assumptions!$F$4:$F$44))</f>
        <v>0</v>
      </c>
      <c r="AU71" s="21" t="n">
        <f aca="false">IF($J71=0,0,MAX(0,NETWORKDAYS(MAX($K71,AU$4),MIN($L71,EOMONTH(AU$4,0)),Assumptions!$F$4:$F$44))/NETWORKDAYS($K71,$L71,Assumptions!$F$4:$F$44))</f>
        <v>0</v>
      </c>
      <c r="AV71" s="21" t="n">
        <f aca="false">IF($J71=0,0,MAX(0,NETWORKDAYS(MAX($K71,AV$4),MIN($L71,EOMONTH(AV$4,0)),Assumptions!$F$4:$F$44))/NETWORKDAYS($K71,$L71,Assumptions!$F$4:$F$44))</f>
        <v>0</v>
      </c>
      <c r="AW71" s="21" t="n">
        <f aca="false">IF($J71=0,0,MAX(0,NETWORKDAYS(MAX($K71,AW$4),MIN($L71,EOMONTH(AW$4,0)),Assumptions!$F$4:$F$44))/NETWORKDAYS($K71,$L71,Assumptions!$F$4:$F$44))</f>
        <v>0</v>
      </c>
      <c r="AX71" s="21" t="n">
        <f aca="false">IF($J71=0,0,MAX(0,NETWORKDAYS(MAX($K71,AX$4),MIN($L71,EOMONTH(AX$4,0)),Assumptions!$F$4:$F$44))/NETWORKDAYS($K71,$L71,Assumptions!$F$4:$F$44))</f>
        <v>0</v>
      </c>
      <c r="AY71" s="21" t="n">
        <f aca="false">IF($J71=0,0,MAX(0,NETWORKDAYS(MAX($K71,AY$4),MIN($L71,EOMONTH(AY$4,0)),Assumptions!$F$4:$F$44))/NETWORKDAYS($K71,$L71,Assumptions!$F$4:$F$44))</f>
        <v>0</v>
      </c>
      <c r="AZ71" s="21" t="n">
        <f aca="false">IF($J71=0,0,MAX(0,NETWORKDAYS(MAX($K71,AZ$4),MIN($L71,EOMONTH(AZ$4,0)),Assumptions!$F$4:$F$44))/NETWORKDAYS($K71,$L71,Assumptions!$F$4:$F$44))</f>
        <v>0</v>
      </c>
      <c r="BA71" s="21" t="n">
        <f aca="false">IF($J71=0,0,MAX(0,NETWORKDAYS(MAX($K71,BA$4),MIN($L71,EOMONTH(BA$4,0)),Assumptions!$F$4:$F$44))/NETWORKDAYS($K71,$L71,Assumptions!$F$4:$F$44))</f>
        <v>0</v>
      </c>
      <c r="BB71" s="21" t="n">
        <f aca="false">IF($J71=0,0,MAX(0,NETWORKDAYS(MAX($K71,BB$4),MIN($L71,EOMONTH(BB$4,0)),Assumptions!$F$4:$F$44))/NETWORKDAYS($K71,$L71,Assumptions!$F$4:$F$44))</f>
        <v>0</v>
      </c>
      <c r="BC71" s="21" t="n">
        <f aca="false">IF($J71=0,0,MAX(0,NETWORKDAYS(MAX($K71,BC$4),MIN($L71,EOMONTH(BC$4,0)),Assumptions!$F$4:$F$44))/NETWORKDAYS($K71,$L71,Assumptions!$F$4:$F$44))</f>
        <v>0</v>
      </c>
    </row>
    <row r="72" customFormat="false" ht="15" hidden="false" customHeight="false" outlineLevel="2" collapsed="false">
      <c r="A72" s="27" t="n">
        <v>68</v>
      </c>
      <c r="B72" s="27" t="s">
        <v>228</v>
      </c>
      <c r="C72" s="27" t="n">
        <v>3</v>
      </c>
      <c r="D72" s="27" t="s">
        <v>92</v>
      </c>
      <c r="E72" s="28" t="s">
        <v>167</v>
      </c>
      <c r="F72" s="27" t="s">
        <v>154</v>
      </c>
      <c r="G72" s="27" t="s">
        <v>157</v>
      </c>
      <c r="H72" s="27" t="s">
        <v>57</v>
      </c>
      <c r="I72" s="29" t="n">
        <v>62</v>
      </c>
      <c r="J72" s="29" t="n">
        <v>10</v>
      </c>
      <c r="K72" s="30" t="n">
        <f aca="false">WORKDAY(Assumptions!$C$4,I72,Assumptions!$F$4:$F$44)</f>
        <v>46414</v>
      </c>
      <c r="L72" s="30" t="n">
        <f aca="false">IF(J72=0,K72,WORKDAY(K72,J72-1,Assumptions!$F$4:$F$44))</f>
        <v>46427</v>
      </c>
      <c r="M72" s="29"/>
      <c r="N72" s="31" t="n">
        <v>0</v>
      </c>
      <c r="O72" s="31" t="n">
        <v>0</v>
      </c>
      <c r="P72" s="31" t="n">
        <v>0</v>
      </c>
      <c r="Q72" s="31" t="n">
        <v>1</v>
      </c>
      <c r="R72" s="31" t="n">
        <v>0</v>
      </c>
      <c r="S72" s="31" t="n">
        <v>0</v>
      </c>
      <c r="T72" s="31" t="n">
        <v>0</v>
      </c>
      <c r="U72" s="31" t="n">
        <v>0</v>
      </c>
      <c r="V72" s="31" t="n">
        <v>4</v>
      </c>
      <c r="W72" s="31" t="n">
        <v>0</v>
      </c>
      <c r="X72" s="31" t="n">
        <v>0</v>
      </c>
      <c r="Y72" s="32" t="n">
        <f aca="false">SUM(N72:X72)</f>
        <v>5</v>
      </c>
      <c r="Z72" s="32" t="n">
        <f aca="false">Y72*(1+Assumptions!$C$5)</f>
        <v>5.75</v>
      </c>
      <c r="AA72" s="27" t="s">
        <v>168</v>
      </c>
      <c r="AB72" s="27" t="s">
        <v>95</v>
      </c>
      <c r="AC72" s="27"/>
      <c r="AD72" s="33" t="n">
        <v>0</v>
      </c>
      <c r="AF72" s="21" t="n">
        <f aca="false">IF($J72=0,0,MAX(0,NETWORKDAYS(MAX($K72,AF$4),MIN($L72,EOMONTH(AF$4,0)),Assumptions!$F$4:$F$44))/NETWORKDAYS($K72,$L72,Assumptions!$F$4:$F$44))</f>
        <v>0</v>
      </c>
      <c r="AG72" s="21" t="n">
        <f aca="false">IF($J72=0,0,MAX(0,NETWORKDAYS(MAX($K72,AG$4),MIN($L72,EOMONTH(AG$4,0)),Assumptions!$F$4:$F$44))/NETWORKDAYS($K72,$L72,Assumptions!$F$4:$F$44))</f>
        <v>0</v>
      </c>
      <c r="AH72" s="21" t="n">
        <f aca="false">IF($J72=0,0,MAX(0,NETWORKDAYS(MAX($K72,AH$4),MIN($L72,EOMONTH(AH$4,0)),Assumptions!$F$4:$F$44))/NETWORKDAYS($K72,$L72,Assumptions!$F$4:$F$44))</f>
        <v>0.3</v>
      </c>
      <c r="AI72" s="21" t="n">
        <f aca="false">IF($J72=0,0,MAX(0,NETWORKDAYS(MAX($K72,AI$4),MIN($L72,EOMONTH(AI$4,0)),Assumptions!$F$4:$F$44))/NETWORKDAYS($K72,$L72,Assumptions!$F$4:$F$44))</f>
        <v>0.7</v>
      </c>
      <c r="AJ72" s="21" t="n">
        <f aca="false">IF($J72=0,0,MAX(0,NETWORKDAYS(MAX($K72,AJ$4),MIN($L72,EOMONTH(AJ$4,0)),Assumptions!$F$4:$F$44))/NETWORKDAYS($K72,$L72,Assumptions!$F$4:$F$44))</f>
        <v>0</v>
      </c>
      <c r="AK72" s="21" t="n">
        <f aca="false">IF($J72=0,0,MAX(0,NETWORKDAYS(MAX($K72,AK$4),MIN($L72,EOMONTH(AK$4,0)),Assumptions!$F$4:$F$44))/NETWORKDAYS($K72,$L72,Assumptions!$F$4:$F$44))</f>
        <v>0</v>
      </c>
      <c r="AL72" s="21" t="n">
        <f aca="false">IF($J72=0,0,MAX(0,NETWORKDAYS(MAX($K72,AL$4),MIN($L72,EOMONTH(AL$4,0)),Assumptions!$F$4:$F$44))/NETWORKDAYS($K72,$L72,Assumptions!$F$4:$F$44))</f>
        <v>0</v>
      </c>
      <c r="AM72" s="21" t="n">
        <f aca="false">IF($J72=0,0,MAX(0,NETWORKDAYS(MAX($K72,AM$4),MIN($L72,EOMONTH(AM$4,0)),Assumptions!$F$4:$F$44))/NETWORKDAYS($K72,$L72,Assumptions!$F$4:$F$44))</f>
        <v>0</v>
      </c>
      <c r="AN72" s="21" t="n">
        <f aca="false">IF($J72=0,0,MAX(0,NETWORKDAYS(MAX($K72,AN$4),MIN($L72,EOMONTH(AN$4,0)),Assumptions!$F$4:$F$44))/NETWORKDAYS($K72,$L72,Assumptions!$F$4:$F$44))</f>
        <v>0</v>
      </c>
      <c r="AO72" s="21" t="n">
        <f aca="false">IF($J72=0,0,MAX(0,NETWORKDAYS(MAX($K72,AO$4),MIN($L72,EOMONTH(AO$4,0)),Assumptions!$F$4:$F$44))/NETWORKDAYS($K72,$L72,Assumptions!$F$4:$F$44))</f>
        <v>0</v>
      </c>
      <c r="AP72" s="21" t="n">
        <f aca="false">IF($J72=0,0,MAX(0,NETWORKDAYS(MAX($K72,AP$4),MIN($L72,EOMONTH(AP$4,0)),Assumptions!$F$4:$F$44))/NETWORKDAYS($K72,$L72,Assumptions!$F$4:$F$44))</f>
        <v>0</v>
      </c>
      <c r="AQ72" s="21" t="n">
        <f aca="false">IF($J72=0,0,MAX(0,NETWORKDAYS(MAX($K72,AQ$4),MIN($L72,EOMONTH(AQ$4,0)),Assumptions!$F$4:$F$44))/NETWORKDAYS($K72,$L72,Assumptions!$F$4:$F$44))</f>
        <v>0</v>
      </c>
      <c r="AR72" s="21" t="n">
        <f aca="false">IF($J72=0,0,MAX(0,NETWORKDAYS(MAX($K72,AR$4),MIN($L72,EOMONTH(AR$4,0)),Assumptions!$F$4:$F$44))/NETWORKDAYS($K72,$L72,Assumptions!$F$4:$F$44))</f>
        <v>0</v>
      </c>
      <c r="AS72" s="21" t="n">
        <f aca="false">IF($J72=0,0,MAX(0,NETWORKDAYS(MAX($K72,AS$4),MIN($L72,EOMONTH(AS$4,0)),Assumptions!$F$4:$F$44))/NETWORKDAYS($K72,$L72,Assumptions!$F$4:$F$44))</f>
        <v>0</v>
      </c>
      <c r="AT72" s="21" t="n">
        <f aca="false">IF($J72=0,0,MAX(0,NETWORKDAYS(MAX($K72,AT$4),MIN($L72,EOMONTH(AT$4,0)),Assumptions!$F$4:$F$44))/NETWORKDAYS($K72,$L72,Assumptions!$F$4:$F$44))</f>
        <v>0</v>
      </c>
      <c r="AU72" s="21" t="n">
        <f aca="false">IF($J72=0,0,MAX(0,NETWORKDAYS(MAX($K72,AU$4),MIN($L72,EOMONTH(AU$4,0)),Assumptions!$F$4:$F$44))/NETWORKDAYS($K72,$L72,Assumptions!$F$4:$F$44))</f>
        <v>0</v>
      </c>
      <c r="AV72" s="21" t="n">
        <f aca="false">IF($J72=0,0,MAX(0,NETWORKDAYS(MAX($K72,AV$4),MIN($L72,EOMONTH(AV$4,0)),Assumptions!$F$4:$F$44))/NETWORKDAYS($K72,$L72,Assumptions!$F$4:$F$44))</f>
        <v>0</v>
      </c>
      <c r="AW72" s="21" t="n">
        <f aca="false">IF($J72=0,0,MAX(0,NETWORKDAYS(MAX($K72,AW$4),MIN($L72,EOMONTH(AW$4,0)),Assumptions!$F$4:$F$44))/NETWORKDAYS($K72,$L72,Assumptions!$F$4:$F$44))</f>
        <v>0</v>
      </c>
      <c r="AX72" s="21" t="n">
        <f aca="false">IF($J72=0,0,MAX(0,NETWORKDAYS(MAX($K72,AX$4),MIN($L72,EOMONTH(AX$4,0)),Assumptions!$F$4:$F$44))/NETWORKDAYS($K72,$L72,Assumptions!$F$4:$F$44))</f>
        <v>0</v>
      </c>
      <c r="AY72" s="21" t="n">
        <f aca="false">IF($J72=0,0,MAX(0,NETWORKDAYS(MAX($K72,AY$4),MIN($L72,EOMONTH(AY$4,0)),Assumptions!$F$4:$F$44))/NETWORKDAYS($K72,$L72,Assumptions!$F$4:$F$44))</f>
        <v>0</v>
      </c>
      <c r="AZ72" s="21" t="n">
        <f aca="false">IF($J72=0,0,MAX(0,NETWORKDAYS(MAX($K72,AZ$4),MIN($L72,EOMONTH(AZ$4,0)),Assumptions!$F$4:$F$44))/NETWORKDAYS($K72,$L72,Assumptions!$F$4:$F$44))</f>
        <v>0</v>
      </c>
      <c r="BA72" s="21" t="n">
        <f aca="false">IF($J72=0,0,MAX(0,NETWORKDAYS(MAX($K72,BA$4),MIN($L72,EOMONTH(BA$4,0)),Assumptions!$F$4:$F$44))/NETWORKDAYS($K72,$L72,Assumptions!$F$4:$F$44))</f>
        <v>0</v>
      </c>
      <c r="BB72" s="21" t="n">
        <f aca="false">IF($J72=0,0,MAX(0,NETWORKDAYS(MAX($K72,BB$4),MIN($L72,EOMONTH(BB$4,0)),Assumptions!$F$4:$F$44))/NETWORKDAYS($K72,$L72,Assumptions!$F$4:$F$44))</f>
        <v>0</v>
      </c>
      <c r="BC72" s="21" t="n">
        <f aca="false">IF($J72=0,0,MAX(0,NETWORKDAYS(MAX($K72,BC$4),MIN($L72,EOMONTH(BC$4,0)),Assumptions!$F$4:$F$44))/NETWORKDAYS($K72,$L72,Assumptions!$F$4:$F$44))</f>
        <v>0</v>
      </c>
    </row>
    <row r="73" customFormat="false" ht="15" hidden="false" customHeight="false" outlineLevel="1" collapsed="false">
      <c r="A73" s="22" t="n">
        <v>69</v>
      </c>
      <c r="B73" s="22" t="s">
        <v>229</v>
      </c>
      <c r="C73" s="22" t="n">
        <v>2</v>
      </c>
      <c r="D73" s="22" t="s">
        <v>89</v>
      </c>
      <c r="E73" s="23" t="s">
        <v>230</v>
      </c>
      <c r="F73" s="22" t="s">
        <v>154</v>
      </c>
      <c r="G73" s="22" t="s">
        <v>157</v>
      </c>
      <c r="H73" s="22"/>
      <c r="I73" s="22"/>
      <c r="J73" s="22" t="n">
        <f aca="false">NETWORKDAYS(K73,L73,Assumptions!$F$4:$F$44)</f>
        <v>34</v>
      </c>
      <c r="K73" s="24" t="n">
        <f aca="false">MIN(K74:K76)</f>
        <v>46372</v>
      </c>
      <c r="L73" s="24" t="n">
        <f aca="false">MAX(L74:L76)</f>
        <v>46419</v>
      </c>
      <c r="M73" s="22"/>
      <c r="N73" s="25" t="n">
        <f aca="false">SUMPRODUCT(($C$74:$C$76=3)*(N74:N76))</f>
        <v>0</v>
      </c>
      <c r="O73" s="25" t="n">
        <f aca="false">SUMPRODUCT(($C$74:$C$76=3)*(O74:O76))</f>
        <v>0</v>
      </c>
      <c r="P73" s="25" t="n">
        <f aca="false">SUMPRODUCT(($C$74:$C$76=3)*(P74:P76))</f>
        <v>3</v>
      </c>
      <c r="Q73" s="25" t="n">
        <f aca="false">SUMPRODUCT(($C$74:$C$76=3)*(Q74:Q76))</f>
        <v>13</v>
      </c>
      <c r="R73" s="25" t="n">
        <f aca="false">SUMPRODUCT(($C$74:$C$76=3)*(R74:R76))</f>
        <v>0</v>
      </c>
      <c r="S73" s="25" t="n">
        <f aca="false">SUMPRODUCT(($C$74:$C$76=3)*(S74:S76))</f>
        <v>0</v>
      </c>
      <c r="T73" s="25" t="n">
        <f aca="false">SUMPRODUCT(($C$74:$C$76=3)*(T74:T76))</f>
        <v>0</v>
      </c>
      <c r="U73" s="25" t="n">
        <f aca="false">SUMPRODUCT(($C$74:$C$76=3)*(U74:U76))</f>
        <v>5</v>
      </c>
      <c r="V73" s="25" t="n">
        <f aca="false">SUMPRODUCT(($C$74:$C$76=3)*(V74:V76))</f>
        <v>4</v>
      </c>
      <c r="W73" s="25" t="n">
        <f aca="false">SUMPRODUCT(($C$74:$C$76=3)*(W74:W76))</f>
        <v>0</v>
      </c>
      <c r="X73" s="25" t="n">
        <f aca="false">SUMPRODUCT(($C$74:$C$76=3)*(X74:X76))</f>
        <v>0</v>
      </c>
      <c r="Y73" s="25" t="n">
        <f aca="false">SUM(N73:X73)</f>
        <v>25</v>
      </c>
      <c r="Z73" s="25" t="n">
        <f aca="false">Y73*(1+Assumptions!$C$5)</f>
        <v>28.75</v>
      </c>
      <c r="AA73" s="22" t="s">
        <v>231</v>
      </c>
      <c r="AB73" s="22"/>
      <c r="AC73" s="22"/>
      <c r="AD73" s="26"/>
      <c r="AF73" s="21" t="n">
        <v>0</v>
      </c>
      <c r="AG73" s="21" t="n">
        <v>0</v>
      </c>
      <c r="AH73" s="21" t="n">
        <v>0</v>
      </c>
      <c r="AI73" s="21" t="n">
        <v>0</v>
      </c>
      <c r="AJ73" s="21" t="n">
        <v>0</v>
      </c>
      <c r="AK73" s="21" t="n">
        <v>0</v>
      </c>
      <c r="AL73" s="21" t="n">
        <v>0</v>
      </c>
      <c r="AM73" s="21" t="n">
        <v>0</v>
      </c>
      <c r="AN73" s="21" t="n">
        <v>0</v>
      </c>
      <c r="AO73" s="21" t="n">
        <v>0</v>
      </c>
      <c r="AP73" s="21" t="n">
        <v>0</v>
      </c>
      <c r="AQ73" s="21" t="n">
        <v>0</v>
      </c>
      <c r="AR73" s="21" t="n">
        <v>0</v>
      </c>
      <c r="AS73" s="21" t="n">
        <v>0</v>
      </c>
      <c r="AT73" s="21" t="n">
        <v>0</v>
      </c>
      <c r="AU73" s="21" t="n">
        <v>0</v>
      </c>
      <c r="AV73" s="21" t="n">
        <v>0</v>
      </c>
      <c r="AW73" s="21" t="n">
        <v>0</v>
      </c>
      <c r="AX73" s="21" t="n">
        <v>0</v>
      </c>
      <c r="AY73" s="21" t="n">
        <v>0</v>
      </c>
      <c r="AZ73" s="21" t="n">
        <v>0</v>
      </c>
      <c r="BA73" s="21" t="n">
        <v>0</v>
      </c>
      <c r="BB73" s="21" t="n">
        <v>0</v>
      </c>
      <c r="BC73" s="21" t="n">
        <v>0</v>
      </c>
    </row>
    <row r="74" customFormat="false" ht="15" hidden="false" customHeight="false" outlineLevel="2" collapsed="false">
      <c r="A74" s="27" t="n">
        <v>70</v>
      </c>
      <c r="B74" s="27" t="s">
        <v>232</v>
      </c>
      <c r="C74" s="27" t="n">
        <v>3</v>
      </c>
      <c r="D74" s="27" t="s">
        <v>92</v>
      </c>
      <c r="E74" s="28" t="s">
        <v>160</v>
      </c>
      <c r="F74" s="27" t="s">
        <v>154</v>
      </c>
      <c r="G74" s="27" t="s">
        <v>157</v>
      </c>
      <c r="H74" s="27" t="s">
        <v>45</v>
      </c>
      <c r="I74" s="29" t="n">
        <v>32</v>
      </c>
      <c r="J74" s="29" t="n">
        <v>7</v>
      </c>
      <c r="K74" s="30" t="n">
        <f aca="false">WORKDAY(Assumptions!$C$4,I74,Assumptions!$F$4:$F$44)</f>
        <v>46372</v>
      </c>
      <c r="L74" s="30" t="n">
        <f aca="false">IF(J74=0,K74,WORKDAY(K74,J74-1,Assumptions!$F$4:$F$44))</f>
        <v>46380</v>
      </c>
      <c r="M74" s="29" t="s">
        <v>161</v>
      </c>
      <c r="N74" s="31" t="n">
        <v>0</v>
      </c>
      <c r="O74" s="31" t="n">
        <v>0</v>
      </c>
      <c r="P74" s="31" t="n">
        <v>3</v>
      </c>
      <c r="Q74" s="31" t="n">
        <v>1</v>
      </c>
      <c r="R74" s="31" t="n">
        <v>0</v>
      </c>
      <c r="S74" s="31" t="n">
        <v>0</v>
      </c>
      <c r="T74" s="31" t="n">
        <v>0</v>
      </c>
      <c r="U74" s="31" t="n">
        <v>0</v>
      </c>
      <c r="V74" s="31" t="n">
        <v>0</v>
      </c>
      <c r="W74" s="31" t="n">
        <v>0</v>
      </c>
      <c r="X74" s="31" t="n">
        <v>0</v>
      </c>
      <c r="Y74" s="32" t="n">
        <f aca="false">SUM(N74:X74)</f>
        <v>4</v>
      </c>
      <c r="Z74" s="32" t="n">
        <f aca="false">Y74*(1+Assumptions!$C$5)</f>
        <v>4.6</v>
      </c>
      <c r="AA74" s="27" t="s">
        <v>162</v>
      </c>
      <c r="AB74" s="27" t="s">
        <v>95</v>
      </c>
      <c r="AC74" s="27"/>
      <c r="AD74" s="33" t="n">
        <v>0</v>
      </c>
      <c r="AF74" s="21" t="n">
        <f aca="false">IF($J74=0,0,MAX(0,NETWORKDAYS(MAX($K74,AF$4),MIN($L74,EOMONTH(AF$4,0)),Assumptions!$F$4:$F$44))/NETWORKDAYS($K74,$L74,Assumptions!$F$4:$F$44))</f>
        <v>0</v>
      </c>
      <c r="AG74" s="21" t="n">
        <f aca="false">IF($J74=0,0,MAX(0,NETWORKDAYS(MAX($K74,AG$4),MIN($L74,EOMONTH(AG$4,0)),Assumptions!$F$4:$F$44))/NETWORKDAYS($K74,$L74,Assumptions!$F$4:$F$44))</f>
        <v>1</v>
      </c>
      <c r="AH74" s="21" t="n">
        <f aca="false">IF($J74=0,0,MAX(0,NETWORKDAYS(MAX($K74,AH$4),MIN($L74,EOMONTH(AH$4,0)),Assumptions!$F$4:$F$44))/NETWORKDAYS($K74,$L74,Assumptions!$F$4:$F$44))</f>
        <v>0</v>
      </c>
      <c r="AI74" s="21" t="n">
        <f aca="false">IF($J74=0,0,MAX(0,NETWORKDAYS(MAX($K74,AI$4),MIN($L74,EOMONTH(AI$4,0)),Assumptions!$F$4:$F$44))/NETWORKDAYS($K74,$L74,Assumptions!$F$4:$F$44))</f>
        <v>0</v>
      </c>
      <c r="AJ74" s="21" t="n">
        <f aca="false">IF($J74=0,0,MAX(0,NETWORKDAYS(MAX($K74,AJ$4),MIN($L74,EOMONTH(AJ$4,0)),Assumptions!$F$4:$F$44))/NETWORKDAYS($K74,$L74,Assumptions!$F$4:$F$44))</f>
        <v>0</v>
      </c>
      <c r="AK74" s="21" t="n">
        <f aca="false">IF($J74=0,0,MAX(0,NETWORKDAYS(MAX($K74,AK$4),MIN($L74,EOMONTH(AK$4,0)),Assumptions!$F$4:$F$44))/NETWORKDAYS($K74,$L74,Assumptions!$F$4:$F$44))</f>
        <v>0</v>
      </c>
      <c r="AL74" s="21" t="n">
        <f aca="false">IF($J74=0,0,MAX(0,NETWORKDAYS(MAX($K74,AL$4),MIN($L74,EOMONTH(AL$4,0)),Assumptions!$F$4:$F$44))/NETWORKDAYS($K74,$L74,Assumptions!$F$4:$F$44))</f>
        <v>0</v>
      </c>
      <c r="AM74" s="21" t="n">
        <f aca="false">IF($J74=0,0,MAX(0,NETWORKDAYS(MAX($K74,AM$4),MIN($L74,EOMONTH(AM$4,0)),Assumptions!$F$4:$F$44))/NETWORKDAYS($K74,$L74,Assumptions!$F$4:$F$44))</f>
        <v>0</v>
      </c>
      <c r="AN74" s="21" t="n">
        <f aca="false">IF($J74=0,0,MAX(0,NETWORKDAYS(MAX($K74,AN$4),MIN($L74,EOMONTH(AN$4,0)),Assumptions!$F$4:$F$44))/NETWORKDAYS($K74,$L74,Assumptions!$F$4:$F$44))</f>
        <v>0</v>
      </c>
      <c r="AO74" s="21" t="n">
        <f aca="false">IF($J74=0,0,MAX(0,NETWORKDAYS(MAX($K74,AO$4),MIN($L74,EOMONTH(AO$4,0)),Assumptions!$F$4:$F$44))/NETWORKDAYS($K74,$L74,Assumptions!$F$4:$F$44))</f>
        <v>0</v>
      </c>
      <c r="AP74" s="21" t="n">
        <f aca="false">IF($J74=0,0,MAX(0,NETWORKDAYS(MAX($K74,AP$4),MIN($L74,EOMONTH(AP$4,0)),Assumptions!$F$4:$F$44))/NETWORKDAYS($K74,$L74,Assumptions!$F$4:$F$44))</f>
        <v>0</v>
      </c>
      <c r="AQ74" s="21" t="n">
        <f aca="false">IF($J74=0,0,MAX(0,NETWORKDAYS(MAX($K74,AQ$4),MIN($L74,EOMONTH(AQ$4,0)),Assumptions!$F$4:$F$44))/NETWORKDAYS($K74,$L74,Assumptions!$F$4:$F$44))</f>
        <v>0</v>
      </c>
      <c r="AR74" s="21" t="n">
        <f aca="false">IF($J74=0,0,MAX(0,NETWORKDAYS(MAX($K74,AR$4),MIN($L74,EOMONTH(AR$4,0)),Assumptions!$F$4:$F$44))/NETWORKDAYS($K74,$L74,Assumptions!$F$4:$F$44))</f>
        <v>0</v>
      </c>
      <c r="AS74" s="21" t="n">
        <f aca="false">IF($J74=0,0,MAX(0,NETWORKDAYS(MAX($K74,AS$4),MIN($L74,EOMONTH(AS$4,0)),Assumptions!$F$4:$F$44))/NETWORKDAYS($K74,$L74,Assumptions!$F$4:$F$44))</f>
        <v>0</v>
      </c>
      <c r="AT74" s="21" t="n">
        <f aca="false">IF($J74=0,0,MAX(0,NETWORKDAYS(MAX($K74,AT$4),MIN($L74,EOMONTH(AT$4,0)),Assumptions!$F$4:$F$44))/NETWORKDAYS($K74,$L74,Assumptions!$F$4:$F$44))</f>
        <v>0</v>
      </c>
      <c r="AU74" s="21" t="n">
        <f aca="false">IF($J74=0,0,MAX(0,NETWORKDAYS(MAX($K74,AU$4),MIN($L74,EOMONTH(AU$4,0)),Assumptions!$F$4:$F$44))/NETWORKDAYS($K74,$L74,Assumptions!$F$4:$F$44))</f>
        <v>0</v>
      </c>
      <c r="AV74" s="21" t="n">
        <f aca="false">IF($J74=0,0,MAX(0,NETWORKDAYS(MAX($K74,AV$4),MIN($L74,EOMONTH(AV$4,0)),Assumptions!$F$4:$F$44))/NETWORKDAYS($K74,$L74,Assumptions!$F$4:$F$44))</f>
        <v>0</v>
      </c>
      <c r="AW74" s="21" t="n">
        <f aca="false">IF($J74=0,0,MAX(0,NETWORKDAYS(MAX($K74,AW$4),MIN($L74,EOMONTH(AW$4,0)),Assumptions!$F$4:$F$44))/NETWORKDAYS($K74,$L74,Assumptions!$F$4:$F$44))</f>
        <v>0</v>
      </c>
      <c r="AX74" s="21" t="n">
        <f aca="false">IF($J74=0,0,MAX(0,NETWORKDAYS(MAX($K74,AX$4),MIN($L74,EOMONTH(AX$4,0)),Assumptions!$F$4:$F$44))/NETWORKDAYS($K74,$L74,Assumptions!$F$4:$F$44))</f>
        <v>0</v>
      </c>
      <c r="AY74" s="21" t="n">
        <f aca="false">IF($J74=0,0,MAX(0,NETWORKDAYS(MAX($K74,AY$4),MIN($L74,EOMONTH(AY$4,0)),Assumptions!$F$4:$F$44))/NETWORKDAYS($K74,$L74,Assumptions!$F$4:$F$44))</f>
        <v>0</v>
      </c>
      <c r="AZ74" s="21" t="n">
        <f aca="false">IF($J74=0,0,MAX(0,NETWORKDAYS(MAX($K74,AZ$4),MIN($L74,EOMONTH(AZ$4,0)),Assumptions!$F$4:$F$44))/NETWORKDAYS($K74,$L74,Assumptions!$F$4:$F$44))</f>
        <v>0</v>
      </c>
      <c r="BA74" s="21" t="n">
        <f aca="false">IF($J74=0,0,MAX(0,NETWORKDAYS(MAX($K74,BA$4),MIN($L74,EOMONTH(BA$4,0)),Assumptions!$F$4:$F$44))/NETWORKDAYS($K74,$L74,Assumptions!$F$4:$F$44))</f>
        <v>0</v>
      </c>
      <c r="BB74" s="21" t="n">
        <f aca="false">IF($J74=0,0,MAX(0,NETWORKDAYS(MAX($K74,BB$4),MIN($L74,EOMONTH(BB$4,0)),Assumptions!$F$4:$F$44))/NETWORKDAYS($K74,$L74,Assumptions!$F$4:$F$44))</f>
        <v>0</v>
      </c>
      <c r="BC74" s="21" t="n">
        <f aca="false">IF($J74=0,0,MAX(0,NETWORKDAYS(MAX($K74,BC$4),MIN($L74,EOMONTH(BC$4,0)),Assumptions!$F$4:$F$44))/NETWORKDAYS($K74,$L74,Assumptions!$F$4:$F$44))</f>
        <v>0</v>
      </c>
    </row>
    <row r="75" customFormat="false" ht="15" hidden="false" customHeight="false" outlineLevel="2" collapsed="false">
      <c r="A75" s="27" t="n">
        <v>71</v>
      </c>
      <c r="B75" s="27" t="s">
        <v>233</v>
      </c>
      <c r="C75" s="27" t="n">
        <v>3</v>
      </c>
      <c r="D75" s="27" t="s">
        <v>92</v>
      </c>
      <c r="E75" s="28" t="s">
        <v>164</v>
      </c>
      <c r="F75" s="27" t="s">
        <v>154</v>
      </c>
      <c r="G75" s="27" t="s">
        <v>157</v>
      </c>
      <c r="H75" s="27" t="s">
        <v>47</v>
      </c>
      <c r="I75" s="29" t="n">
        <v>39</v>
      </c>
      <c r="J75" s="29" t="n">
        <v>20</v>
      </c>
      <c r="K75" s="30" t="n">
        <f aca="false">WORKDAY(Assumptions!$C$4,I75,Assumptions!$F$4:$F$44)</f>
        <v>46381</v>
      </c>
      <c r="L75" s="30" t="n">
        <f aca="false">IF(J75=0,K75,WORKDAY(K75,J75-1,Assumptions!$F$4:$F$44))</f>
        <v>46408</v>
      </c>
      <c r="M75" s="29"/>
      <c r="N75" s="31" t="n">
        <v>0</v>
      </c>
      <c r="O75" s="31" t="n">
        <v>0</v>
      </c>
      <c r="P75" s="31" t="n">
        <v>0</v>
      </c>
      <c r="Q75" s="31" t="n">
        <v>11</v>
      </c>
      <c r="R75" s="31" t="n">
        <v>0</v>
      </c>
      <c r="S75" s="31" t="n">
        <v>0</v>
      </c>
      <c r="T75" s="31" t="n">
        <v>0</v>
      </c>
      <c r="U75" s="31" t="n">
        <v>5</v>
      </c>
      <c r="V75" s="31" t="n">
        <v>0</v>
      </c>
      <c r="W75" s="31" t="n">
        <v>0</v>
      </c>
      <c r="X75" s="31" t="n">
        <v>0</v>
      </c>
      <c r="Y75" s="32" t="n">
        <f aca="false">SUM(N75:X75)</f>
        <v>16</v>
      </c>
      <c r="Z75" s="32" t="n">
        <f aca="false">Y75*(1+Assumptions!$C$5)</f>
        <v>18.4</v>
      </c>
      <c r="AA75" s="27" t="s">
        <v>165</v>
      </c>
      <c r="AB75" s="27" t="s">
        <v>95</v>
      </c>
      <c r="AC75" s="27"/>
      <c r="AD75" s="33" t="n">
        <v>0</v>
      </c>
      <c r="AF75" s="21" t="n">
        <f aca="false">IF($J75=0,0,MAX(0,NETWORKDAYS(MAX($K75,AF$4),MIN($L75,EOMONTH(AF$4,0)),Assumptions!$F$4:$F$44))/NETWORKDAYS($K75,$L75,Assumptions!$F$4:$F$44))</f>
        <v>0</v>
      </c>
      <c r="AG75" s="21" t="n">
        <f aca="false">IF($J75=0,0,MAX(0,NETWORKDAYS(MAX($K75,AG$4),MIN($L75,EOMONTH(AG$4,0)),Assumptions!$F$4:$F$44))/NETWORKDAYS($K75,$L75,Assumptions!$F$4:$F$44))</f>
        <v>0.25</v>
      </c>
      <c r="AH75" s="21" t="n">
        <f aca="false">IF($J75=0,0,MAX(0,NETWORKDAYS(MAX($K75,AH$4),MIN($L75,EOMONTH(AH$4,0)),Assumptions!$F$4:$F$44))/NETWORKDAYS($K75,$L75,Assumptions!$F$4:$F$44))</f>
        <v>0.75</v>
      </c>
      <c r="AI75" s="21" t="n">
        <f aca="false">IF($J75=0,0,MAX(0,NETWORKDAYS(MAX($K75,AI$4),MIN($L75,EOMONTH(AI$4,0)),Assumptions!$F$4:$F$44))/NETWORKDAYS($K75,$L75,Assumptions!$F$4:$F$44))</f>
        <v>0</v>
      </c>
      <c r="AJ75" s="21" t="n">
        <f aca="false">IF($J75=0,0,MAX(0,NETWORKDAYS(MAX($K75,AJ$4),MIN($L75,EOMONTH(AJ$4,0)),Assumptions!$F$4:$F$44))/NETWORKDAYS($K75,$L75,Assumptions!$F$4:$F$44))</f>
        <v>0</v>
      </c>
      <c r="AK75" s="21" t="n">
        <f aca="false">IF($J75=0,0,MAX(0,NETWORKDAYS(MAX($K75,AK$4),MIN($L75,EOMONTH(AK$4,0)),Assumptions!$F$4:$F$44))/NETWORKDAYS($K75,$L75,Assumptions!$F$4:$F$44))</f>
        <v>0</v>
      </c>
      <c r="AL75" s="21" t="n">
        <f aca="false">IF($J75=0,0,MAX(0,NETWORKDAYS(MAX($K75,AL$4),MIN($L75,EOMONTH(AL$4,0)),Assumptions!$F$4:$F$44))/NETWORKDAYS($K75,$L75,Assumptions!$F$4:$F$44))</f>
        <v>0</v>
      </c>
      <c r="AM75" s="21" t="n">
        <f aca="false">IF($J75=0,0,MAX(0,NETWORKDAYS(MAX($K75,AM$4),MIN($L75,EOMONTH(AM$4,0)),Assumptions!$F$4:$F$44))/NETWORKDAYS($K75,$L75,Assumptions!$F$4:$F$44))</f>
        <v>0</v>
      </c>
      <c r="AN75" s="21" t="n">
        <f aca="false">IF($J75=0,0,MAX(0,NETWORKDAYS(MAX($K75,AN$4),MIN($L75,EOMONTH(AN$4,0)),Assumptions!$F$4:$F$44))/NETWORKDAYS($K75,$L75,Assumptions!$F$4:$F$44))</f>
        <v>0</v>
      </c>
      <c r="AO75" s="21" t="n">
        <f aca="false">IF($J75=0,0,MAX(0,NETWORKDAYS(MAX($K75,AO$4),MIN($L75,EOMONTH(AO$4,0)),Assumptions!$F$4:$F$44))/NETWORKDAYS($K75,$L75,Assumptions!$F$4:$F$44))</f>
        <v>0</v>
      </c>
      <c r="AP75" s="21" t="n">
        <f aca="false">IF($J75=0,0,MAX(0,NETWORKDAYS(MAX($K75,AP$4),MIN($L75,EOMONTH(AP$4,0)),Assumptions!$F$4:$F$44))/NETWORKDAYS($K75,$L75,Assumptions!$F$4:$F$44))</f>
        <v>0</v>
      </c>
      <c r="AQ75" s="21" t="n">
        <f aca="false">IF($J75=0,0,MAX(0,NETWORKDAYS(MAX($K75,AQ$4),MIN($L75,EOMONTH(AQ$4,0)),Assumptions!$F$4:$F$44))/NETWORKDAYS($K75,$L75,Assumptions!$F$4:$F$44))</f>
        <v>0</v>
      </c>
      <c r="AR75" s="21" t="n">
        <f aca="false">IF($J75=0,0,MAX(0,NETWORKDAYS(MAX($K75,AR$4),MIN($L75,EOMONTH(AR$4,0)),Assumptions!$F$4:$F$44))/NETWORKDAYS($K75,$L75,Assumptions!$F$4:$F$44))</f>
        <v>0</v>
      </c>
      <c r="AS75" s="21" t="n">
        <f aca="false">IF($J75=0,0,MAX(0,NETWORKDAYS(MAX($K75,AS$4),MIN($L75,EOMONTH(AS$4,0)),Assumptions!$F$4:$F$44))/NETWORKDAYS($K75,$L75,Assumptions!$F$4:$F$44))</f>
        <v>0</v>
      </c>
      <c r="AT75" s="21" t="n">
        <f aca="false">IF($J75=0,0,MAX(0,NETWORKDAYS(MAX($K75,AT$4),MIN($L75,EOMONTH(AT$4,0)),Assumptions!$F$4:$F$44))/NETWORKDAYS($K75,$L75,Assumptions!$F$4:$F$44))</f>
        <v>0</v>
      </c>
      <c r="AU75" s="21" t="n">
        <f aca="false">IF($J75=0,0,MAX(0,NETWORKDAYS(MAX($K75,AU$4),MIN($L75,EOMONTH(AU$4,0)),Assumptions!$F$4:$F$44))/NETWORKDAYS($K75,$L75,Assumptions!$F$4:$F$44))</f>
        <v>0</v>
      </c>
      <c r="AV75" s="21" t="n">
        <f aca="false">IF($J75=0,0,MAX(0,NETWORKDAYS(MAX($K75,AV$4),MIN($L75,EOMONTH(AV$4,0)),Assumptions!$F$4:$F$44))/NETWORKDAYS($K75,$L75,Assumptions!$F$4:$F$44))</f>
        <v>0</v>
      </c>
      <c r="AW75" s="21" t="n">
        <f aca="false">IF($J75=0,0,MAX(0,NETWORKDAYS(MAX($K75,AW$4),MIN($L75,EOMONTH(AW$4,0)),Assumptions!$F$4:$F$44))/NETWORKDAYS($K75,$L75,Assumptions!$F$4:$F$44))</f>
        <v>0</v>
      </c>
      <c r="AX75" s="21" t="n">
        <f aca="false">IF($J75=0,0,MAX(0,NETWORKDAYS(MAX($K75,AX$4),MIN($L75,EOMONTH(AX$4,0)),Assumptions!$F$4:$F$44))/NETWORKDAYS($K75,$L75,Assumptions!$F$4:$F$44))</f>
        <v>0</v>
      </c>
      <c r="AY75" s="21" t="n">
        <f aca="false">IF($J75=0,0,MAX(0,NETWORKDAYS(MAX($K75,AY$4),MIN($L75,EOMONTH(AY$4,0)),Assumptions!$F$4:$F$44))/NETWORKDAYS($K75,$L75,Assumptions!$F$4:$F$44))</f>
        <v>0</v>
      </c>
      <c r="AZ75" s="21" t="n">
        <f aca="false">IF($J75=0,0,MAX(0,NETWORKDAYS(MAX($K75,AZ$4),MIN($L75,EOMONTH(AZ$4,0)),Assumptions!$F$4:$F$44))/NETWORKDAYS($K75,$L75,Assumptions!$F$4:$F$44))</f>
        <v>0</v>
      </c>
      <c r="BA75" s="21" t="n">
        <f aca="false">IF($J75=0,0,MAX(0,NETWORKDAYS(MAX($K75,BA$4),MIN($L75,EOMONTH(BA$4,0)),Assumptions!$F$4:$F$44))/NETWORKDAYS($K75,$L75,Assumptions!$F$4:$F$44))</f>
        <v>0</v>
      </c>
      <c r="BB75" s="21" t="n">
        <f aca="false">IF($J75=0,0,MAX(0,NETWORKDAYS(MAX($K75,BB$4),MIN($L75,EOMONTH(BB$4,0)),Assumptions!$F$4:$F$44))/NETWORKDAYS($K75,$L75,Assumptions!$F$4:$F$44))</f>
        <v>0</v>
      </c>
      <c r="BC75" s="21" t="n">
        <f aca="false">IF($J75=0,0,MAX(0,NETWORKDAYS(MAX($K75,BC$4),MIN($L75,EOMONTH(BC$4,0)),Assumptions!$F$4:$F$44))/NETWORKDAYS($K75,$L75,Assumptions!$F$4:$F$44))</f>
        <v>0</v>
      </c>
    </row>
    <row r="76" customFormat="false" ht="15" hidden="false" customHeight="false" outlineLevel="2" collapsed="false">
      <c r="A76" s="27" t="n">
        <v>72</v>
      </c>
      <c r="B76" s="27" t="s">
        <v>234</v>
      </c>
      <c r="C76" s="27" t="n">
        <v>3</v>
      </c>
      <c r="D76" s="27" t="s">
        <v>92</v>
      </c>
      <c r="E76" s="28" t="s">
        <v>167</v>
      </c>
      <c r="F76" s="27" t="s">
        <v>154</v>
      </c>
      <c r="G76" s="27" t="s">
        <v>157</v>
      </c>
      <c r="H76" s="27" t="s">
        <v>57</v>
      </c>
      <c r="I76" s="29" t="n">
        <v>58</v>
      </c>
      <c r="J76" s="29" t="n">
        <v>8</v>
      </c>
      <c r="K76" s="30" t="n">
        <f aca="false">WORKDAY(Assumptions!$C$4,I76,Assumptions!$F$4:$F$44)</f>
        <v>46408</v>
      </c>
      <c r="L76" s="30" t="n">
        <f aca="false">IF(J76=0,K76,WORKDAY(K76,J76-1,Assumptions!$F$4:$F$44))</f>
        <v>46419</v>
      </c>
      <c r="M76" s="29"/>
      <c r="N76" s="31" t="n">
        <v>0</v>
      </c>
      <c r="O76" s="31" t="n">
        <v>0</v>
      </c>
      <c r="P76" s="31" t="n">
        <v>0</v>
      </c>
      <c r="Q76" s="31" t="n">
        <v>1</v>
      </c>
      <c r="R76" s="31" t="n">
        <v>0</v>
      </c>
      <c r="S76" s="31" t="n">
        <v>0</v>
      </c>
      <c r="T76" s="31" t="n">
        <v>0</v>
      </c>
      <c r="U76" s="31" t="n">
        <v>0</v>
      </c>
      <c r="V76" s="31" t="n">
        <v>4</v>
      </c>
      <c r="W76" s="31" t="n">
        <v>0</v>
      </c>
      <c r="X76" s="31" t="n">
        <v>0</v>
      </c>
      <c r="Y76" s="32" t="n">
        <f aca="false">SUM(N76:X76)</f>
        <v>5</v>
      </c>
      <c r="Z76" s="32" t="n">
        <f aca="false">Y76*(1+Assumptions!$C$5)</f>
        <v>5.75</v>
      </c>
      <c r="AA76" s="27" t="s">
        <v>168</v>
      </c>
      <c r="AB76" s="27" t="s">
        <v>95</v>
      </c>
      <c r="AC76" s="27"/>
      <c r="AD76" s="33" t="n">
        <v>0</v>
      </c>
      <c r="AF76" s="21" t="n">
        <f aca="false">IF($J76=0,0,MAX(0,NETWORKDAYS(MAX($K76,AF$4),MIN($L76,EOMONTH(AF$4,0)),Assumptions!$F$4:$F$44))/NETWORKDAYS($K76,$L76,Assumptions!$F$4:$F$44))</f>
        <v>0</v>
      </c>
      <c r="AG76" s="21" t="n">
        <f aca="false">IF($J76=0,0,MAX(0,NETWORKDAYS(MAX($K76,AG$4),MIN($L76,EOMONTH(AG$4,0)),Assumptions!$F$4:$F$44))/NETWORKDAYS($K76,$L76,Assumptions!$F$4:$F$44))</f>
        <v>0</v>
      </c>
      <c r="AH76" s="21" t="n">
        <f aca="false">IF($J76=0,0,MAX(0,NETWORKDAYS(MAX($K76,AH$4),MIN($L76,EOMONTH(AH$4,0)),Assumptions!$F$4:$F$44))/NETWORKDAYS($K76,$L76,Assumptions!$F$4:$F$44))</f>
        <v>0.875</v>
      </c>
      <c r="AI76" s="21" t="n">
        <f aca="false">IF($J76=0,0,MAX(0,NETWORKDAYS(MAX($K76,AI$4),MIN($L76,EOMONTH(AI$4,0)),Assumptions!$F$4:$F$44))/NETWORKDAYS($K76,$L76,Assumptions!$F$4:$F$44))</f>
        <v>0.125</v>
      </c>
      <c r="AJ76" s="21" t="n">
        <f aca="false">IF($J76=0,0,MAX(0,NETWORKDAYS(MAX($K76,AJ$4),MIN($L76,EOMONTH(AJ$4,0)),Assumptions!$F$4:$F$44))/NETWORKDAYS($K76,$L76,Assumptions!$F$4:$F$44))</f>
        <v>0</v>
      </c>
      <c r="AK76" s="21" t="n">
        <f aca="false">IF($J76=0,0,MAX(0,NETWORKDAYS(MAX($K76,AK$4),MIN($L76,EOMONTH(AK$4,0)),Assumptions!$F$4:$F$44))/NETWORKDAYS($K76,$L76,Assumptions!$F$4:$F$44))</f>
        <v>0</v>
      </c>
      <c r="AL76" s="21" t="n">
        <f aca="false">IF($J76=0,0,MAX(0,NETWORKDAYS(MAX($K76,AL$4),MIN($L76,EOMONTH(AL$4,0)),Assumptions!$F$4:$F$44))/NETWORKDAYS($K76,$L76,Assumptions!$F$4:$F$44))</f>
        <v>0</v>
      </c>
      <c r="AM76" s="21" t="n">
        <f aca="false">IF($J76=0,0,MAX(0,NETWORKDAYS(MAX($K76,AM$4),MIN($L76,EOMONTH(AM$4,0)),Assumptions!$F$4:$F$44))/NETWORKDAYS($K76,$L76,Assumptions!$F$4:$F$44))</f>
        <v>0</v>
      </c>
      <c r="AN76" s="21" t="n">
        <f aca="false">IF($J76=0,0,MAX(0,NETWORKDAYS(MAX($K76,AN$4),MIN($L76,EOMONTH(AN$4,0)),Assumptions!$F$4:$F$44))/NETWORKDAYS($K76,$L76,Assumptions!$F$4:$F$44))</f>
        <v>0</v>
      </c>
      <c r="AO76" s="21" t="n">
        <f aca="false">IF($J76=0,0,MAX(0,NETWORKDAYS(MAX($K76,AO$4),MIN($L76,EOMONTH(AO$4,0)),Assumptions!$F$4:$F$44))/NETWORKDAYS($K76,$L76,Assumptions!$F$4:$F$44))</f>
        <v>0</v>
      </c>
      <c r="AP76" s="21" t="n">
        <f aca="false">IF($J76=0,0,MAX(0,NETWORKDAYS(MAX($K76,AP$4),MIN($L76,EOMONTH(AP$4,0)),Assumptions!$F$4:$F$44))/NETWORKDAYS($K76,$L76,Assumptions!$F$4:$F$44))</f>
        <v>0</v>
      </c>
      <c r="AQ76" s="21" t="n">
        <f aca="false">IF($J76=0,0,MAX(0,NETWORKDAYS(MAX($K76,AQ$4),MIN($L76,EOMONTH(AQ$4,0)),Assumptions!$F$4:$F$44))/NETWORKDAYS($K76,$L76,Assumptions!$F$4:$F$44))</f>
        <v>0</v>
      </c>
      <c r="AR76" s="21" t="n">
        <f aca="false">IF($J76=0,0,MAX(0,NETWORKDAYS(MAX($K76,AR$4),MIN($L76,EOMONTH(AR$4,0)),Assumptions!$F$4:$F$44))/NETWORKDAYS($K76,$L76,Assumptions!$F$4:$F$44))</f>
        <v>0</v>
      </c>
      <c r="AS76" s="21" t="n">
        <f aca="false">IF($J76=0,0,MAX(0,NETWORKDAYS(MAX($K76,AS$4),MIN($L76,EOMONTH(AS$4,0)),Assumptions!$F$4:$F$44))/NETWORKDAYS($K76,$L76,Assumptions!$F$4:$F$44))</f>
        <v>0</v>
      </c>
      <c r="AT76" s="21" t="n">
        <f aca="false">IF($J76=0,0,MAX(0,NETWORKDAYS(MAX($K76,AT$4),MIN($L76,EOMONTH(AT$4,0)),Assumptions!$F$4:$F$44))/NETWORKDAYS($K76,$L76,Assumptions!$F$4:$F$44))</f>
        <v>0</v>
      </c>
      <c r="AU76" s="21" t="n">
        <f aca="false">IF($J76=0,0,MAX(0,NETWORKDAYS(MAX($K76,AU$4),MIN($L76,EOMONTH(AU$4,0)),Assumptions!$F$4:$F$44))/NETWORKDAYS($K76,$L76,Assumptions!$F$4:$F$44))</f>
        <v>0</v>
      </c>
      <c r="AV76" s="21" t="n">
        <f aca="false">IF($J76=0,0,MAX(0,NETWORKDAYS(MAX($K76,AV$4),MIN($L76,EOMONTH(AV$4,0)),Assumptions!$F$4:$F$44))/NETWORKDAYS($K76,$L76,Assumptions!$F$4:$F$44))</f>
        <v>0</v>
      </c>
      <c r="AW76" s="21" t="n">
        <f aca="false">IF($J76=0,0,MAX(0,NETWORKDAYS(MAX($K76,AW$4),MIN($L76,EOMONTH(AW$4,0)),Assumptions!$F$4:$F$44))/NETWORKDAYS($K76,$L76,Assumptions!$F$4:$F$44))</f>
        <v>0</v>
      </c>
      <c r="AX76" s="21" t="n">
        <f aca="false">IF($J76=0,0,MAX(0,NETWORKDAYS(MAX($K76,AX$4),MIN($L76,EOMONTH(AX$4,0)),Assumptions!$F$4:$F$44))/NETWORKDAYS($K76,$L76,Assumptions!$F$4:$F$44))</f>
        <v>0</v>
      </c>
      <c r="AY76" s="21" t="n">
        <f aca="false">IF($J76=0,0,MAX(0,NETWORKDAYS(MAX($K76,AY$4),MIN($L76,EOMONTH(AY$4,0)),Assumptions!$F$4:$F$44))/NETWORKDAYS($K76,$L76,Assumptions!$F$4:$F$44))</f>
        <v>0</v>
      </c>
      <c r="AZ76" s="21" t="n">
        <f aca="false">IF($J76=0,0,MAX(0,NETWORKDAYS(MAX($K76,AZ$4),MIN($L76,EOMONTH(AZ$4,0)),Assumptions!$F$4:$F$44))/NETWORKDAYS($K76,$L76,Assumptions!$F$4:$F$44))</f>
        <v>0</v>
      </c>
      <c r="BA76" s="21" t="n">
        <f aca="false">IF($J76=0,0,MAX(0,NETWORKDAYS(MAX($K76,BA$4),MIN($L76,EOMONTH(BA$4,0)),Assumptions!$F$4:$F$44))/NETWORKDAYS($K76,$L76,Assumptions!$F$4:$F$44))</f>
        <v>0</v>
      </c>
      <c r="BB76" s="21" t="n">
        <f aca="false">IF($J76=0,0,MAX(0,NETWORKDAYS(MAX($K76,BB$4),MIN($L76,EOMONTH(BB$4,0)),Assumptions!$F$4:$F$44))/NETWORKDAYS($K76,$L76,Assumptions!$F$4:$F$44))</f>
        <v>0</v>
      </c>
      <c r="BC76" s="21" t="n">
        <f aca="false">IF($J76=0,0,MAX(0,NETWORKDAYS(MAX($K76,BC$4),MIN($L76,EOMONTH(BC$4,0)),Assumptions!$F$4:$F$44))/NETWORKDAYS($K76,$L76,Assumptions!$F$4:$F$44))</f>
        <v>0</v>
      </c>
    </row>
    <row r="77" customFormat="false" ht="15" hidden="false" customHeight="false" outlineLevel="1" collapsed="false">
      <c r="A77" s="22" t="n">
        <v>73</v>
      </c>
      <c r="B77" s="22" t="s">
        <v>235</v>
      </c>
      <c r="C77" s="22" t="n">
        <v>2</v>
      </c>
      <c r="D77" s="22" t="s">
        <v>89</v>
      </c>
      <c r="E77" s="23" t="s">
        <v>236</v>
      </c>
      <c r="F77" s="22" t="s">
        <v>154</v>
      </c>
      <c r="G77" s="22" t="s">
        <v>157</v>
      </c>
      <c r="H77" s="22"/>
      <c r="I77" s="22"/>
      <c r="J77" s="22" t="n">
        <f aca="false">NETWORKDAYS(K77,L77,Assumptions!$F$4:$F$44)</f>
        <v>33</v>
      </c>
      <c r="K77" s="24" t="n">
        <f aca="false">MIN(K78:K80)</f>
        <v>46357</v>
      </c>
      <c r="L77" s="24" t="n">
        <f aca="false">MAX(L78:L80)</f>
        <v>46401</v>
      </c>
      <c r="M77" s="22"/>
      <c r="N77" s="25" t="n">
        <f aca="false">SUMPRODUCT(($C$78:$C$80=3)*(N78:N80))</f>
        <v>0</v>
      </c>
      <c r="O77" s="25" t="n">
        <f aca="false">SUMPRODUCT(($C$78:$C$80=3)*(O78:O80))</f>
        <v>0</v>
      </c>
      <c r="P77" s="25" t="n">
        <f aca="false">SUMPRODUCT(($C$78:$C$80=3)*(P78:P80))</f>
        <v>3</v>
      </c>
      <c r="Q77" s="25" t="n">
        <f aca="false">SUMPRODUCT(($C$78:$C$80=3)*(Q78:Q80))</f>
        <v>13</v>
      </c>
      <c r="R77" s="25" t="n">
        <f aca="false">SUMPRODUCT(($C$78:$C$80=3)*(R78:R80))</f>
        <v>0</v>
      </c>
      <c r="S77" s="25" t="n">
        <f aca="false">SUMPRODUCT(($C$78:$C$80=3)*(S78:S80))</f>
        <v>0</v>
      </c>
      <c r="T77" s="25" t="n">
        <f aca="false">SUMPRODUCT(($C$78:$C$80=3)*(T78:T80))</f>
        <v>0</v>
      </c>
      <c r="U77" s="25" t="n">
        <f aca="false">SUMPRODUCT(($C$78:$C$80=3)*(U78:U80))</f>
        <v>0</v>
      </c>
      <c r="V77" s="25" t="n">
        <f aca="false">SUMPRODUCT(($C$78:$C$80=3)*(V78:V80))</f>
        <v>3</v>
      </c>
      <c r="W77" s="25" t="n">
        <f aca="false">SUMPRODUCT(($C$78:$C$80=3)*(W78:W80))</f>
        <v>0</v>
      </c>
      <c r="X77" s="25" t="n">
        <f aca="false">SUMPRODUCT(($C$78:$C$80=3)*(X78:X80))</f>
        <v>0</v>
      </c>
      <c r="Y77" s="25" t="n">
        <f aca="false">SUM(N77:X77)</f>
        <v>19</v>
      </c>
      <c r="Z77" s="25" t="n">
        <f aca="false">Y77*(1+Assumptions!$C$5)</f>
        <v>21.85</v>
      </c>
      <c r="AA77" s="22" t="s">
        <v>237</v>
      </c>
      <c r="AB77" s="22"/>
      <c r="AC77" s="22"/>
      <c r="AD77" s="26"/>
      <c r="AF77" s="21" t="n">
        <v>0</v>
      </c>
      <c r="AG77" s="21" t="n">
        <v>0</v>
      </c>
      <c r="AH77" s="21" t="n">
        <v>0</v>
      </c>
      <c r="AI77" s="21" t="n">
        <v>0</v>
      </c>
      <c r="AJ77" s="21" t="n">
        <v>0</v>
      </c>
      <c r="AK77" s="21" t="n">
        <v>0</v>
      </c>
      <c r="AL77" s="21" t="n">
        <v>0</v>
      </c>
      <c r="AM77" s="21" t="n">
        <v>0</v>
      </c>
      <c r="AN77" s="21" t="n">
        <v>0</v>
      </c>
      <c r="AO77" s="21" t="n">
        <v>0</v>
      </c>
      <c r="AP77" s="21" t="n">
        <v>0</v>
      </c>
      <c r="AQ77" s="21" t="n">
        <v>0</v>
      </c>
      <c r="AR77" s="21" t="n">
        <v>0</v>
      </c>
      <c r="AS77" s="21" t="n">
        <v>0</v>
      </c>
      <c r="AT77" s="21" t="n">
        <v>0</v>
      </c>
      <c r="AU77" s="21" t="n">
        <v>0</v>
      </c>
      <c r="AV77" s="21" t="n">
        <v>0</v>
      </c>
      <c r="AW77" s="21" t="n">
        <v>0</v>
      </c>
      <c r="AX77" s="21" t="n">
        <v>0</v>
      </c>
      <c r="AY77" s="21" t="n">
        <v>0</v>
      </c>
      <c r="AZ77" s="21" t="n">
        <v>0</v>
      </c>
      <c r="BA77" s="21" t="n">
        <v>0</v>
      </c>
      <c r="BB77" s="21" t="n">
        <v>0</v>
      </c>
      <c r="BC77" s="21" t="n">
        <v>0</v>
      </c>
    </row>
    <row r="78" customFormat="false" ht="15" hidden="false" customHeight="false" outlineLevel="2" collapsed="false">
      <c r="A78" s="27" t="n">
        <v>74</v>
      </c>
      <c r="B78" s="27" t="s">
        <v>238</v>
      </c>
      <c r="C78" s="27" t="n">
        <v>3</v>
      </c>
      <c r="D78" s="27" t="s">
        <v>92</v>
      </c>
      <c r="E78" s="28" t="s">
        <v>160</v>
      </c>
      <c r="F78" s="27" t="s">
        <v>154</v>
      </c>
      <c r="G78" s="27" t="s">
        <v>157</v>
      </c>
      <c r="H78" s="27" t="s">
        <v>45</v>
      </c>
      <c r="I78" s="29" t="n">
        <v>21</v>
      </c>
      <c r="J78" s="29" t="n">
        <v>7</v>
      </c>
      <c r="K78" s="30" t="n">
        <f aca="false">WORKDAY(Assumptions!$C$4,I78,Assumptions!$F$4:$F$44)</f>
        <v>46357</v>
      </c>
      <c r="L78" s="30" t="n">
        <f aca="false">IF(J78=0,K78,WORKDAY(K78,J78-1,Assumptions!$F$4:$F$44))</f>
        <v>46365</v>
      </c>
      <c r="M78" s="29" t="s">
        <v>161</v>
      </c>
      <c r="N78" s="31" t="n">
        <v>0</v>
      </c>
      <c r="O78" s="31" t="n">
        <v>0</v>
      </c>
      <c r="P78" s="31" t="n">
        <v>3</v>
      </c>
      <c r="Q78" s="31" t="n">
        <v>1</v>
      </c>
      <c r="R78" s="31" t="n">
        <v>0</v>
      </c>
      <c r="S78" s="31" t="n">
        <v>0</v>
      </c>
      <c r="T78" s="31" t="n">
        <v>0</v>
      </c>
      <c r="U78" s="31" t="n">
        <v>0</v>
      </c>
      <c r="V78" s="31" t="n">
        <v>0</v>
      </c>
      <c r="W78" s="31" t="n">
        <v>0</v>
      </c>
      <c r="X78" s="31" t="n">
        <v>0</v>
      </c>
      <c r="Y78" s="32" t="n">
        <f aca="false">SUM(N78:X78)</f>
        <v>4</v>
      </c>
      <c r="Z78" s="32" t="n">
        <f aca="false">Y78*(1+Assumptions!$C$5)</f>
        <v>4.6</v>
      </c>
      <c r="AA78" s="27" t="s">
        <v>162</v>
      </c>
      <c r="AB78" s="27" t="s">
        <v>95</v>
      </c>
      <c r="AC78" s="27"/>
      <c r="AD78" s="33" t="n">
        <v>0</v>
      </c>
      <c r="AF78" s="21" t="n">
        <f aca="false">IF($J78=0,0,MAX(0,NETWORKDAYS(MAX($K78,AF$4),MIN($L78,EOMONTH(AF$4,0)),Assumptions!$F$4:$F$44))/NETWORKDAYS($K78,$L78,Assumptions!$F$4:$F$44))</f>
        <v>0</v>
      </c>
      <c r="AG78" s="21" t="n">
        <f aca="false">IF($J78=0,0,MAX(0,NETWORKDAYS(MAX($K78,AG$4),MIN($L78,EOMONTH(AG$4,0)),Assumptions!$F$4:$F$44))/NETWORKDAYS($K78,$L78,Assumptions!$F$4:$F$44))</f>
        <v>1</v>
      </c>
      <c r="AH78" s="21" t="n">
        <f aca="false">IF($J78=0,0,MAX(0,NETWORKDAYS(MAX($K78,AH$4),MIN($L78,EOMONTH(AH$4,0)),Assumptions!$F$4:$F$44))/NETWORKDAYS($K78,$L78,Assumptions!$F$4:$F$44))</f>
        <v>0</v>
      </c>
      <c r="AI78" s="21" t="n">
        <f aca="false">IF($J78=0,0,MAX(0,NETWORKDAYS(MAX($K78,AI$4),MIN($L78,EOMONTH(AI$4,0)),Assumptions!$F$4:$F$44))/NETWORKDAYS($K78,$L78,Assumptions!$F$4:$F$44))</f>
        <v>0</v>
      </c>
      <c r="AJ78" s="21" t="n">
        <f aca="false">IF($J78=0,0,MAX(0,NETWORKDAYS(MAX($K78,AJ$4),MIN($L78,EOMONTH(AJ$4,0)),Assumptions!$F$4:$F$44))/NETWORKDAYS($K78,$L78,Assumptions!$F$4:$F$44))</f>
        <v>0</v>
      </c>
      <c r="AK78" s="21" t="n">
        <f aca="false">IF($J78=0,0,MAX(0,NETWORKDAYS(MAX($K78,AK$4),MIN($L78,EOMONTH(AK$4,0)),Assumptions!$F$4:$F$44))/NETWORKDAYS($K78,$L78,Assumptions!$F$4:$F$44))</f>
        <v>0</v>
      </c>
      <c r="AL78" s="21" t="n">
        <f aca="false">IF($J78=0,0,MAX(0,NETWORKDAYS(MAX($K78,AL$4),MIN($L78,EOMONTH(AL$4,0)),Assumptions!$F$4:$F$44))/NETWORKDAYS($K78,$L78,Assumptions!$F$4:$F$44))</f>
        <v>0</v>
      </c>
      <c r="AM78" s="21" t="n">
        <f aca="false">IF($J78=0,0,MAX(0,NETWORKDAYS(MAX($K78,AM$4),MIN($L78,EOMONTH(AM$4,0)),Assumptions!$F$4:$F$44))/NETWORKDAYS($K78,$L78,Assumptions!$F$4:$F$44))</f>
        <v>0</v>
      </c>
      <c r="AN78" s="21" t="n">
        <f aca="false">IF($J78=0,0,MAX(0,NETWORKDAYS(MAX($K78,AN$4),MIN($L78,EOMONTH(AN$4,0)),Assumptions!$F$4:$F$44))/NETWORKDAYS($K78,$L78,Assumptions!$F$4:$F$44))</f>
        <v>0</v>
      </c>
      <c r="AO78" s="21" t="n">
        <f aca="false">IF($J78=0,0,MAX(0,NETWORKDAYS(MAX($K78,AO$4),MIN($L78,EOMONTH(AO$4,0)),Assumptions!$F$4:$F$44))/NETWORKDAYS($K78,$L78,Assumptions!$F$4:$F$44))</f>
        <v>0</v>
      </c>
      <c r="AP78" s="21" t="n">
        <f aca="false">IF($J78=0,0,MAX(0,NETWORKDAYS(MAX($K78,AP$4),MIN($L78,EOMONTH(AP$4,0)),Assumptions!$F$4:$F$44))/NETWORKDAYS($K78,$L78,Assumptions!$F$4:$F$44))</f>
        <v>0</v>
      </c>
      <c r="AQ78" s="21" t="n">
        <f aca="false">IF($J78=0,0,MAX(0,NETWORKDAYS(MAX($K78,AQ$4),MIN($L78,EOMONTH(AQ$4,0)),Assumptions!$F$4:$F$44))/NETWORKDAYS($K78,$L78,Assumptions!$F$4:$F$44))</f>
        <v>0</v>
      </c>
      <c r="AR78" s="21" t="n">
        <f aca="false">IF($J78=0,0,MAX(0,NETWORKDAYS(MAX($K78,AR$4),MIN($L78,EOMONTH(AR$4,0)),Assumptions!$F$4:$F$44))/NETWORKDAYS($K78,$L78,Assumptions!$F$4:$F$44))</f>
        <v>0</v>
      </c>
      <c r="AS78" s="21" t="n">
        <f aca="false">IF($J78=0,0,MAX(0,NETWORKDAYS(MAX($K78,AS$4),MIN($L78,EOMONTH(AS$4,0)),Assumptions!$F$4:$F$44))/NETWORKDAYS($K78,$L78,Assumptions!$F$4:$F$44))</f>
        <v>0</v>
      </c>
      <c r="AT78" s="21" t="n">
        <f aca="false">IF($J78=0,0,MAX(0,NETWORKDAYS(MAX($K78,AT$4),MIN($L78,EOMONTH(AT$4,0)),Assumptions!$F$4:$F$44))/NETWORKDAYS($K78,$L78,Assumptions!$F$4:$F$44))</f>
        <v>0</v>
      </c>
      <c r="AU78" s="21" t="n">
        <f aca="false">IF($J78=0,0,MAX(0,NETWORKDAYS(MAX($K78,AU$4),MIN($L78,EOMONTH(AU$4,0)),Assumptions!$F$4:$F$44))/NETWORKDAYS($K78,$L78,Assumptions!$F$4:$F$44))</f>
        <v>0</v>
      </c>
      <c r="AV78" s="21" t="n">
        <f aca="false">IF($J78=0,0,MAX(0,NETWORKDAYS(MAX($K78,AV$4),MIN($L78,EOMONTH(AV$4,0)),Assumptions!$F$4:$F$44))/NETWORKDAYS($K78,$L78,Assumptions!$F$4:$F$44))</f>
        <v>0</v>
      </c>
      <c r="AW78" s="21" t="n">
        <f aca="false">IF($J78=0,0,MAX(0,NETWORKDAYS(MAX($K78,AW$4),MIN($L78,EOMONTH(AW$4,0)),Assumptions!$F$4:$F$44))/NETWORKDAYS($K78,$L78,Assumptions!$F$4:$F$44))</f>
        <v>0</v>
      </c>
      <c r="AX78" s="21" t="n">
        <f aca="false">IF($J78=0,0,MAX(0,NETWORKDAYS(MAX($K78,AX$4),MIN($L78,EOMONTH(AX$4,0)),Assumptions!$F$4:$F$44))/NETWORKDAYS($K78,$L78,Assumptions!$F$4:$F$44))</f>
        <v>0</v>
      </c>
      <c r="AY78" s="21" t="n">
        <f aca="false">IF($J78=0,0,MAX(0,NETWORKDAYS(MAX($K78,AY$4),MIN($L78,EOMONTH(AY$4,0)),Assumptions!$F$4:$F$44))/NETWORKDAYS($K78,$L78,Assumptions!$F$4:$F$44))</f>
        <v>0</v>
      </c>
      <c r="AZ78" s="21" t="n">
        <f aca="false">IF($J78=0,0,MAX(0,NETWORKDAYS(MAX($K78,AZ$4),MIN($L78,EOMONTH(AZ$4,0)),Assumptions!$F$4:$F$44))/NETWORKDAYS($K78,$L78,Assumptions!$F$4:$F$44))</f>
        <v>0</v>
      </c>
      <c r="BA78" s="21" t="n">
        <f aca="false">IF($J78=0,0,MAX(0,NETWORKDAYS(MAX($K78,BA$4),MIN($L78,EOMONTH(BA$4,0)),Assumptions!$F$4:$F$44))/NETWORKDAYS($K78,$L78,Assumptions!$F$4:$F$44))</f>
        <v>0</v>
      </c>
      <c r="BB78" s="21" t="n">
        <f aca="false">IF($J78=0,0,MAX(0,NETWORKDAYS(MAX($K78,BB$4),MIN($L78,EOMONTH(BB$4,0)),Assumptions!$F$4:$F$44))/NETWORKDAYS($K78,$L78,Assumptions!$F$4:$F$44))</f>
        <v>0</v>
      </c>
      <c r="BC78" s="21" t="n">
        <f aca="false">IF($J78=0,0,MAX(0,NETWORKDAYS(MAX($K78,BC$4),MIN($L78,EOMONTH(BC$4,0)),Assumptions!$F$4:$F$44))/NETWORKDAYS($K78,$L78,Assumptions!$F$4:$F$44))</f>
        <v>0</v>
      </c>
    </row>
    <row r="79" customFormat="false" ht="15" hidden="false" customHeight="false" outlineLevel="2" collapsed="false">
      <c r="A79" s="27" t="n">
        <v>75</v>
      </c>
      <c r="B79" s="27" t="s">
        <v>239</v>
      </c>
      <c r="C79" s="27" t="n">
        <v>3</v>
      </c>
      <c r="D79" s="27" t="s">
        <v>92</v>
      </c>
      <c r="E79" s="28" t="s">
        <v>164</v>
      </c>
      <c r="F79" s="27" t="s">
        <v>154</v>
      </c>
      <c r="G79" s="27" t="s">
        <v>157</v>
      </c>
      <c r="H79" s="27" t="s">
        <v>47</v>
      </c>
      <c r="I79" s="29" t="n">
        <v>28</v>
      </c>
      <c r="J79" s="29" t="n">
        <v>20</v>
      </c>
      <c r="K79" s="30" t="n">
        <f aca="false">WORKDAY(Assumptions!$C$4,I79,Assumptions!$F$4:$F$44)</f>
        <v>46366</v>
      </c>
      <c r="L79" s="30" t="n">
        <f aca="false">IF(J79=0,K79,WORKDAY(K79,J79-1,Assumptions!$F$4:$F$44))</f>
        <v>46393</v>
      </c>
      <c r="M79" s="29"/>
      <c r="N79" s="31" t="n">
        <v>0</v>
      </c>
      <c r="O79" s="31" t="n">
        <v>0</v>
      </c>
      <c r="P79" s="31" t="n">
        <v>0</v>
      </c>
      <c r="Q79" s="31" t="n">
        <v>11</v>
      </c>
      <c r="R79" s="31" t="n">
        <v>0</v>
      </c>
      <c r="S79" s="31" t="n">
        <v>0</v>
      </c>
      <c r="T79" s="31" t="n">
        <v>0</v>
      </c>
      <c r="U79" s="31" t="n">
        <v>0</v>
      </c>
      <c r="V79" s="31" t="n">
        <v>0</v>
      </c>
      <c r="W79" s="31" t="n">
        <v>0</v>
      </c>
      <c r="X79" s="31" t="n">
        <v>0</v>
      </c>
      <c r="Y79" s="32" t="n">
        <f aca="false">SUM(N79:X79)</f>
        <v>11</v>
      </c>
      <c r="Z79" s="32" t="n">
        <f aca="false">Y79*(1+Assumptions!$C$5)</f>
        <v>12.65</v>
      </c>
      <c r="AA79" s="27" t="s">
        <v>165</v>
      </c>
      <c r="AB79" s="27" t="s">
        <v>95</v>
      </c>
      <c r="AC79" s="27"/>
      <c r="AD79" s="33" t="n">
        <v>0</v>
      </c>
      <c r="AF79" s="21" t="n">
        <f aca="false">IF($J79=0,0,MAX(0,NETWORKDAYS(MAX($K79,AF$4),MIN($L79,EOMONTH(AF$4,0)),Assumptions!$F$4:$F$44))/NETWORKDAYS($K79,$L79,Assumptions!$F$4:$F$44))</f>
        <v>0</v>
      </c>
      <c r="AG79" s="21" t="n">
        <f aca="false">IF($J79=0,0,MAX(0,NETWORKDAYS(MAX($K79,AG$4),MIN($L79,EOMONTH(AG$4,0)),Assumptions!$F$4:$F$44))/NETWORKDAYS($K79,$L79,Assumptions!$F$4:$F$44))</f>
        <v>0.8</v>
      </c>
      <c r="AH79" s="21" t="n">
        <f aca="false">IF($J79=0,0,MAX(0,NETWORKDAYS(MAX($K79,AH$4),MIN($L79,EOMONTH(AH$4,0)),Assumptions!$F$4:$F$44))/NETWORKDAYS($K79,$L79,Assumptions!$F$4:$F$44))</f>
        <v>0.2</v>
      </c>
      <c r="AI79" s="21" t="n">
        <f aca="false">IF($J79=0,0,MAX(0,NETWORKDAYS(MAX($K79,AI$4),MIN($L79,EOMONTH(AI$4,0)),Assumptions!$F$4:$F$44))/NETWORKDAYS($K79,$L79,Assumptions!$F$4:$F$44))</f>
        <v>0</v>
      </c>
      <c r="AJ79" s="21" t="n">
        <f aca="false">IF($J79=0,0,MAX(0,NETWORKDAYS(MAX($K79,AJ$4),MIN($L79,EOMONTH(AJ$4,0)),Assumptions!$F$4:$F$44))/NETWORKDAYS($K79,$L79,Assumptions!$F$4:$F$44))</f>
        <v>0</v>
      </c>
      <c r="AK79" s="21" t="n">
        <f aca="false">IF($J79=0,0,MAX(0,NETWORKDAYS(MAX($K79,AK$4),MIN($L79,EOMONTH(AK$4,0)),Assumptions!$F$4:$F$44))/NETWORKDAYS($K79,$L79,Assumptions!$F$4:$F$44))</f>
        <v>0</v>
      </c>
      <c r="AL79" s="21" t="n">
        <f aca="false">IF($J79=0,0,MAX(0,NETWORKDAYS(MAX($K79,AL$4),MIN($L79,EOMONTH(AL$4,0)),Assumptions!$F$4:$F$44))/NETWORKDAYS($K79,$L79,Assumptions!$F$4:$F$44))</f>
        <v>0</v>
      </c>
      <c r="AM79" s="21" t="n">
        <f aca="false">IF($J79=0,0,MAX(0,NETWORKDAYS(MAX($K79,AM$4),MIN($L79,EOMONTH(AM$4,0)),Assumptions!$F$4:$F$44))/NETWORKDAYS($K79,$L79,Assumptions!$F$4:$F$44))</f>
        <v>0</v>
      </c>
      <c r="AN79" s="21" t="n">
        <f aca="false">IF($J79=0,0,MAX(0,NETWORKDAYS(MAX($K79,AN$4),MIN($L79,EOMONTH(AN$4,0)),Assumptions!$F$4:$F$44))/NETWORKDAYS($K79,$L79,Assumptions!$F$4:$F$44))</f>
        <v>0</v>
      </c>
      <c r="AO79" s="21" t="n">
        <f aca="false">IF($J79=0,0,MAX(0,NETWORKDAYS(MAX($K79,AO$4),MIN($L79,EOMONTH(AO$4,0)),Assumptions!$F$4:$F$44))/NETWORKDAYS($K79,$L79,Assumptions!$F$4:$F$44))</f>
        <v>0</v>
      </c>
      <c r="AP79" s="21" t="n">
        <f aca="false">IF($J79=0,0,MAX(0,NETWORKDAYS(MAX($K79,AP$4),MIN($L79,EOMONTH(AP$4,0)),Assumptions!$F$4:$F$44))/NETWORKDAYS($K79,$L79,Assumptions!$F$4:$F$44))</f>
        <v>0</v>
      </c>
      <c r="AQ79" s="21" t="n">
        <f aca="false">IF($J79=0,0,MAX(0,NETWORKDAYS(MAX($K79,AQ$4),MIN($L79,EOMONTH(AQ$4,0)),Assumptions!$F$4:$F$44))/NETWORKDAYS($K79,$L79,Assumptions!$F$4:$F$44))</f>
        <v>0</v>
      </c>
      <c r="AR79" s="21" t="n">
        <f aca="false">IF($J79=0,0,MAX(0,NETWORKDAYS(MAX($K79,AR$4),MIN($L79,EOMONTH(AR$4,0)),Assumptions!$F$4:$F$44))/NETWORKDAYS($K79,$L79,Assumptions!$F$4:$F$44))</f>
        <v>0</v>
      </c>
      <c r="AS79" s="21" t="n">
        <f aca="false">IF($J79=0,0,MAX(0,NETWORKDAYS(MAX($K79,AS$4),MIN($L79,EOMONTH(AS$4,0)),Assumptions!$F$4:$F$44))/NETWORKDAYS($K79,$L79,Assumptions!$F$4:$F$44))</f>
        <v>0</v>
      </c>
      <c r="AT79" s="21" t="n">
        <f aca="false">IF($J79=0,0,MAX(0,NETWORKDAYS(MAX($K79,AT$4),MIN($L79,EOMONTH(AT$4,0)),Assumptions!$F$4:$F$44))/NETWORKDAYS($K79,$L79,Assumptions!$F$4:$F$44))</f>
        <v>0</v>
      </c>
      <c r="AU79" s="21" t="n">
        <f aca="false">IF($J79=0,0,MAX(0,NETWORKDAYS(MAX($K79,AU$4),MIN($L79,EOMONTH(AU$4,0)),Assumptions!$F$4:$F$44))/NETWORKDAYS($K79,$L79,Assumptions!$F$4:$F$44))</f>
        <v>0</v>
      </c>
      <c r="AV79" s="21" t="n">
        <f aca="false">IF($J79=0,0,MAX(0,NETWORKDAYS(MAX($K79,AV$4),MIN($L79,EOMONTH(AV$4,0)),Assumptions!$F$4:$F$44))/NETWORKDAYS($K79,$L79,Assumptions!$F$4:$F$44))</f>
        <v>0</v>
      </c>
      <c r="AW79" s="21" t="n">
        <f aca="false">IF($J79=0,0,MAX(0,NETWORKDAYS(MAX($K79,AW$4),MIN($L79,EOMONTH(AW$4,0)),Assumptions!$F$4:$F$44))/NETWORKDAYS($K79,$L79,Assumptions!$F$4:$F$44))</f>
        <v>0</v>
      </c>
      <c r="AX79" s="21" t="n">
        <f aca="false">IF($J79=0,0,MAX(0,NETWORKDAYS(MAX($K79,AX$4),MIN($L79,EOMONTH(AX$4,0)),Assumptions!$F$4:$F$44))/NETWORKDAYS($K79,$L79,Assumptions!$F$4:$F$44))</f>
        <v>0</v>
      </c>
      <c r="AY79" s="21" t="n">
        <f aca="false">IF($J79=0,0,MAX(0,NETWORKDAYS(MAX($K79,AY$4),MIN($L79,EOMONTH(AY$4,0)),Assumptions!$F$4:$F$44))/NETWORKDAYS($K79,$L79,Assumptions!$F$4:$F$44))</f>
        <v>0</v>
      </c>
      <c r="AZ79" s="21" t="n">
        <f aca="false">IF($J79=0,0,MAX(0,NETWORKDAYS(MAX($K79,AZ$4),MIN($L79,EOMONTH(AZ$4,0)),Assumptions!$F$4:$F$44))/NETWORKDAYS($K79,$L79,Assumptions!$F$4:$F$44))</f>
        <v>0</v>
      </c>
      <c r="BA79" s="21" t="n">
        <f aca="false">IF($J79=0,0,MAX(0,NETWORKDAYS(MAX($K79,BA$4),MIN($L79,EOMONTH(BA$4,0)),Assumptions!$F$4:$F$44))/NETWORKDAYS($K79,$L79,Assumptions!$F$4:$F$44))</f>
        <v>0</v>
      </c>
      <c r="BB79" s="21" t="n">
        <f aca="false">IF($J79=0,0,MAX(0,NETWORKDAYS(MAX($K79,BB$4),MIN($L79,EOMONTH(BB$4,0)),Assumptions!$F$4:$F$44))/NETWORKDAYS($K79,$L79,Assumptions!$F$4:$F$44))</f>
        <v>0</v>
      </c>
      <c r="BC79" s="21" t="n">
        <f aca="false">IF($J79=0,0,MAX(0,NETWORKDAYS(MAX($K79,BC$4),MIN($L79,EOMONTH(BC$4,0)),Assumptions!$F$4:$F$44))/NETWORKDAYS($K79,$L79,Assumptions!$F$4:$F$44))</f>
        <v>0</v>
      </c>
    </row>
    <row r="80" customFormat="false" ht="15" hidden="false" customHeight="false" outlineLevel="2" collapsed="false">
      <c r="A80" s="27" t="n">
        <v>76</v>
      </c>
      <c r="B80" s="27" t="s">
        <v>240</v>
      </c>
      <c r="C80" s="27" t="n">
        <v>3</v>
      </c>
      <c r="D80" s="27" t="s">
        <v>92</v>
      </c>
      <c r="E80" s="28" t="s">
        <v>167</v>
      </c>
      <c r="F80" s="27" t="s">
        <v>154</v>
      </c>
      <c r="G80" s="27" t="s">
        <v>157</v>
      </c>
      <c r="H80" s="27" t="s">
        <v>57</v>
      </c>
      <c r="I80" s="29" t="n">
        <v>46</v>
      </c>
      <c r="J80" s="29" t="n">
        <v>8</v>
      </c>
      <c r="K80" s="30" t="n">
        <f aca="false">WORKDAY(Assumptions!$C$4,I80,Assumptions!$F$4:$F$44)</f>
        <v>46392</v>
      </c>
      <c r="L80" s="30" t="n">
        <f aca="false">IF(J80=0,K80,WORKDAY(K80,J80-1,Assumptions!$F$4:$F$44))</f>
        <v>46401</v>
      </c>
      <c r="M80" s="29"/>
      <c r="N80" s="31" t="n">
        <v>0</v>
      </c>
      <c r="O80" s="31" t="n">
        <v>0</v>
      </c>
      <c r="P80" s="31" t="n">
        <v>0</v>
      </c>
      <c r="Q80" s="31" t="n">
        <v>1</v>
      </c>
      <c r="R80" s="31" t="n">
        <v>0</v>
      </c>
      <c r="S80" s="31" t="n">
        <v>0</v>
      </c>
      <c r="T80" s="31" t="n">
        <v>0</v>
      </c>
      <c r="U80" s="31" t="n">
        <v>0</v>
      </c>
      <c r="V80" s="31" t="n">
        <v>3</v>
      </c>
      <c r="W80" s="31" t="n">
        <v>0</v>
      </c>
      <c r="X80" s="31" t="n">
        <v>0</v>
      </c>
      <c r="Y80" s="32" t="n">
        <f aca="false">SUM(N80:X80)</f>
        <v>4</v>
      </c>
      <c r="Z80" s="32" t="n">
        <f aca="false">Y80*(1+Assumptions!$C$5)</f>
        <v>4.6</v>
      </c>
      <c r="AA80" s="27" t="s">
        <v>168</v>
      </c>
      <c r="AB80" s="27" t="s">
        <v>95</v>
      </c>
      <c r="AC80" s="27"/>
      <c r="AD80" s="33" t="n">
        <v>0</v>
      </c>
      <c r="AF80" s="21" t="n">
        <f aca="false">IF($J80=0,0,MAX(0,NETWORKDAYS(MAX($K80,AF$4),MIN($L80,EOMONTH(AF$4,0)),Assumptions!$F$4:$F$44))/NETWORKDAYS($K80,$L80,Assumptions!$F$4:$F$44))</f>
        <v>0</v>
      </c>
      <c r="AG80" s="21" t="n">
        <f aca="false">IF($J80=0,0,MAX(0,NETWORKDAYS(MAX($K80,AG$4),MIN($L80,EOMONTH(AG$4,0)),Assumptions!$F$4:$F$44))/NETWORKDAYS($K80,$L80,Assumptions!$F$4:$F$44))</f>
        <v>0</v>
      </c>
      <c r="AH80" s="21" t="n">
        <f aca="false">IF($J80=0,0,MAX(0,NETWORKDAYS(MAX($K80,AH$4),MIN($L80,EOMONTH(AH$4,0)),Assumptions!$F$4:$F$44))/NETWORKDAYS($K80,$L80,Assumptions!$F$4:$F$44))</f>
        <v>1</v>
      </c>
      <c r="AI80" s="21" t="n">
        <f aca="false">IF($J80=0,0,MAX(0,NETWORKDAYS(MAX($K80,AI$4),MIN($L80,EOMONTH(AI$4,0)),Assumptions!$F$4:$F$44))/NETWORKDAYS($K80,$L80,Assumptions!$F$4:$F$44))</f>
        <v>0</v>
      </c>
      <c r="AJ80" s="21" t="n">
        <f aca="false">IF($J80=0,0,MAX(0,NETWORKDAYS(MAX($K80,AJ$4),MIN($L80,EOMONTH(AJ$4,0)),Assumptions!$F$4:$F$44))/NETWORKDAYS($K80,$L80,Assumptions!$F$4:$F$44))</f>
        <v>0</v>
      </c>
      <c r="AK80" s="21" t="n">
        <f aca="false">IF($J80=0,0,MAX(0,NETWORKDAYS(MAX($K80,AK$4),MIN($L80,EOMONTH(AK$4,0)),Assumptions!$F$4:$F$44))/NETWORKDAYS($K80,$L80,Assumptions!$F$4:$F$44))</f>
        <v>0</v>
      </c>
      <c r="AL80" s="21" t="n">
        <f aca="false">IF($J80=0,0,MAX(0,NETWORKDAYS(MAX($K80,AL$4),MIN($L80,EOMONTH(AL$4,0)),Assumptions!$F$4:$F$44))/NETWORKDAYS($K80,$L80,Assumptions!$F$4:$F$44))</f>
        <v>0</v>
      </c>
      <c r="AM80" s="21" t="n">
        <f aca="false">IF($J80=0,0,MAX(0,NETWORKDAYS(MAX($K80,AM$4),MIN($L80,EOMONTH(AM$4,0)),Assumptions!$F$4:$F$44))/NETWORKDAYS($K80,$L80,Assumptions!$F$4:$F$44))</f>
        <v>0</v>
      </c>
      <c r="AN80" s="21" t="n">
        <f aca="false">IF($J80=0,0,MAX(0,NETWORKDAYS(MAX($K80,AN$4),MIN($L80,EOMONTH(AN$4,0)),Assumptions!$F$4:$F$44))/NETWORKDAYS($K80,$L80,Assumptions!$F$4:$F$44))</f>
        <v>0</v>
      </c>
      <c r="AO80" s="21" t="n">
        <f aca="false">IF($J80=0,0,MAX(0,NETWORKDAYS(MAX($K80,AO$4),MIN($L80,EOMONTH(AO$4,0)),Assumptions!$F$4:$F$44))/NETWORKDAYS($K80,$L80,Assumptions!$F$4:$F$44))</f>
        <v>0</v>
      </c>
      <c r="AP80" s="21" t="n">
        <f aca="false">IF($J80=0,0,MAX(0,NETWORKDAYS(MAX($K80,AP$4),MIN($L80,EOMONTH(AP$4,0)),Assumptions!$F$4:$F$44))/NETWORKDAYS($K80,$L80,Assumptions!$F$4:$F$44))</f>
        <v>0</v>
      </c>
      <c r="AQ80" s="21" t="n">
        <f aca="false">IF($J80=0,0,MAX(0,NETWORKDAYS(MAX($K80,AQ$4),MIN($L80,EOMONTH(AQ$4,0)),Assumptions!$F$4:$F$44))/NETWORKDAYS($K80,$L80,Assumptions!$F$4:$F$44))</f>
        <v>0</v>
      </c>
      <c r="AR80" s="21" t="n">
        <f aca="false">IF($J80=0,0,MAX(0,NETWORKDAYS(MAX($K80,AR$4),MIN($L80,EOMONTH(AR$4,0)),Assumptions!$F$4:$F$44))/NETWORKDAYS($K80,$L80,Assumptions!$F$4:$F$44))</f>
        <v>0</v>
      </c>
      <c r="AS80" s="21" t="n">
        <f aca="false">IF($J80=0,0,MAX(0,NETWORKDAYS(MAX($K80,AS$4),MIN($L80,EOMONTH(AS$4,0)),Assumptions!$F$4:$F$44))/NETWORKDAYS($K80,$L80,Assumptions!$F$4:$F$44))</f>
        <v>0</v>
      </c>
      <c r="AT80" s="21" t="n">
        <f aca="false">IF($J80=0,0,MAX(0,NETWORKDAYS(MAX($K80,AT$4),MIN($L80,EOMONTH(AT$4,0)),Assumptions!$F$4:$F$44))/NETWORKDAYS($K80,$L80,Assumptions!$F$4:$F$44))</f>
        <v>0</v>
      </c>
      <c r="AU80" s="21" t="n">
        <f aca="false">IF($J80=0,0,MAX(0,NETWORKDAYS(MAX($K80,AU$4),MIN($L80,EOMONTH(AU$4,0)),Assumptions!$F$4:$F$44))/NETWORKDAYS($K80,$L80,Assumptions!$F$4:$F$44))</f>
        <v>0</v>
      </c>
      <c r="AV80" s="21" t="n">
        <f aca="false">IF($J80=0,0,MAX(0,NETWORKDAYS(MAX($K80,AV$4),MIN($L80,EOMONTH(AV$4,0)),Assumptions!$F$4:$F$44))/NETWORKDAYS($K80,$L80,Assumptions!$F$4:$F$44))</f>
        <v>0</v>
      </c>
      <c r="AW80" s="21" t="n">
        <f aca="false">IF($J80=0,0,MAX(0,NETWORKDAYS(MAX($K80,AW$4),MIN($L80,EOMONTH(AW$4,0)),Assumptions!$F$4:$F$44))/NETWORKDAYS($K80,$L80,Assumptions!$F$4:$F$44))</f>
        <v>0</v>
      </c>
      <c r="AX80" s="21" t="n">
        <f aca="false">IF($J80=0,0,MAX(0,NETWORKDAYS(MAX($K80,AX$4),MIN($L80,EOMONTH(AX$4,0)),Assumptions!$F$4:$F$44))/NETWORKDAYS($K80,$L80,Assumptions!$F$4:$F$44))</f>
        <v>0</v>
      </c>
      <c r="AY80" s="21" t="n">
        <f aca="false">IF($J80=0,0,MAX(0,NETWORKDAYS(MAX($K80,AY$4),MIN($L80,EOMONTH(AY$4,0)),Assumptions!$F$4:$F$44))/NETWORKDAYS($K80,$L80,Assumptions!$F$4:$F$44))</f>
        <v>0</v>
      </c>
      <c r="AZ80" s="21" t="n">
        <f aca="false">IF($J80=0,0,MAX(0,NETWORKDAYS(MAX($K80,AZ$4),MIN($L80,EOMONTH(AZ$4,0)),Assumptions!$F$4:$F$44))/NETWORKDAYS($K80,$L80,Assumptions!$F$4:$F$44))</f>
        <v>0</v>
      </c>
      <c r="BA80" s="21" t="n">
        <f aca="false">IF($J80=0,0,MAX(0,NETWORKDAYS(MAX($K80,BA$4),MIN($L80,EOMONTH(BA$4,0)),Assumptions!$F$4:$F$44))/NETWORKDAYS($K80,$L80,Assumptions!$F$4:$F$44))</f>
        <v>0</v>
      </c>
      <c r="BB80" s="21" t="n">
        <f aca="false">IF($J80=0,0,MAX(0,NETWORKDAYS(MAX($K80,BB$4),MIN($L80,EOMONTH(BB$4,0)),Assumptions!$F$4:$F$44))/NETWORKDAYS($K80,$L80,Assumptions!$F$4:$F$44))</f>
        <v>0</v>
      </c>
      <c r="BC80" s="21" t="n">
        <f aca="false">IF($J80=0,0,MAX(0,NETWORKDAYS(MAX($K80,BC$4),MIN($L80,EOMONTH(BC$4,0)),Assumptions!$F$4:$F$44))/NETWORKDAYS($K80,$L80,Assumptions!$F$4:$F$44))</f>
        <v>0</v>
      </c>
    </row>
    <row r="81" customFormat="false" ht="15" hidden="false" customHeight="false" outlineLevel="1" collapsed="false">
      <c r="A81" s="22" t="n">
        <v>77</v>
      </c>
      <c r="B81" s="22" t="s">
        <v>241</v>
      </c>
      <c r="C81" s="22" t="n">
        <v>2</v>
      </c>
      <c r="D81" s="22" t="s">
        <v>89</v>
      </c>
      <c r="E81" s="23" t="s">
        <v>242</v>
      </c>
      <c r="F81" s="22" t="s">
        <v>154</v>
      </c>
      <c r="G81" s="22" t="s">
        <v>157</v>
      </c>
      <c r="H81" s="22"/>
      <c r="I81" s="22"/>
      <c r="J81" s="22" t="n">
        <f aca="false">NETWORKDAYS(K81,L81,Assumptions!$F$4:$F$44)</f>
        <v>56</v>
      </c>
      <c r="K81" s="24" t="n">
        <f aca="false">MIN(K82:K84)</f>
        <v>46357</v>
      </c>
      <c r="L81" s="24" t="n">
        <f aca="false">MAX(L82:L84)</f>
        <v>46434</v>
      </c>
      <c r="M81" s="22"/>
      <c r="N81" s="25" t="n">
        <f aca="false">SUMPRODUCT(($C$82:$C$84=3)*(N82:N84))</f>
        <v>0</v>
      </c>
      <c r="O81" s="25" t="n">
        <f aca="false">SUMPRODUCT(($C$82:$C$84=3)*(O82:O84))</f>
        <v>4</v>
      </c>
      <c r="P81" s="25" t="n">
        <f aca="false">SUMPRODUCT(($C$82:$C$84=3)*(P82:P84))</f>
        <v>2</v>
      </c>
      <c r="Q81" s="25" t="n">
        <f aca="false">SUMPRODUCT(($C$82:$C$84=3)*(Q82:Q84))</f>
        <v>0</v>
      </c>
      <c r="R81" s="25" t="n">
        <f aca="false">SUMPRODUCT(($C$82:$C$84=3)*(R82:R84))</f>
        <v>27</v>
      </c>
      <c r="S81" s="25" t="n">
        <f aca="false">SUMPRODUCT(($C$82:$C$84=3)*(S82:S84))</f>
        <v>22</v>
      </c>
      <c r="T81" s="25" t="n">
        <f aca="false">SUMPRODUCT(($C$82:$C$84=3)*(T82:T84))</f>
        <v>0</v>
      </c>
      <c r="U81" s="25" t="n">
        <f aca="false">SUMPRODUCT(($C$82:$C$84=3)*(U82:U84))</f>
        <v>0</v>
      </c>
      <c r="V81" s="25" t="n">
        <f aca="false">SUMPRODUCT(($C$82:$C$84=3)*(V82:V84))</f>
        <v>10</v>
      </c>
      <c r="W81" s="25" t="n">
        <f aca="false">SUMPRODUCT(($C$82:$C$84=3)*(W82:W84))</f>
        <v>0</v>
      </c>
      <c r="X81" s="25" t="n">
        <f aca="false">SUMPRODUCT(($C$82:$C$84=3)*(X82:X84))</f>
        <v>0</v>
      </c>
      <c r="Y81" s="25" t="n">
        <f aca="false">SUM(N81:X81)</f>
        <v>65</v>
      </c>
      <c r="Z81" s="25" t="n">
        <f aca="false">Y81*(1+Assumptions!$C$5)</f>
        <v>74.75</v>
      </c>
      <c r="AA81" s="22" t="s">
        <v>243</v>
      </c>
      <c r="AB81" s="22"/>
      <c r="AC81" s="22"/>
      <c r="AD81" s="26"/>
      <c r="AF81" s="21" t="n">
        <v>0</v>
      </c>
      <c r="AG81" s="21" t="n">
        <v>0</v>
      </c>
      <c r="AH81" s="21" t="n">
        <v>0</v>
      </c>
      <c r="AI81" s="21" t="n">
        <v>0</v>
      </c>
      <c r="AJ81" s="21" t="n">
        <v>0</v>
      </c>
      <c r="AK81" s="21" t="n">
        <v>0</v>
      </c>
      <c r="AL81" s="21" t="n">
        <v>0</v>
      </c>
      <c r="AM81" s="21" t="n">
        <v>0</v>
      </c>
      <c r="AN81" s="21" t="n">
        <v>0</v>
      </c>
      <c r="AO81" s="21" t="n">
        <v>0</v>
      </c>
      <c r="AP81" s="21" t="n">
        <v>0</v>
      </c>
      <c r="AQ81" s="21" t="n">
        <v>0</v>
      </c>
      <c r="AR81" s="21" t="n">
        <v>0</v>
      </c>
      <c r="AS81" s="21" t="n">
        <v>0</v>
      </c>
      <c r="AT81" s="21" t="n">
        <v>0</v>
      </c>
      <c r="AU81" s="21" t="n">
        <v>0</v>
      </c>
      <c r="AV81" s="21" t="n">
        <v>0</v>
      </c>
      <c r="AW81" s="21" t="n">
        <v>0</v>
      </c>
      <c r="AX81" s="21" t="n">
        <v>0</v>
      </c>
      <c r="AY81" s="21" t="n">
        <v>0</v>
      </c>
      <c r="AZ81" s="21" t="n">
        <v>0</v>
      </c>
      <c r="BA81" s="21" t="n">
        <v>0</v>
      </c>
      <c r="BB81" s="21" t="n">
        <v>0</v>
      </c>
      <c r="BC81" s="21" t="n">
        <v>0</v>
      </c>
    </row>
    <row r="82" customFormat="false" ht="15" hidden="false" customHeight="false" outlineLevel="2" collapsed="false">
      <c r="A82" s="27" t="n">
        <v>78</v>
      </c>
      <c r="B82" s="27" t="s">
        <v>244</v>
      </c>
      <c r="C82" s="27" t="n">
        <v>3</v>
      </c>
      <c r="D82" s="27" t="s">
        <v>92</v>
      </c>
      <c r="E82" s="28" t="s">
        <v>160</v>
      </c>
      <c r="F82" s="27" t="s">
        <v>154</v>
      </c>
      <c r="G82" s="27" t="s">
        <v>157</v>
      </c>
      <c r="H82" s="27" t="s">
        <v>45</v>
      </c>
      <c r="I82" s="29" t="n">
        <v>21</v>
      </c>
      <c r="J82" s="29" t="n">
        <v>11</v>
      </c>
      <c r="K82" s="30" t="n">
        <f aca="false">WORKDAY(Assumptions!$C$4,I82,Assumptions!$F$4:$F$44)</f>
        <v>46357</v>
      </c>
      <c r="L82" s="30" t="n">
        <f aca="false">IF(J82=0,K82,WORKDAY(K82,J82-1,Assumptions!$F$4:$F$44))</f>
        <v>46371</v>
      </c>
      <c r="M82" s="29" t="s">
        <v>161</v>
      </c>
      <c r="N82" s="31" t="n">
        <v>0</v>
      </c>
      <c r="O82" s="31" t="n">
        <v>0</v>
      </c>
      <c r="P82" s="31" t="n">
        <v>2</v>
      </c>
      <c r="Q82" s="31" t="n">
        <v>0</v>
      </c>
      <c r="R82" s="31" t="n">
        <v>0</v>
      </c>
      <c r="S82" s="31" t="n">
        <v>0</v>
      </c>
      <c r="T82" s="31" t="n">
        <v>0</v>
      </c>
      <c r="U82" s="31" t="n">
        <v>0</v>
      </c>
      <c r="V82" s="31" t="n">
        <v>0</v>
      </c>
      <c r="W82" s="31" t="n">
        <v>0</v>
      </c>
      <c r="X82" s="31" t="n">
        <v>0</v>
      </c>
      <c r="Y82" s="32" t="n">
        <f aca="false">SUM(N82:X82)</f>
        <v>2</v>
      </c>
      <c r="Z82" s="32" t="n">
        <f aca="false">Y82*(1+Assumptions!$C$5)</f>
        <v>2.3</v>
      </c>
      <c r="AA82" s="27" t="s">
        <v>162</v>
      </c>
      <c r="AB82" s="27" t="s">
        <v>95</v>
      </c>
      <c r="AC82" s="27"/>
      <c r="AD82" s="33" t="n">
        <v>0</v>
      </c>
      <c r="AF82" s="21" t="n">
        <f aca="false">IF($J82=0,0,MAX(0,NETWORKDAYS(MAX($K82,AF$4),MIN($L82,EOMONTH(AF$4,0)),Assumptions!$F$4:$F$44))/NETWORKDAYS($K82,$L82,Assumptions!$F$4:$F$44))</f>
        <v>0</v>
      </c>
      <c r="AG82" s="21" t="n">
        <f aca="false">IF($J82=0,0,MAX(0,NETWORKDAYS(MAX($K82,AG$4),MIN($L82,EOMONTH(AG$4,0)),Assumptions!$F$4:$F$44))/NETWORKDAYS($K82,$L82,Assumptions!$F$4:$F$44))</f>
        <v>1</v>
      </c>
      <c r="AH82" s="21" t="n">
        <f aca="false">IF($J82=0,0,MAX(0,NETWORKDAYS(MAX($K82,AH$4),MIN($L82,EOMONTH(AH$4,0)),Assumptions!$F$4:$F$44))/NETWORKDAYS($K82,$L82,Assumptions!$F$4:$F$44))</f>
        <v>0</v>
      </c>
      <c r="AI82" s="21" t="n">
        <f aca="false">IF($J82=0,0,MAX(0,NETWORKDAYS(MAX($K82,AI$4),MIN($L82,EOMONTH(AI$4,0)),Assumptions!$F$4:$F$44))/NETWORKDAYS($K82,$L82,Assumptions!$F$4:$F$44))</f>
        <v>0</v>
      </c>
      <c r="AJ82" s="21" t="n">
        <f aca="false">IF($J82=0,0,MAX(0,NETWORKDAYS(MAX($K82,AJ$4),MIN($L82,EOMONTH(AJ$4,0)),Assumptions!$F$4:$F$44))/NETWORKDAYS($K82,$L82,Assumptions!$F$4:$F$44))</f>
        <v>0</v>
      </c>
      <c r="AK82" s="21" t="n">
        <f aca="false">IF($J82=0,0,MAX(0,NETWORKDAYS(MAX($K82,AK$4),MIN($L82,EOMONTH(AK$4,0)),Assumptions!$F$4:$F$44))/NETWORKDAYS($K82,$L82,Assumptions!$F$4:$F$44))</f>
        <v>0</v>
      </c>
      <c r="AL82" s="21" t="n">
        <f aca="false">IF($J82=0,0,MAX(0,NETWORKDAYS(MAX($K82,AL$4),MIN($L82,EOMONTH(AL$4,0)),Assumptions!$F$4:$F$44))/NETWORKDAYS($K82,$L82,Assumptions!$F$4:$F$44))</f>
        <v>0</v>
      </c>
      <c r="AM82" s="21" t="n">
        <f aca="false">IF($J82=0,0,MAX(0,NETWORKDAYS(MAX($K82,AM$4),MIN($L82,EOMONTH(AM$4,0)),Assumptions!$F$4:$F$44))/NETWORKDAYS($K82,$L82,Assumptions!$F$4:$F$44))</f>
        <v>0</v>
      </c>
      <c r="AN82" s="21" t="n">
        <f aca="false">IF($J82=0,0,MAX(0,NETWORKDAYS(MAX($K82,AN$4),MIN($L82,EOMONTH(AN$4,0)),Assumptions!$F$4:$F$44))/NETWORKDAYS($K82,$L82,Assumptions!$F$4:$F$44))</f>
        <v>0</v>
      </c>
      <c r="AO82" s="21" t="n">
        <f aca="false">IF($J82=0,0,MAX(0,NETWORKDAYS(MAX($K82,AO$4),MIN($L82,EOMONTH(AO$4,0)),Assumptions!$F$4:$F$44))/NETWORKDAYS($K82,$L82,Assumptions!$F$4:$F$44))</f>
        <v>0</v>
      </c>
      <c r="AP82" s="21" t="n">
        <f aca="false">IF($J82=0,0,MAX(0,NETWORKDAYS(MAX($K82,AP$4),MIN($L82,EOMONTH(AP$4,0)),Assumptions!$F$4:$F$44))/NETWORKDAYS($K82,$L82,Assumptions!$F$4:$F$44))</f>
        <v>0</v>
      </c>
      <c r="AQ82" s="21" t="n">
        <f aca="false">IF($J82=0,0,MAX(0,NETWORKDAYS(MAX($K82,AQ$4),MIN($L82,EOMONTH(AQ$4,0)),Assumptions!$F$4:$F$44))/NETWORKDAYS($K82,$L82,Assumptions!$F$4:$F$44))</f>
        <v>0</v>
      </c>
      <c r="AR82" s="21" t="n">
        <f aca="false">IF($J82=0,0,MAX(0,NETWORKDAYS(MAX($K82,AR$4),MIN($L82,EOMONTH(AR$4,0)),Assumptions!$F$4:$F$44))/NETWORKDAYS($K82,$L82,Assumptions!$F$4:$F$44))</f>
        <v>0</v>
      </c>
      <c r="AS82" s="21" t="n">
        <f aca="false">IF($J82=0,0,MAX(0,NETWORKDAYS(MAX($K82,AS$4),MIN($L82,EOMONTH(AS$4,0)),Assumptions!$F$4:$F$44))/NETWORKDAYS($K82,$L82,Assumptions!$F$4:$F$44))</f>
        <v>0</v>
      </c>
      <c r="AT82" s="21" t="n">
        <f aca="false">IF($J82=0,0,MAX(0,NETWORKDAYS(MAX($K82,AT$4),MIN($L82,EOMONTH(AT$4,0)),Assumptions!$F$4:$F$44))/NETWORKDAYS($K82,$L82,Assumptions!$F$4:$F$44))</f>
        <v>0</v>
      </c>
      <c r="AU82" s="21" t="n">
        <f aca="false">IF($J82=0,0,MAX(0,NETWORKDAYS(MAX($K82,AU$4),MIN($L82,EOMONTH(AU$4,0)),Assumptions!$F$4:$F$44))/NETWORKDAYS($K82,$L82,Assumptions!$F$4:$F$44))</f>
        <v>0</v>
      </c>
      <c r="AV82" s="21" t="n">
        <f aca="false">IF($J82=0,0,MAX(0,NETWORKDAYS(MAX($K82,AV$4),MIN($L82,EOMONTH(AV$4,0)),Assumptions!$F$4:$F$44))/NETWORKDAYS($K82,$L82,Assumptions!$F$4:$F$44))</f>
        <v>0</v>
      </c>
      <c r="AW82" s="21" t="n">
        <f aca="false">IF($J82=0,0,MAX(0,NETWORKDAYS(MAX($K82,AW$4),MIN($L82,EOMONTH(AW$4,0)),Assumptions!$F$4:$F$44))/NETWORKDAYS($K82,$L82,Assumptions!$F$4:$F$44))</f>
        <v>0</v>
      </c>
      <c r="AX82" s="21" t="n">
        <f aca="false">IF($J82=0,0,MAX(0,NETWORKDAYS(MAX($K82,AX$4),MIN($L82,EOMONTH(AX$4,0)),Assumptions!$F$4:$F$44))/NETWORKDAYS($K82,$L82,Assumptions!$F$4:$F$44))</f>
        <v>0</v>
      </c>
      <c r="AY82" s="21" t="n">
        <f aca="false">IF($J82=0,0,MAX(0,NETWORKDAYS(MAX($K82,AY$4),MIN($L82,EOMONTH(AY$4,0)),Assumptions!$F$4:$F$44))/NETWORKDAYS($K82,$L82,Assumptions!$F$4:$F$44))</f>
        <v>0</v>
      </c>
      <c r="AZ82" s="21" t="n">
        <f aca="false">IF($J82=0,0,MAX(0,NETWORKDAYS(MAX($K82,AZ$4),MIN($L82,EOMONTH(AZ$4,0)),Assumptions!$F$4:$F$44))/NETWORKDAYS($K82,$L82,Assumptions!$F$4:$F$44))</f>
        <v>0</v>
      </c>
      <c r="BA82" s="21" t="n">
        <f aca="false">IF($J82=0,0,MAX(0,NETWORKDAYS(MAX($K82,BA$4),MIN($L82,EOMONTH(BA$4,0)),Assumptions!$F$4:$F$44))/NETWORKDAYS($K82,$L82,Assumptions!$F$4:$F$44))</f>
        <v>0</v>
      </c>
      <c r="BB82" s="21" t="n">
        <f aca="false">IF($J82=0,0,MAX(0,NETWORKDAYS(MAX($K82,BB$4),MIN($L82,EOMONTH(BB$4,0)),Assumptions!$F$4:$F$44))/NETWORKDAYS($K82,$L82,Assumptions!$F$4:$F$44))</f>
        <v>0</v>
      </c>
      <c r="BC82" s="21" t="n">
        <f aca="false">IF($J82=0,0,MAX(0,NETWORKDAYS(MAX($K82,BC$4),MIN($L82,EOMONTH(BC$4,0)),Assumptions!$F$4:$F$44))/NETWORKDAYS($K82,$L82,Assumptions!$F$4:$F$44))</f>
        <v>0</v>
      </c>
    </row>
    <row r="83" customFormat="false" ht="15" hidden="false" customHeight="false" outlineLevel="2" collapsed="false">
      <c r="A83" s="27" t="n">
        <v>79</v>
      </c>
      <c r="B83" s="27" t="s">
        <v>245</v>
      </c>
      <c r="C83" s="27" t="n">
        <v>3</v>
      </c>
      <c r="D83" s="27" t="s">
        <v>92</v>
      </c>
      <c r="E83" s="28" t="s">
        <v>164</v>
      </c>
      <c r="F83" s="27" t="s">
        <v>154</v>
      </c>
      <c r="G83" s="27" t="s">
        <v>157</v>
      </c>
      <c r="H83" s="27" t="s">
        <v>49</v>
      </c>
      <c r="I83" s="29" t="n">
        <v>32</v>
      </c>
      <c r="J83" s="29" t="n">
        <v>34</v>
      </c>
      <c r="K83" s="30" t="n">
        <f aca="false">WORKDAY(Assumptions!$C$4,I83,Assumptions!$F$4:$F$44)</f>
        <v>46372</v>
      </c>
      <c r="L83" s="30" t="n">
        <f aca="false">IF(J83=0,K83,WORKDAY(K83,J83-1,Assumptions!$F$4:$F$44))</f>
        <v>46419</v>
      </c>
      <c r="M83" s="29"/>
      <c r="N83" s="31" t="n">
        <v>0</v>
      </c>
      <c r="O83" s="31" t="n">
        <v>4</v>
      </c>
      <c r="P83" s="31" t="n">
        <v>0</v>
      </c>
      <c r="Q83" s="31" t="n">
        <v>0</v>
      </c>
      <c r="R83" s="31" t="n">
        <v>27</v>
      </c>
      <c r="S83" s="31" t="n">
        <v>22</v>
      </c>
      <c r="T83" s="31" t="n">
        <v>0</v>
      </c>
      <c r="U83" s="31" t="n">
        <v>0</v>
      </c>
      <c r="V83" s="31" t="n">
        <v>0</v>
      </c>
      <c r="W83" s="31" t="n">
        <v>0</v>
      </c>
      <c r="X83" s="31" t="n">
        <v>0</v>
      </c>
      <c r="Y83" s="32" t="n">
        <f aca="false">SUM(N83:X83)</f>
        <v>53</v>
      </c>
      <c r="Z83" s="32" t="n">
        <f aca="false">Y83*(1+Assumptions!$C$5)</f>
        <v>60.95</v>
      </c>
      <c r="AA83" s="27" t="s">
        <v>165</v>
      </c>
      <c r="AB83" s="27" t="s">
        <v>95</v>
      </c>
      <c r="AC83" s="27"/>
      <c r="AD83" s="33" t="n">
        <v>0</v>
      </c>
      <c r="AF83" s="21" t="n">
        <f aca="false">IF($J83=0,0,MAX(0,NETWORKDAYS(MAX($K83,AF$4),MIN($L83,EOMONTH(AF$4,0)),Assumptions!$F$4:$F$44))/NETWORKDAYS($K83,$L83,Assumptions!$F$4:$F$44))</f>
        <v>0</v>
      </c>
      <c r="AG83" s="21" t="n">
        <f aca="false">IF($J83=0,0,MAX(0,NETWORKDAYS(MAX($K83,AG$4),MIN($L83,EOMONTH(AG$4,0)),Assumptions!$F$4:$F$44))/NETWORKDAYS($K83,$L83,Assumptions!$F$4:$F$44))</f>
        <v>0.352941176470588</v>
      </c>
      <c r="AH83" s="21" t="n">
        <f aca="false">IF($J83=0,0,MAX(0,NETWORKDAYS(MAX($K83,AH$4),MIN($L83,EOMONTH(AH$4,0)),Assumptions!$F$4:$F$44))/NETWORKDAYS($K83,$L83,Assumptions!$F$4:$F$44))</f>
        <v>0.617647058823529</v>
      </c>
      <c r="AI83" s="21" t="n">
        <f aca="false">IF($J83=0,0,MAX(0,NETWORKDAYS(MAX($K83,AI$4),MIN($L83,EOMONTH(AI$4,0)),Assumptions!$F$4:$F$44))/NETWORKDAYS($K83,$L83,Assumptions!$F$4:$F$44))</f>
        <v>0.0294117647058824</v>
      </c>
      <c r="AJ83" s="21" t="n">
        <f aca="false">IF($J83=0,0,MAX(0,NETWORKDAYS(MAX($K83,AJ$4),MIN($L83,EOMONTH(AJ$4,0)),Assumptions!$F$4:$F$44))/NETWORKDAYS($K83,$L83,Assumptions!$F$4:$F$44))</f>
        <v>0</v>
      </c>
      <c r="AK83" s="21" t="n">
        <f aca="false">IF($J83=0,0,MAX(0,NETWORKDAYS(MAX($K83,AK$4),MIN($L83,EOMONTH(AK$4,0)),Assumptions!$F$4:$F$44))/NETWORKDAYS($K83,$L83,Assumptions!$F$4:$F$44))</f>
        <v>0</v>
      </c>
      <c r="AL83" s="21" t="n">
        <f aca="false">IF($J83=0,0,MAX(0,NETWORKDAYS(MAX($K83,AL$4),MIN($L83,EOMONTH(AL$4,0)),Assumptions!$F$4:$F$44))/NETWORKDAYS($K83,$L83,Assumptions!$F$4:$F$44))</f>
        <v>0</v>
      </c>
      <c r="AM83" s="21" t="n">
        <f aca="false">IF($J83=0,0,MAX(0,NETWORKDAYS(MAX($K83,AM$4),MIN($L83,EOMONTH(AM$4,0)),Assumptions!$F$4:$F$44))/NETWORKDAYS($K83,$L83,Assumptions!$F$4:$F$44))</f>
        <v>0</v>
      </c>
      <c r="AN83" s="21" t="n">
        <f aca="false">IF($J83=0,0,MAX(0,NETWORKDAYS(MAX($K83,AN$4),MIN($L83,EOMONTH(AN$4,0)),Assumptions!$F$4:$F$44))/NETWORKDAYS($K83,$L83,Assumptions!$F$4:$F$44))</f>
        <v>0</v>
      </c>
      <c r="AO83" s="21" t="n">
        <f aca="false">IF($J83=0,0,MAX(0,NETWORKDAYS(MAX($K83,AO$4),MIN($L83,EOMONTH(AO$4,0)),Assumptions!$F$4:$F$44))/NETWORKDAYS($K83,$L83,Assumptions!$F$4:$F$44))</f>
        <v>0</v>
      </c>
      <c r="AP83" s="21" t="n">
        <f aca="false">IF($J83=0,0,MAX(0,NETWORKDAYS(MAX($K83,AP$4),MIN($L83,EOMONTH(AP$4,0)),Assumptions!$F$4:$F$44))/NETWORKDAYS($K83,$L83,Assumptions!$F$4:$F$44))</f>
        <v>0</v>
      </c>
      <c r="AQ83" s="21" t="n">
        <f aca="false">IF($J83=0,0,MAX(0,NETWORKDAYS(MAX($K83,AQ$4),MIN($L83,EOMONTH(AQ$4,0)),Assumptions!$F$4:$F$44))/NETWORKDAYS($K83,$L83,Assumptions!$F$4:$F$44))</f>
        <v>0</v>
      </c>
      <c r="AR83" s="21" t="n">
        <f aca="false">IF($J83=0,0,MAX(0,NETWORKDAYS(MAX($K83,AR$4),MIN($L83,EOMONTH(AR$4,0)),Assumptions!$F$4:$F$44))/NETWORKDAYS($K83,$L83,Assumptions!$F$4:$F$44))</f>
        <v>0</v>
      </c>
      <c r="AS83" s="21" t="n">
        <f aca="false">IF($J83=0,0,MAX(0,NETWORKDAYS(MAX($K83,AS$4),MIN($L83,EOMONTH(AS$4,0)),Assumptions!$F$4:$F$44))/NETWORKDAYS($K83,$L83,Assumptions!$F$4:$F$44))</f>
        <v>0</v>
      </c>
      <c r="AT83" s="21" t="n">
        <f aca="false">IF($J83=0,0,MAX(0,NETWORKDAYS(MAX($K83,AT$4),MIN($L83,EOMONTH(AT$4,0)),Assumptions!$F$4:$F$44))/NETWORKDAYS($K83,$L83,Assumptions!$F$4:$F$44))</f>
        <v>0</v>
      </c>
      <c r="AU83" s="21" t="n">
        <f aca="false">IF($J83=0,0,MAX(0,NETWORKDAYS(MAX($K83,AU$4),MIN($L83,EOMONTH(AU$4,0)),Assumptions!$F$4:$F$44))/NETWORKDAYS($K83,$L83,Assumptions!$F$4:$F$44))</f>
        <v>0</v>
      </c>
      <c r="AV83" s="21" t="n">
        <f aca="false">IF($J83=0,0,MAX(0,NETWORKDAYS(MAX($K83,AV$4),MIN($L83,EOMONTH(AV$4,0)),Assumptions!$F$4:$F$44))/NETWORKDAYS($K83,$L83,Assumptions!$F$4:$F$44))</f>
        <v>0</v>
      </c>
      <c r="AW83" s="21" t="n">
        <f aca="false">IF($J83=0,0,MAX(0,NETWORKDAYS(MAX($K83,AW$4),MIN($L83,EOMONTH(AW$4,0)),Assumptions!$F$4:$F$44))/NETWORKDAYS($K83,$L83,Assumptions!$F$4:$F$44))</f>
        <v>0</v>
      </c>
      <c r="AX83" s="21" t="n">
        <f aca="false">IF($J83=0,0,MAX(0,NETWORKDAYS(MAX($K83,AX$4),MIN($L83,EOMONTH(AX$4,0)),Assumptions!$F$4:$F$44))/NETWORKDAYS($K83,$L83,Assumptions!$F$4:$F$44))</f>
        <v>0</v>
      </c>
      <c r="AY83" s="21" t="n">
        <f aca="false">IF($J83=0,0,MAX(0,NETWORKDAYS(MAX($K83,AY$4),MIN($L83,EOMONTH(AY$4,0)),Assumptions!$F$4:$F$44))/NETWORKDAYS($K83,$L83,Assumptions!$F$4:$F$44))</f>
        <v>0</v>
      </c>
      <c r="AZ83" s="21" t="n">
        <f aca="false">IF($J83=0,0,MAX(0,NETWORKDAYS(MAX($K83,AZ$4),MIN($L83,EOMONTH(AZ$4,0)),Assumptions!$F$4:$F$44))/NETWORKDAYS($K83,$L83,Assumptions!$F$4:$F$44))</f>
        <v>0</v>
      </c>
      <c r="BA83" s="21" t="n">
        <f aca="false">IF($J83=0,0,MAX(0,NETWORKDAYS(MAX($K83,BA$4),MIN($L83,EOMONTH(BA$4,0)),Assumptions!$F$4:$F$44))/NETWORKDAYS($K83,$L83,Assumptions!$F$4:$F$44))</f>
        <v>0</v>
      </c>
      <c r="BB83" s="21" t="n">
        <f aca="false">IF($J83=0,0,MAX(0,NETWORKDAYS(MAX($K83,BB$4),MIN($L83,EOMONTH(BB$4,0)),Assumptions!$F$4:$F$44))/NETWORKDAYS($K83,$L83,Assumptions!$F$4:$F$44))</f>
        <v>0</v>
      </c>
      <c r="BC83" s="21" t="n">
        <f aca="false">IF($J83=0,0,MAX(0,NETWORKDAYS(MAX($K83,BC$4),MIN($L83,EOMONTH(BC$4,0)),Assumptions!$F$4:$F$44))/NETWORKDAYS($K83,$L83,Assumptions!$F$4:$F$44))</f>
        <v>0</v>
      </c>
    </row>
    <row r="84" customFormat="false" ht="15" hidden="false" customHeight="false" outlineLevel="2" collapsed="false">
      <c r="A84" s="27" t="n">
        <v>80</v>
      </c>
      <c r="B84" s="27" t="s">
        <v>246</v>
      </c>
      <c r="C84" s="27" t="n">
        <v>3</v>
      </c>
      <c r="D84" s="27" t="s">
        <v>92</v>
      </c>
      <c r="E84" s="28" t="s">
        <v>167</v>
      </c>
      <c r="F84" s="27" t="s">
        <v>154</v>
      </c>
      <c r="G84" s="27" t="s">
        <v>157</v>
      </c>
      <c r="H84" s="27" t="s">
        <v>57</v>
      </c>
      <c r="I84" s="29" t="n">
        <v>63</v>
      </c>
      <c r="J84" s="29" t="n">
        <v>14</v>
      </c>
      <c r="K84" s="30" t="n">
        <f aca="false">WORKDAY(Assumptions!$C$4,I84,Assumptions!$F$4:$F$44)</f>
        <v>46415</v>
      </c>
      <c r="L84" s="30" t="n">
        <f aca="false">IF(J84=0,K84,WORKDAY(K84,J84-1,Assumptions!$F$4:$F$44))</f>
        <v>46434</v>
      </c>
      <c r="M84" s="29"/>
      <c r="N84" s="31" t="n">
        <v>0</v>
      </c>
      <c r="O84" s="31" t="n">
        <v>0</v>
      </c>
      <c r="P84" s="31" t="n">
        <v>0</v>
      </c>
      <c r="Q84" s="31" t="n">
        <v>0</v>
      </c>
      <c r="R84" s="31" t="n">
        <v>0</v>
      </c>
      <c r="S84" s="31" t="n">
        <v>0</v>
      </c>
      <c r="T84" s="31" t="n">
        <v>0</v>
      </c>
      <c r="U84" s="31" t="n">
        <v>0</v>
      </c>
      <c r="V84" s="31" t="n">
        <v>10</v>
      </c>
      <c r="W84" s="31" t="n">
        <v>0</v>
      </c>
      <c r="X84" s="31" t="n">
        <v>0</v>
      </c>
      <c r="Y84" s="32" t="n">
        <f aca="false">SUM(N84:X84)</f>
        <v>10</v>
      </c>
      <c r="Z84" s="32" t="n">
        <f aca="false">Y84*(1+Assumptions!$C$5)</f>
        <v>11.5</v>
      </c>
      <c r="AA84" s="27" t="s">
        <v>168</v>
      </c>
      <c r="AB84" s="27" t="s">
        <v>95</v>
      </c>
      <c r="AC84" s="27"/>
      <c r="AD84" s="33" t="n">
        <v>0</v>
      </c>
      <c r="AF84" s="21" t="n">
        <f aca="false">IF($J84=0,0,MAX(0,NETWORKDAYS(MAX($K84,AF$4),MIN($L84,EOMONTH(AF$4,0)),Assumptions!$F$4:$F$44))/NETWORKDAYS($K84,$L84,Assumptions!$F$4:$F$44))</f>
        <v>0</v>
      </c>
      <c r="AG84" s="21" t="n">
        <f aca="false">IF($J84=0,0,MAX(0,NETWORKDAYS(MAX($K84,AG$4),MIN($L84,EOMONTH(AG$4,0)),Assumptions!$F$4:$F$44))/NETWORKDAYS($K84,$L84,Assumptions!$F$4:$F$44))</f>
        <v>0</v>
      </c>
      <c r="AH84" s="21" t="n">
        <f aca="false">IF($J84=0,0,MAX(0,NETWORKDAYS(MAX($K84,AH$4),MIN($L84,EOMONTH(AH$4,0)),Assumptions!$F$4:$F$44))/NETWORKDAYS($K84,$L84,Assumptions!$F$4:$F$44))</f>
        <v>0.142857142857143</v>
      </c>
      <c r="AI84" s="21" t="n">
        <f aca="false">IF($J84=0,0,MAX(0,NETWORKDAYS(MAX($K84,AI$4),MIN($L84,EOMONTH(AI$4,0)),Assumptions!$F$4:$F$44))/NETWORKDAYS($K84,$L84,Assumptions!$F$4:$F$44))</f>
        <v>0.857142857142857</v>
      </c>
      <c r="AJ84" s="21" t="n">
        <f aca="false">IF($J84=0,0,MAX(0,NETWORKDAYS(MAX($K84,AJ$4),MIN($L84,EOMONTH(AJ$4,0)),Assumptions!$F$4:$F$44))/NETWORKDAYS($K84,$L84,Assumptions!$F$4:$F$44))</f>
        <v>0</v>
      </c>
      <c r="AK84" s="21" t="n">
        <f aca="false">IF($J84=0,0,MAX(0,NETWORKDAYS(MAX($K84,AK$4),MIN($L84,EOMONTH(AK$4,0)),Assumptions!$F$4:$F$44))/NETWORKDAYS($K84,$L84,Assumptions!$F$4:$F$44))</f>
        <v>0</v>
      </c>
      <c r="AL84" s="21" t="n">
        <f aca="false">IF($J84=0,0,MAX(0,NETWORKDAYS(MAX($K84,AL$4),MIN($L84,EOMONTH(AL$4,0)),Assumptions!$F$4:$F$44))/NETWORKDAYS($K84,$L84,Assumptions!$F$4:$F$44))</f>
        <v>0</v>
      </c>
      <c r="AM84" s="21" t="n">
        <f aca="false">IF($J84=0,0,MAX(0,NETWORKDAYS(MAX($K84,AM$4),MIN($L84,EOMONTH(AM$4,0)),Assumptions!$F$4:$F$44))/NETWORKDAYS($K84,$L84,Assumptions!$F$4:$F$44))</f>
        <v>0</v>
      </c>
      <c r="AN84" s="21" t="n">
        <f aca="false">IF($J84=0,0,MAX(0,NETWORKDAYS(MAX($K84,AN$4),MIN($L84,EOMONTH(AN$4,0)),Assumptions!$F$4:$F$44))/NETWORKDAYS($K84,$L84,Assumptions!$F$4:$F$44))</f>
        <v>0</v>
      </c>
      <c r="AO84" s="21" t="n">
        <f aca="false">IF($J84=0,0,MAX(0,NETWORKDAYS(MAX($K84,AO$4),MIN($L84,EOMONTH(AO$4,0)),Assumptions!$F$4:$F$44))/NETWORKDAYS($K84,$L84,Assumptions!$F$4:$F$44))</f>
        <v>0</v>
      </c>
      <c r="AP84" s="21" t="n">
        <f aca="false">IF($J84=0,0,MAX(0,NETWORKDAYS(MAX($K84,AP$4),MIN($L84,EOMONTH(AP$4,0)),Assumptions!$F$4:$F$44))/NETWORKDAYS($K84,$L84,Assumptions!$F$4:$F$44))</f>
        <v>0</v>
      </c>
      <c r="AQ84" s="21" t="n">
        <f aca="false">IF($J84=0,0,MAX(0,NETWORKDAYS(MAX($K84,AQ$4),MIN($L84,EOMONTH(AQ$4,0)),Assumptions!$F$4:$F$44))/NETWORKDAYS($K84,$L84,Assumptions!$F$4:$F$44))</f>
        <v>0</v>
      </c>
      <c r="AR84" s="21" t="n">
        <f aca="false">IF($J84=0,0,MAX(0,NETWORKDAYS(MAX($K84,AR$4),MIN($L84,EOMONTH(AR$4,0)),Assumptions!$F$4:$F$44))/NETWORKDAYS($K84,$L84,Assumptions!$F$4:$F$44))</f>
        <v>0</v>
      </c>
      <c r="AS84" s="21" t="n">
        <f aca="false">IF($J84=0,0,MAX(0,NETWORKDAYS(MAX($K84,AS$4),MIN($L84,EOMONTH(AS$4,0)),Assumptions!$F$4:$F$44))/NETWORKDAYS($K84,$L84,Assumptions!$F$4:$F$44))</f>
        <v>0</v>
      </c>
      <c r="AT84" s="21" t="n">
        <f aca="false">IF($J84=0,0,MAX(0,NETWORKDAYS(MAX($K84,AT$4),MIN($L84,EOMONTH(AT$4,0)),Assumptions!$F$4:$F$44))/NETWORKDAYS($K84,$L84,Assumptions!$F$4:$F$44))</f>
        <v>0</v>
      </c>
      <c r="AU84" s="21" t="n">
        <f aca="false">IF($J84=0,0,MAX(0,NETWORKDAYS(MAX($K84,AU$4),MIN($L84,EOMONTH(AU$4,0)),Assumptions!$F$4:$F$44))/NETWORKDAYS($K84,$L84,Assumptions!$F$4:$F$44))</f>
        <v>0</v>
      </c>
      <c r="AV84" s="21" t="n">
        <f aca="false">IF($J84=0,0,MAX(0,NETWORKDAYS(MAX($K84,AV$4),MIN($L84,EOMONTH(AV$4,0)),Assumptions!$F$4:$F$44))/NETWORKDAYS($K84,$L84,Assumptions!$F$4:$F$44))</f>
        <v>0</v>
      </c>
      <c r="AW84" s="21" t="n">
        <f aca="false">IF($J84=0,0,MAX(0,NETWORKDAYS(MAX($K84,AW$4),MIN($L84,EOMONTH(AW$4,0)),Assumptions!$F$4:$F$44))/NETWORKDAYS($K84,$L84,Assumptions!$F$4:$F$44))</f>
        <v>0</v>
      </c>
      <c r="AX84" s="21" t="n">
        <f aca="false">IF($J84=0,0,MAX(0,NETWORKDAYS(MAX($K84,AX$4),MIN($L84,EOMONTH(AX$4,0)),Assumptions!$F$4:$F$44))/NETWORKDAYS($K84,$L84,Assumptions!$F$4:$F$44))</f>
        <v>0</v>
      </c>
      <c r="AY84" s="21" t="n">
        <f aca="false">IF($J84=0,0,MAX(0,NETWORKDAYS(MAX($K84,AY$4),MIN($L84,EOMONTH(AY$4,0)),Assumptions!$F$4:$F$44))/NETWORKDAYS($K84,$L84,Assumptions!$F$4:$F$44))</f>
        <v>0</v>
      </c>
      <c r="AZ84" s="21" t="n">
        <f aca="false">IF($J84=0,0,MAX(0,NETWORKDAYS(MAX($K84,AZ$4),MIN($L84,EOMONTH(AZ$4,0)),Assumptions!$F$4:$F$44))/NETWORKDAYS($K84,$L84,Assumptions!$F$4:$F$44))</f>
        <v>0</v>
      </c>
      <c r="BA84" s="21" t="n">
        <f aca="false">IF($J84=0,0,MAX(0,NETWORKDAYS(MAX($K84,BA$4),MIN($L84,EOMONTH(BA$4,0)),Assumptions!$F$4:$F$44))/NETWORKDAYS($K84,$L84,Assumptions!$F$4:$F$44))</f>
        <v>0</v>
      </c>
      <c r="BB84" s="21" t="n">
        <f aca="false">IF($J84=0,0,MAX(0,NETWORKDAYS(MAX($K84,BB$4),MIN($L84,EOMONTH(BB$4,0)),Assumptions!$F$4:$F$44))/NETWORKDAYS($K84,$L84,Assumptions!$F$4:$F$44))</f>
        <v>0</v>
      </c>
      <c r="BC84" s="21" t="n">
        <f aca="false">IF($J84=0,0,MAX(0,NETWORKDAYS(MAX($K84,BC$4),MIN($L84,EOMONTH(BC$4,0)),Assumptions!$F$4:$F$44))/NETWORKDAYS($K84,$L84,Assumptions!$F$4:$F$44))</f>
        <v>0</v>
      </c>
    </row>
    <row r="85" customFormat="false" ht="15" hidden="false" customHeight="false" outlineLevel="1" collapsed="false">
      <c r="A85" s="22" t="n">
        <v>81</v>
      </c>
      <c r="B85" s="22" t="s">
        <v>247</v>
      </c>
      <c r="C85" s="22" t="n">
        <v>2</v>
      </c>
      <c r="D85" s="22" t="s">
        <v>89</v>
      </c>
      <c r="E85" s="23" t="s">
        <v>248</v>
      </c>
      <c r="F85" s="22" t="s">
        <v>154</v>
      </c>
      <c r="G85" s="22" t="s">
        <v>157</v>
      </c>
      <c r="H85" s="22"/>
      <c r="I85" s="22"/>
      <c r="J85" s="22" t="n">
        <f aca="false">NETWORKDAYS(K85,L85,Assumptions!$F$4:$F$44)</f>
        <v>45</v>
      </c>
      <c r="K85" s="24" t="n">
        <f aca="false">MIN(K86:K88)</f>
        <v>46357</v>
      </c>
      <c r="L85" s="24" t="n">
        <f aca="false">MAX(L86:L88)</f>
        <v>46419</v>
      </c>
      <c r="M85" s="22"/>
      <c r="N85" s="25" t="n">
        <f aca="false">SUMPRODUCT(($C$86:$C$88=3)*(N86:N88))</f>
        <v>0</v>
      </c>
      <c r="O85" s="25" t="n">
        <f aca="false">SUMPRODUCT(($C$86:$C$88=3)*(O86:O88))</f>
        <v>0</v>
      </c>
      <c r="P85" s="25" t="n">
        <f aca="false">SUMPRODUCT(($C$86:$C$88=3)*(P86:P88))</f>
        <v>2</v>
      </c>
      <c r="Q85" s="25" t="n">
        <f aca="false">SUMPRODUCT(($C$86:$C$88=3)*(Q86:Q88))</f>
        <v>0</v>
      </c>
      <c r="R85" s="25" t="n">
        <f aca="false">SUMPRODUCT(($C$86:$C$88=3)*(R86:R88))</f>
        <v>22</v>
      </c>
      <c r="S85" s="25" t="n">
        <f aca="false">SUMPRODUCT(($C$86:$C$88=3)*(S86:S88))</f>
        <v>0</v>
      </c>
      <c r="T85" s="25" t="n">
        <f aca="false">SUMPRODUCT(($C$86:$C$88=3)*(T86:T88))</f>
        <v>0</v>
      </c>
      <c r="U85" s="25" t="n">
        <f aca="false">SUMPRODUCT(($C$86:$C$88=3)*(U86:U88))</f>
        <v>0</v>
      </c>
      <c r="V85" s="25" t="n">
        <f aca="false">SUMPRODUCT(($C$86:$C$88=3)*(V86:V88))</f>
        <v>6</v>
      </c>
      <c r="W85" s="25" t="n">
        <f aca="false">SUMPRODUCT(($C$86:$C$88=3)*(W86:W88))</f>
        <v>0</v>
      </c>
      <c r="X85" s="25" t="n">
        <f aca="false">SUMPRODUCT(($C$86:$C$88=3)*(X86:X88))</f>
        <v>0</v>
      </c>
      <c r="Y85" s="25" t="n">
        <f aca="false">SUM(N85:X85)</f>
        <v>30</v>
      </c>
      <c r="Z85" s="25" t="n">
        <f aca="false">Y85*(1+Assumptions!$C$5)</f>
        <v>34.5</v>
      </c>
      <c r="AA85" s="22" t="s">
        <v>249</v>
      </c>
      <c r="AB85" s="22"/>
      <c r="AC85" s="22"/>
      <c r="AD85" s="26"/>
      <c r="AF85" s="21" t="n">
        <v>0</v>
      </c>
      <c r="AG85" s="21" t="n">
        <v>0</v>
      </c>
      <c r="AH85" s="21" t="n">
        <v>0</v>
      </c>
      <c r="AI85" s="21" t="n">
        <v>0</v>
      </c>
      <c r="AJ85" s="21" t="n">
        <v>0</v>
      </c>
      <c r="AK85" s="21" t="n">
        <v>0</v>
      </c>
      <c r="AL85" s="21" t="n">
        <v>0</v>
      </c>
      <c r="AM85" s="21" t="n">
        <v>0</v>
      </c>
      <c r="AN85" s="21" t="n">
        <v>0</v>
      </c>
      <c r="AO85" s="21" t="n">
        <v>0</v>
      </c>
      <c r="AP85" s="21" t="n">
        <v>0</v>
      </c>
      <c r="AQ85" s="21" t="n">
        <v>0</v>
      </c>
      <c r="AR85" s="21" t="n">
        <v>0</v>
      </c>
      <c r="AS85" s="21" t="n">
        <v>0</v>
      </c>
      <c r="AT85" s="21" t="n">
        <v>0</v>
      </c>
      <c r="AU85" s="21" t="n">
        <v>0</v>
      </c>
      <c r="AV85" s="21" t="n">
        <v>0</v>
      </c>
      <c r="AW85" s="21" t="n">
        <v>0</v>
      </c>
      <c r="AX85" s="21" t="n">
        <v>0</v>
      </c>
      <c r="AY85" s="21" t="n">
        <v>0</v>
      </c>
      <c r="AZ85" s="21" t="n">
        <v>0</v>
      </c>
      <c r="BA85" s="21" t="n">
        <v>0</v>
      </c>
      <c r="BB85" s="21" t="n">
        <v>0</v>
      </c>
      <c r="BC85" s="21" t="n">
        <v>0</v>
      </c>
    </row>
    <row r="86" customFormat="false" ht="15" hidden="false" customHeight="false" outlineLevel="2" collapsed="false">
      <c r="A86" s="27" t="n">
        <v>82</v>
      </c>
      <c r="B86" s="27" t="s">
        <v>250</v>
      </c>
      <c r="C86" s="27" t="n">
        <v>3</v>
      </c>
      <c r="D86" s="27" t="s">
        <v>92</v>
      </c>
      <c r="E86" s="28" t="s">
        <v>160</v>
      </c>
      <c r="F86" s="27" t="s">
        <v>154</v>
      </c>
      <c r="G86" s="27" t="s">
        <v>157</v>
      </c>
      <c r="H86" s="27" t="s">
        <v>45</v>
      </c>
      <c r="I86" s="29" t="n">
        <v>21</v>
      </c>
      <c r="J86" s="29" t="n">
        <v>9</v>
      </c>
      <c r="K86" s="30" t="n">
        <f aca="false">WORKDAY(Assumptions!$C$4,I86,Assumptions!$F$4:$F$44)</f>
        <v>46357</v>
      </c>
      <c r="L86" s="30" t="n">
        <f aca="false">IF(J86=0,K86,WORKDAY(K86,J86-1,Assumptions!$F$4:$F$44))</f>
        <v>46367</v>
      </c>
      <c r="M86" s="29" t="s">
        <v>161</v>
      </c>
      <c r="N86" s="31" t="n">
        <v>0</v>
      </c>
      <c r="O86" s="31" t="n">
        <v>0</v>
      </c>
      <c r="P86" s="31" t="n">
        <v>2</v>
      </c>
      <c r="Q86" s="31" t="n">
        <v>0</v>
      </c>
      <c r="R86" s="31" t="n">
        <v>0</v>
      </c>
      <c r="S86" s="31" t="n">
        <v>0</v>
      </c>
      <c r="T86" s="31" t="n">
        <v>0</v>
      </c>
      <c r="U86" s="31" t="n">
        <v>0</v>
      </c>
      <c r="V86" s="31" t="n">
        <v>0</v>
      </c>
      <c r="W86" s="31" t="n">
        <v>0</v>
      </c>
      <c r="X86" s="31" t="n">
        <v>0</v>
      </c>
      <c r="Y86" s="32" t="n">
        <f aca="false">SUM(N86:X86)</f>
        <v>2</v>
      </c>
      <c r="Z86" s="32" t="n">
        <f aca="false">Y86*(1+Assumptions!$C$5)</f>
        <v>2.3</v>
      </c>
      <c r="AA86" s="27" t="s">
        <v>162</v>
      </c>
      <c r="AB86" s="27" t="s">
        <v>95</v>
      </c>
      <c r="AC86" s="27"/>
      <c r="AD86" s="33" t="n">
        <v>0</v>
      </c>
      <c r="AF86" s="21" t="n">
        <f aca="false">IF($J86=0,0,MAX(0,NETWORKDAYS(MAX($K86,AF$4),MIN($L86,EOMONTH(AF$4,0)),Assumptions!$F$4:$F$44))/NETWORKDAYS($K86,$L86,Assumptions!$F$4:$F$44))</f>
        <v>0</v>
      </c>
      <c r="AG86" s="21" t="n">
        <f aca="false">IF($J86=0,0,MAX(0,NETWORKDAYS(MAX($K86,AG$4),MIN($L86,EOMONTH(AG$4,0)),Assumptions!$F$4:$F$44))/NETWORKDAYS($K86,$L86,Assumptions!$F$4:$F$44))</f>
        <v>1</v>
      </c>
      <c r="AH86" s="21" t="n">
        <f aca="false">IF($J86=0,0,MAX(0,NETWORKDAYS(MAX($K86,AH$4),MIN($L86,EOMONTH(AH$4,0)),Assumptions!$F$4:$F$44))/NETWORKDAYS($K86,$L86,Assumptions!$F$4:$F$44))</f>
        <v>0</v>
      </c>
      <c r="AI86" s="21" t="n">
        <f aca="false">IF($J86=0,0,MAX(0,NETWORKDAYS(MAX($K86,AI$4),MIN($L86,EOMONTH(AI$4,0)),Assumptions!$F$4:$F$44))/NETWORKDAYS($K86,$L86,Assumptions!$F$4:$F$44))</f>
        <v>0</v>
      </c>
      <c r="AJ86" s="21" t="n">
        <f aca="false">IF($J86=0,0,MAX(0,NETWORKDAYS(MAX($K86,AJ$4),MIN($L86,EOMONTH(AJ$4,0)),Assumptions!$F$4:$F$44))/NETWORKDAYS($K86,$L86,Assumptions!$F$4:$F$44))</f>
        <v>0</v>
      </c>
      <c r="AK86" s="21" t="n">
        <f aca="false">IF($J86=0,0,MAX(0,NETWORKDAYS(MAX($K86,AK$4),MIN($L86,EOMONTH(AK$4,0)),Assumptions!$F$4:$F$44))/NETWORKDAYS($K86,$L86,Assumptions!$F$4:$F$44))</f>
        <v>0</v>
      </c>
      <c r="AL86" s="21" t="n">
        <f aca="false">IF($J86=0,0,MAX(0,NETWORKDAYS(MAX($K86,AL$4),MIN($L86,EOMONTH(AL$4,0)),Assumptions!$F$4:$F$44))/NETWORKDAYS($K86,$L86,Assumptions!$F$4:$F$44))</f>
        <v>0</v>
      </c>
      <c r="AM86" s="21" t="n">
        <f aca="false">IF($J86=0,0,MAX(0,NETWORKDAYS(MAX($K86,AM$4),MIN($L86,EOMONTH(AM$4,0)),Assumptions!$F$4:$F$44))/NETWORKDAYS($K86,$L86,Assumptions!$F$4:$F$44))</f>
        <v>0</v>
      </c>
      <c r="AN86" s="21" t="n">
        <f aca="false">IF($J86=0,0,MAX(0,NETWORKDAYS(MAX($K86,AN$4),MIN($L86,EOMONTH(AN$4,0)),Assumptions!$F$4:$F$44))/NETWORKDAYS($K86,$L86,Assumptions!$F$4:$F$44))</f>
        <v>0</v>
      </c>
      <c r="AO86" s="21" t="n">
        <f aca="false">IF($J86=0,0,MAX(0,NETWORKDAYS(MAX($K86,AO$4),MIN($L86,EOMONTH(AO$4,0)),Assumptions!$F$4:$F$44))/NETWORKDAYS($K86,$L86,Assumptions!$F$4:$F$44))</f>
        <v>0</v>
      </c>
      <c r="AP86" s="21" t="n">
        <f aca="false">IF($J86=0,0,MAX(0,NETWORKDAYS(MAX($K86,AP$4),MIN($L86,EOMONTH(AP$4,0)),Assumptions!$F$4:$F$44))/NETWORKDAYS($K86,$L86,Assumptions!$F$4:$F$44))</f>
        <v>0</v>
      </c>
      <c r="AQ86" s="21" t="n">
        <f aca="false">IF($J86=0,0,MAX(0,NETWORKDAYS(MAX($K86,AQ$4),MIN($L86,EOMONTH(AQ$4,0)),Assumptions!$F$4:$F$44))/NETWORKDAYS($K86,$L86,Assumptions!$F$4:$F$44))</f>
        <v>0</v>
      </c>
      <c r="AR86" s="21" t="n">
        <f aca="false">IF($J86=0,0,MAX(0,NETWORKDAYS(MAX($K86,AR$4),MIN($L86,EOMONTH(AR$4,0)),Assumptions!$F$4:$F$44))/NETWORKDAYS($K86,$L86,Assumptions!$F$4:$F$44))</f>
        <v>0</v>
      </c>
      <c r="AS86" s="21" t="n">
        <f aca="false">IF($J86=0,0,MAX(0,NETWORKDAYS(MAX($K86,AS$4),MIN($L86,EOMONTH(AS$4,0)),Assumptions!$F$4:$F$44))/NETWORKDAYS($K86,$L86,Assumptions!$F$4:$F$44))</f>
        <v>0</v>
      </c>
      <c r="AT86" s="21" t="n">
        <f aca="false">IF($J86=0,0,MAX(0,NETWORKDAYS(MAX($K86,AT$4),MIN($L86,EOMONTH(AT$4,0)),Assumptions!$F$4:$F$44))/NETWORKDAYS($K86,$L86,Assumptions!$F$4:$F$44))</f>
        <v>0</v>
      </c>
      <c r="AU86" s="21" t="n">
        <f aca="false">IF($J86=0,0,MAX(0,NETWORKDAYS(MAX($K86,AU$4),MIN($L86,EOMONTH(AU$4,0)),Assumptions!$F$4:$F$44))/NETWORKDAYS($K86,$L86,Assumptions!$F$4:$F$44))</f>
        <v>0</v>
      </c>
      <c r="AV86" s="21" t="n">
        <f aca="false">IF($J86=0,0,MAX(0,NETWORKDAYS(MAX($K86,AV$4),MIN($L86,EOMONTH(AV$4,0)),Assumptions!$F$4:$F$44))/NETWORKDAYS($K86,$L86,Assumptions!$F$4:$F$44))</f>
        <v>0</v>
      </c>
      <c r="AW86" s="21" t="n">
        <f aca="false">IF($J86=0,0,MAX(0,NETWORKDAYS(MAX($K86,AW$4),MIN($L86,EOMONTH(AW$4,0)),Assumptions!$F$4:$F$44))/NETWORKDAYS($K86,$L86,Assumptions!$F$4:$F$44))</f>
        <v>0</v>
      </c>
      <c r="AX86" s="21" t="n">
        <f aca="false">IF($J86=0,0,MAX(0,NETWORKDAYS(MAX($K86,AX$4),MIN($L86,EOMONTH(AX$4,0)),Assumptions!$F$4:$F$44))/NETWORKDAYS($K86,$L86,Assumptions!$F$4:$F$44))</f>
        <v>0</v>
      </c>
      <c r="AY86" s="21" t="n">
        <f aca="false">IF($J86=0,0,MAX(0,NETWORKDAYS(MAX($K86,AY$4),MIN($L86,EOMONTH(AY$4,0)),Assumptions!$F$4:$F$44))/NETWORKDAYS($K86,$L86,Assumptions!$F$4:$F$44))</f>
        <v>0</v>
      </c>
      <c r="AZ86" s="21" t="n">
        <f aca="false">IF($J86=0,0,MAX(0,NETWORKDAYS(MAX($K86,AZ$4),MIN($L86,EOMONTH(AZ$4,0)),Assumptions!$F$4:$F$44))/NETWORKDAYS($K86,$L86,Assumptions!$F$4:$F$44))</f>
        <v>0</v>
      </c>
      <c r="BA86" s="21" t="n">
        <f aca="false">IF($J86=0,0,MAX(0,NETWORKDAYS(MAX($K86,BA$4),MIN($L86,EOMONTH(BA$4,0)),Assumptions!$F$4:$F$44))/NETWORKDAYS($K86,$L86,Assumptions!$F$4:$F$44))</f>
        <v>0</v>
      </c>
      <c r="BB86" s="21" t="n">
        <f aca="false">IF($J86=0,0,MAX(0,NETWORKDAYS(MAX($K86,BB$4),MIN($L86,EOMONTH(BB$4,0)),Assumptions!$F$4:$F$44))/NETWORKDAYS($K86,$L86,Assumptions!$F$4:$F$44))</f>
        <v>0</v>
      </c>
      <c r="BC86" s="21" t="n">
        <f aca="false">IF($J86=0,0,MAX(0,NETWORKDAYS(MAX($K86,BC$4),MIN($L86,EOMONTH(BC$4,0)),Assumptions!$F$4:$F$44))/NETWORKDAYS($K86,$L86,Assumptions!$F$4:$F$44))</f>
        <v>0</v>
      </c>
    </row>
    <row r="87" customFormat="false" ht="15" hidden="false" customHeight="false" outlineLevel="2" collapsed="false">
      <c r="A87" s="27" t="n">
        <v>83</v>
      </c>
      <c r="B87" s="27" t="s">
        <v>251</v>
      </c>
      <c r="C87" s="27" t="n">
        <v>3</v>
      </c>
      <c r="D87" s="27" t="s">
        <v>92</v>
      </c>
      <c r="E87" s="28" t="s">
        <v>164</v>
      </c>
      <c r="F87" s="27" t="s">
        <v>154</v>
      </c>
      <c r="G87" s="27" t="s">
        <v>157</v>
      </c>
      <c r="H87" s="27" t="s">
        <v>49</v>
      </c>
      <c r="I87" s="29" t="n">
        <v>30</v>
      </c>
      <c r="J87" s="29" t="n">
        <v>27</v>
      </c>
      <c r="K87" s="30" t="n">
        <f aca="false">WORKDAY(Assumptions!$C$4,I87,Assumptions!$F$4:$F$44)</f>
        <v>46370</v>
      </c>
      <c r="L87" s="30" t="n">
        <f aca="false">IF(J87=0,K87,WORKDAY(K87,J87-1,Assumptions!$F$4:$F$44))</f>
        <v>46406</v>
      </c>
      <c r="M87" s="29"/>
      <c r="N87" s="31" t="n">
        <v>0</v>
      </c>
      <c r="O87" s="31" t="n">
        <v>0</v>
      </c>
      <c r="P87" s="31" t="n">
        <v>0</v>
      </c>
      <c r="Q87" s="31" t="n">
        <v>0</v>
      </c>
      <c r="R87" s="31" t="n">
        <v>22</v>
      </c>
      <c r="S87" s="31" t="n">
        <v>0</v>
      </c>
      <c r="T87" s="31" t="n">
        <v>0</v>
      </c>
      <c r="U87" s="31" t="n">
        <v>0</v>
      </c>
      <c r="V87" s="31" t="n">
        <v>0</v>
      </c>
      <c r="W87" s="31" t="n">
        <v>0</v>
      </c>
      <c r="X87" s="31" t="n">
        <v>0</v>
      </c>
      <c r="Y87" s="32" t="n">
        <f aca="false">SUM(N87:X87)</f>
        <v>22</v>
      </c>
      <c r="Z87" s="32" t="n">
        <f aca="false">Y87*(1+Assumptions!$C$5)</f>
        <v>25.3</v>
      </c>
      <c r="AA87" s="27" t="s">
        <v>165</v>
      </c>
      <c r="AB87" s="27" t="s">
        <v>95</v>
      </c>
      <c r="AC87" s="27"/>
      <c r="AD87" s="33" t="n">
        <v>0</v>
      </c>
      <c r="AF87" s="21" t="n">
        <f aca="false">IF($J87=0,0,MAX(0,NETWORKDAYS(MAX($K87,AF$4),MIN($L87,EOMONTH(AF$4,0)),Assumptions!$F$4:$F$44))/NETWORKDAYS($K87,$L87,Assumptions!$F$4:$F$44))</f>
        <v>0</v>
      </c>
      <c r="AG87" s="21" t="n">
        <f aca="false">IF($J87=0,0,MAX(0,NETWORKDAYS(MAX($K87,AG$4),MIN($L87,EOMONTH(AG$4,0)),Assumptions!$F$4:$F$44))/NETWORKDAYS($K87,$L87,Assumptions!$F$4:$F$44))</f>
        <v>0.518518518518519</v>
      </c>
      <c r="AH87" s="21" t="n">
        <f aca="false">IF($J87=0,0,MAX(0,NETWORKDAYS(MAX($K87,AH$4),MIN($L87,EOMONTH(AH$4,0)),Assumptions!$F$4:$F$44))/NETWORKDAYS($K87,$L87,Assumptions!$F$4:$F$44))</f>
        <v>0.481481481481481</v>
      </c>
      <c r="AI87" s="21" t="n">
        <f aca="false">IF($J87=0,0,MAX(0,NETWORKDAYS(MAX($K87,AI$4),MIN($L87,EOMONTH(AI$4,0)),Assumptions!$F$4:$F$44))/NETWORKDAYS($K87,$L87,Assumptions!$F$4:$F$44))</f>
        <v>0</v>
      </c>
      <c r="AJ87" s="21" t="n">
        <f aca="false">IF($J87=0,0,MAX(0,NETWORKDAYS(MAX($K87,AJ$4),MIN($L87,EOMONTH(AJ$4,0)),Assumptions!$F$4:$F$44))/NETWORKDAYS($K87,$L87,Assumptions!$F$4:$F$44))</f>
        <v>0</v>
      </c>
      <c r="AK87" s="21" t="n">
        <f aca="false">IF($J87=0,0,MAX(0,NETWORKDAYS(MAX($K87,AK$4),MIN($L87,EOMONTH(AK$4,0)),Assumptions!$F$4:$F$44))/NETWORKDAYS($K87,$L87,Assumptions!$F$4:$F$44))</f>
        <v>0</v>
      </c>
      <c r="AL87" s="21" t="n">
        <f aca="false">IF($J87=0,0,MAX(0,NETWORKDAYS(MAX($K87,AL$4),MIN($L87,EOMONTH(AL$4,0)),Assumptions!$F$4:$F$44))/NETWORKDAYS($K87,$L87,Assumptions!$F$4:$F$44))</f>
        <v>0</v>
      </c>
      <c r="AM87" s="21" t="n">
        <f aca="false">IF($J87=0,0,MAX(0,NETWORKDAYS(MAX($K87,AM$4),MIN($L87,EOMONTH(AM$4,0)),Assumptions!$F$4:$F$44))/NETWORKDAYS($K87,$L87,Assumptions!$F$4:$F$44))</f>
        <v>0</v>
      </c>
      <c r="AN87" s="21" t="n">
        <f aca="false">IF($J87=0,0,MAX(0,NETWORKDAYS(MAX($K87,AN$4),MIN($L87,EOMONTH(AN$4,0)),Assumptions!$F$4:$F$44))/NETWORKDAYS($K87,$L87,Assumptions!$F$4:$F$44))</f>
        <v>0</v>
      </c>
      <c r="AO87" s="21" t="n">
        <f aca="false">IF($J87=0,0,MAX(0,NETWORKDAYS(MAX($K87,AO$4),MIN($L87,EOMONTH(AO$4,0)),Assumptions!$F$4:$F$44))/NETWORKDAYS($K87,$L87,Assumptions!$F$4:$F$44))</f>
        <v>0</v>
      </c>
      <c r="AP87" s="21" t="n">
        <f aca="false">IF($J87=0,0,MAX(0,NETWORKDAYS(MAX($K87,AP$4),MIN($L87,EOMONTH(AP$4,0)),Assumptions!$F$4:$F$44))/NETWORKDAYS($K87,$L87,Assumptions!$F$4:$F$44))</f>
        <v>0</v>
      </c>
      <c r="AQ87" s="21" t="n">
        <f aca="false">IF($J87=0,0,MAX(0,NETWORKDAYS(MAX($K87,AQ$4),MIN($L87,EOMONTH(AQ$4,0)),Assumptions!$F$4:$F$44))/NETWORKDAYS($K87,$L87,Assumptions!$F$4:$F$44))</f>
        <v>0</v>
      </c>
      <c r="AR87" s="21" t="n">
        <f aca="false">IF($J87=0,0,MAX(0,NETWORKDAYS(MAX($K87,AR$4),MIN($L87,EOMONTH(AR$4,0)),Assumptions!$F$4:$F$44))/NETWORKDAYS($K87,$L87,Assumptions!$F$4:$F$44))</f>
        <v>0</v>
      </c>
      <c r="AS87" s="21" t="n">
        <f aca="false">IF($J87=0,0,MAX(0,NETWORKDAYS(MAX($K87,AS$4),MIN($L87,EOMONTH(AS$4,0)),Assumptions!$F$4:$F$44))/NETWORKDAYS($K87,$L87,Assumptions!$F$4:$F$44))</f>
        <v>0</v>
      </c>
      <c r="AT87" s="21" t="n">
        <f aca="false">IF($J87=0,0,MAX(0,NETWORKDAYS(MAX($K87,AT$4),MIN($L87,EOMONTH(AT$4,0)),Assumptions!$F$4:$F$44))/NETWORKDAYS($K87,$L87,Assumptions!$F$4:$F$44))</f>
        <v>0</v>
      </c>
      <c r="AU87" s="21" t="n">
        <f aca="false">IF($J87=0,0,MAX(0,NETWORKDAYS(MAX($K87,AU$4),MIN($L87,EOMONTH(AU$4,0)),Assumptions!$F$4:$F$44))/NETWORKDAYS($K87,$L87,Assumptions!$F$4:$F$44))</f>
        <v>0</v>
      </c>
      <c r="AV87" s="21" t="n">
        <f aca="false">IF($J87=0,0,MAX(0,NETWORKDAYS(MAX($K87,AV$4),MIN($L87,EOMONTH(AV$4,0)),Assumptions!$F$4:$F$44))/NETWORKDAYS($K87,$L87,Assumptions!$F$4:$F$44))</f>
        <v>0</v>
      </c>
      <c r="AW87" s="21" t="n">
        <f aca="false">IF($J87=0,0,MAX(0,NETWORKDAYS(MAX($K87,AW$4),MIN($L87,EOMONTH(AW$4,0)),Assumptions!$F$4:$F$44))/NETWORKDAYS($K87,$L87,Assumptions!$F$4:$F$44))</f>
        <v>0</v>
      </c>
      <c r="AX87" s="21" t="n">
        <f aca="false">IF($J87=0,0,MAX(0,NETWORKDAYS(MAX($K87,AX$4),MIN($L87,EOMONTH(AX$4,0)),Assumptions!$F$4:$F$44))/NETWORKDAYS($K87,$L87,Assumptions!$F$4:$F$44))</f>
        <v>0</v>
      </c>
      <c r="AY87" s="21" t="n">
        <f aca="false">IF($J87=0,0,MAX(0,NETWORKDAYS(MAX($K87,AY$4),MIN($L87,EOMONTH(AY$4,0)),Assumptions!$F$4:$F$44))/NETWORKDAYS($K87,$L87,Assumptions!$F$4:$F$44))</f>
        <v>0</v>
      </c>
      <c r="AZ87" s="21" t="n">
        <f aca="false">IF($J87=0,0,MAX(0,NETWORKDAYS(MAX($K87,AZ$4),MIN($L87,EOMONTH(AZ$4,0)),Assumptions!$F$4:$F$44))/NETWORKDAYS($K87,$L87,Assumptions!$F$4:$F$44))</f>
        <v>0</v>
      </c>
      <c r="BA87" s="21" t="n">
        <f aca="false">IF($J87=0,0,MAX(0,NETWORKDAYS(MAX($K87,BA$4),MIN($L87,EOMONTH(BA$4,0)),Assumptions!$F$4:$F$44))/NETWORKDAYS($K87,$L87,Assumptions!$F$4:$F$44))</f>
        <v>0</v>
      </c>
      <c r="BB87" s="21" t="n">
        <f aca="false">IF($J87=0,0,MAX(0,NETWORKDAYS(MAX($K87,BB$4),MIN($L87,EOMONTH(BB$4,0)),Assumptions!$F$4:$F$44))/NETWORKDAYS($K87,$L87,Assumptions!$F$4:$F$44))</f>
        <v>0</v>
      </c>
      <c r="BC87" s="21" t="n">
        <f aca="false">IF($J87=0,0,MAX(0,NETWORKDAYS(MAX($K87,BC$4),MIN($L87,EOMONTH(BC$4,0)),Assumptions!$F$4:$F$44))/NETWORKDAYS($K87,$L87,Assumptions!$F$4:$F$44))</f>
        <v>0</v>
      </c>
    </row>
    <row r="88" customFormat="false" ht="15" hidden="false" customHeight="false" outlineLevel="2" collapsed="false">
      <c r="A88" s="27" t="n">
        <v>84</v>
      </c>
      <c r="B88" s="27" t="s">
        <v>252</v>
      </c>
      <c r="C88" s="27" t="n">
        <v>3</v>
      </c>
      <c r="D88" s="27" t="s">
        <v>92</v>
      </c>
      <c r="E88" s="28" t="s">
        <v>167</v>
      </c>
      <c r="F88" s="27" t="s">
        <v>154</v>
      </c>
      <c r="G88" s="27" t="s">
        <v>157</v>
      </c>
      <c r="H88" s="27" t="s">
        <v>57</v>
      </c>
      <c r="I88" s="29" t="n">
        <v>55</v>
      </c>
      <c r="J88" s="29" t="n">
        <v>11</v>
      </c>
      <c r="K88" s="30" t="n">
        <f aca="false">WORKDAY(Assumptions!$C$4,I88,Assumptions!$F$4:$F$44)</f>
        <v>46405</v>
      </c>
      <c r="L88" s="30" t="n">
        <f aca="false">IF(J88=0,K88,WORKDAY(K88,J88-1,Assumptions!$F$4:$F$44))</f>
        <v>46419</v>
      </c>
      <c r="M88" s="29"/>
      <c r="N88" s="31" t="n">
        <v>0</v>
      </c>
      <c r="O88" s="31" t="n">
        <v>0</v>
      </c>
      <c r="P88" s="31" t="n">
        <v>0</v>
      </c>
      <c r="Q88" s="31" t="n">
        <v>0</v>
      </c>
      <c r="R88" s="31" t="n">
        <v>0</v>
      </c>
      <c r="S88" s="31" t="n">
        <v>0</v>
      </c>
      <c r="T88" s="31" t="n">
        <v>0</v>
      </c>
      <c r="U88" s="31" t="n">
        <v>0</v>
      </c>
      <c r="V88" s="31" t="n">
        <v>6</v>
      </c>
      <c r="W88" s="31" t="n">
        <v>0</v>
      </c>
      <c r="X88" s="31" t="n">
        <v>0</v>
      </c>
      <c r="Y88" s="32" t="n">
        <f aca="false">SUM(N88:X88)</f>
        <v>6</v>
      </c>
      <c r="Z88" s="32" t="n">
        <f aca="false">Y88*(1+Assumptions!$C$5)</f>
        <v>6.9</v>
      </c>
      <c r="AA88" s="27" t="s">
        <v>168</v>
      </c>
      <c r="AB88" s="27" t="s">
        <v>95</v>
      </c>
      <c r="AC88" s="27"/>
      <c r="AD88" s="33" t="n">
        <v>0</v>
      </c>
      <c r="AF88" s="21" t="n">
        <f aca="false">IF($J88=0,0,MAX(0,NETWORKDAYS(MAX($K88,AF$4),MIN($L88,EOMONTH(AF$4,0)),Assumptions!$F$4:$F$44))/NETWORKDAYS($K88,$L88,Assumptions!$F$4:$F$44))</f>
        <v>0</v>
      </c>
      <c r="AG88" s="21" t="n">
        <f aca="false">IF($J88=0,0,MAX(0,NETWORKDAYS(MAX($K88,AG$4),MIN($L88,EOMONTH(AG$4,0)),Assumptions!$F$4:$F$44))/NETWORKDAYS($K88,$L88,Assumptions!$F$4:$F$44))</f>
        <v>0</v>
      </c>
      <c r="AH88" s="21" t="n">
        <f aca="false">IF($J88=0,0,MAX(0,NETWORKDAYS(MAX($K88,AH$4),MIN($L88,EOMONTH(AH$4,0)),Assumptions!$F$4:$F$44))/NETWORKDAYS($K88,$L88,Assumptions!$F$4:$F$44))</f>
        <v>0.909090909090909</v>
      </c>
      <c r="AI88" s="21" t="n">
        <f aca="false">IF($J88=0,0,MAX(0,NETWORKDAYS(MAX($K88,AI$4),MIN($L88,EOMONTH(AI$4,0)),Assumptions!$F$4:$F$44))/NETWORKDAYS($K88,$L88,Assumptions!$F$4:$F$44))</f>
        <v>0.0909090909090909</v>
      </c>
      <c r="AJ88" s="21" t="n">
        <f aca="false">IF($J88=0,0,MAX(0,NETWORKDAYS(MAX($K88,AJ$4),MIN($L88,EOMONTH(AJ$4,0)),Assumptions!$F$4:$F$44))/NETWORKDAYS($K88,$L88,Assumptions!$F$4:$F$44))</f>
        <v>0</v>
      </c>
      <c r="AK88" s="21" t="n">
        <f aca="false">IF($J88=0,0,MAX(0,NETWORKDAYS(MAX($K88,AK$4),MIN($L88,EOMONTH(AK$4,0)),Assumptions!$F$4:$F$44))/NETWORKDAYS($K88,$L88,Assumptions!$F$4:$F$44))</f>
        <v>0</v>
      </c>
      <c r="AL88" s="21" t="n">
        <f aca="false">IF($J88=0,0,MAX(0,NETWORKDAYS(MAX($K88,AL$4),MIN($L88,EOMONTH(AL$4,0)),Assumptions!$F$4:$F$44))/NETWORKDAYS($K88,$L88,Assumptions!$F$4:$F$44))</f>
        <v>0</v>
      </c>
      <c r="AM88" s="21" t="n">
        <f aca="false">IF($J88=0,0,MAX(0,NETWORKDAYS(MAX($K88,AM$4),MIN($L88,EOMONTH(AM$4,0)),Assumptions!$F$4:$F$44))/NETWORKDAYS($K88,$L88,Assumptions!$F$4:$F$44))</f>
        <v>0</v>
      </c>
      <c r="AN88" s="21" t="n">
        <f aca="false">IF($J88=0,0,MAX(0,NETWORKDAYS(MAX($K88,AN$4),MIN($L88,EOMONTH(AN$4,0)),Assumptions!$F$4:$F$44))/NETWORKDAYS($K88,$L88,Assumptions!$F$4:$F$44))</f>
        <v>0</v>
      </c>
      <c r="AO88" s="21" t="n">
        <f aca="false">IF($J88=0,0,MAX(0,NETWORKDAYS(MAX($K88,AO$4),MIN($L88,EOMONTH(AO$4,0)),Assumptions!$F$4:$F$44))/NETWORKDAYS($K88,$L88,Assumptions!$F$4:$F$44))</f>
        <v>0</v>
      </c>
      <c r="AP88" s="21" t="n">
        <f aca="false">IF($J88=0,0,MAX(0,NETWORKDAYS(MAX($K88,AP$4),MIN($L88,EOMONTH(AP$4,0)),Assumptions!$F$4:$F$44))/NETWORKDAYS($K88,$L88,Assumptions!$F$4:$F$44))</f>
        <v>0</v>
      </c>
      <c r="AQ88" s="21" t="n">
        <f aca="false">IF($J88=0,0,MAX(0,NETWORKDAYS(MAX($K88,AQ$4),MIN($L88,EOMONTH(AQ$4,0)),Assumptions!$F$4:$F$44))/NETWORKDAYS($K88,$L88,Assumptions!$F$4:$F$44))</f>
        <v>0</v>
      </c>
      <c r="AR88" s="21" t="n">
        <f aca="false">IF($J88=0,0,MAX(0,NETWORKDAYS(MAX($K88,AR$4),MIN($L88,EOMONTH(AR$4,0)),Assumptions!$F$4:$F$44))/NETWORKDAYS($K88,$L88,Assumptions!$F$4:$F$44))</f>
        <v>0</v>
      </c>
      <c r="AS88" s="21" t="n">
        <f aca="false">IF($J88=0,0,MAX(0,NETWORKDAYS(MAX($K88,AS$4),MIN($L88,EOMONTH(AS$4,0)),Assumptions!$F$4:$F$44))/NETWORKDAYS($K88,$L88,Assumptions!$F$4:$F$44))</f>
        <v>0</v>
      </c>
      <c r="AT88" s="21" t="n">
        <f aca="false">IF($J88=0,0,MAX(0,NETWORKDAYS(MAX($K88,AT$4),MIN($L88,EOMONTH(AT$4,0)),Assumptions!$F$4:$F$44))/NETWORKDAYS($K88,$L88,Assumptions!$F$4:$F$44))</f>
        <v>0</v>
      </c>
      <c r="AU88" s="21" t="n">
        <f aca="false">IF($J88=0,0,MAX(0,NETWORKDAYS(MAX($K88,AU$4),MIN($L88,EOMONTH(AU$4,0)),Assumptions!$F$4:$F$44))/NETWORKDAYS($K88,$L88,Assumptions!$F$4:$F$44))</f>
        <v>0</v>
      </c>
      <c r="AV88" s="21" t="n">
        <f aca="false">IF($J88=0,0,MAX(0,NETWORKDAYS(MAX($K88,AV$4),MIN($L88,EOMONTH(AV$4,0)),Assumptions!$F$4:$F$44))/NETWORKDAYS($K88,$L88,Assumptions!$F$4:$F$44))</f>
        <v>0</v>
      </c>
      <c r="AW88" s="21" t="n">
        <f aca="false">IF($J88=0,0,MAX(0,NETWORKDAYS(MAX($K88,AW$4),MIN($L88,EOMONTH(AW$4,0)),Assumptions!$F$4:$F$44))/NETWORKDAYS($K88,$L88,Assumptions!$F$4:$F$44))</f>
        <v>0</v>
      </c>
      <c r="AX88" s="21" t="n">
        <f aca="false">IF($J88=0,0,MAX(0,NETWORKDAYS(MAX($K88,AX$4),MIN($L88,EOMONTH(AX$4,0)),Assumptions!$F$4:$F$44))/NETWORKDAYS($K88,$L88,Assumptions!$F$4:$F$44))</f>
        <v>0</v>
      </c>
      <c r="AY88" s="21" t="n">
        <f aca="false">IF($J88=0,0,MAX(0,NETWORKDAYS(MAX($K88,AY$4),MIN($L88,EOMONTH(AY$4,0)),Assumptions!$F$4:$F$44))/NETWORKDAYS($K88,$L88,Assumptions!$F$4:$F$44))</f>
        <v>0</v>
      </c>
      <c r="AZ88" s="21" t="n">
        <f aca="false">IF($J88=0,0,MAX(0,NETWORKDAYS(MAX($K88,AZ$4),MIN($L88,EOMONTH(AZ$4,0)),Assumptions!$F$4:$F$44))/NETWORKDAYS($K88,$L88,Assumptions!$F$4:$F$44))</f>
        <v>0</v>
      </c>
      <c r="BA88" s="21" t="n">
        <f aca="false">IF($J88=0,0,MAX(0,NETWORKDAYS(MAX($K88,BA$4),MIN($L88,EOMONTH(BA$4,0)),Assumptions!$F$4:$F$44))/NETWORKDAYS($K88,$L88,Assumptions!$F$4:$F$44))</f>
        <v>0</v>
      </c>
      <c r="BB88" s="21" t="n">
        <f aca="false">IF($J88=0,0,MAX(0,NETWORKDAYS(MAX($K88,BB$4),MIN($L88,EOMONTH(BB$4,0)),Assumptions!$F$4:$F$44))/NETWORKDAYS($K88,$L88,Assumptions!$F$4:$F$44))</f>
        <v>0</v>
      </c>
      <c r="BC88" s="21" t="n">
        <f aca="false">IF($J88=0,0,MAX(0,NETWORKDAYS(MAX($K88,BC$4),MIN($L88,EOMONTH(BC$4,0)),Assumptions!$F$4:$F$44))/NETWORKDAYS($K88,$L88,Assumptions!$F$4:$F$44))</f>
        <v>0</v>
      </c>
    </row>
    <row r="89" customFormat="false" ht="15" hidden="false" customHeight="false" outlineLevel="1" collapsed="false">
      <c r="A89" s="22" t="n">
        <v>85</v>
      </c>
      <c r="B89" s="22" t="s">
        <v>253</v>
      </c>
      <c r="C89" s="22" t="n">
        <v>2</v>
      </c>
      <c r="D89" s="22" t="s">
        <v>89</v>
      </c>
      <c r="E89" s="23" t="s">
        <v>254</v>
      </c>
      <c r="F89" s="22" t="s">
        <v>154</v>
      </c>
      <c r="G89" s="22" t="s">
        <v>157</v>
      </c>
      <c r="H89" s="22"/>
      <c r="I89" s="22"/>
      <c r="J89" s="22" t="n">
        <f aca="false">NETWORKDAYS(K89,L89,Assumptions!$F$4:$F$44)</f>
        <v>51</v>
      </c>
      <c r="K89" s="24" t="n">
        <f aca="false">MIN(K90:K92)</f>
        <v>46365</v>
      </c>
      <c r="L89" s="24" t="n">
        <f aca="false">MAX(L90:L92)</f>
        <v>46435</v>
      </c>
      <c r="M89" s="22"/>
      <c r="N89" s="25" t="n">
        <f aca="false">SUMPRODUCT(($C$90:$C$92=3)*(N90:N92))</f>
        <v>0</v>
      </c>
      <c r="O89" s="25" t="n">
        <f aca="false">SUMPRODUCT(($C$90:$C$92=3)*(O90:O92))</f>
        <v>0</v>
      </c>
      <c r="P89" s="25" t="n">
        <f aca="false">SUMPRODUCT(($C$90:$C$92=3)*(P90:P92))</f>
        <v>2</v>
      </c>
      <c r="Q89" s="25" t="n">
        <f aca="false">SUMPRODUCT(($C$90:$C$92=3)*(Q90:Q92))</f>
        <v>13</v>
      </c>
      <c r="R89" s="25" t="n">
        <f aca="false">SUMPRODUCT(($C$90:$C$92=3)*(R90:R92))</f>
        <v>0</v>
      </c>
      <c r="S89" s="25" t="n">
        <f aca="false">SUMPRODUCT(($C$90:$C$92=3)*(S90:S92))</f>
        <v>27</v>
      </c>
      <c r="T89" s="25" t="n">
        <f aca="false">SUMPRODUCT(($C$90:$C$92=3)*(T90:T92))</f>
        <v>0</v>
      </c>
      <c r="U89" s="25" t="n">
        <f aca="false">SUMPRODUCT(($C$90:$C$92=3)*(U90:U92))</f>
        <v>0</v>
      </c>
      <c r="V89" s="25" t="n">
        <f aca="false">SUMPRODUCT(($C$90:$C$92=3)*(V90:V92))</f>
        <v>8</v>
      </c>
      <c r="W89" s="25" t="n">
        <f aca="false">SUMPRODUCT(($C$90:$C$92=3)*(W90:W92))</f>
        <v>0</v>
      </c>
      <c r="X89" s="25" t="n">
        <f aca="false">SUMPRODUCT(($C$90:$C$92=3)*(X90:X92))</f>
        <v>0</v>
      </c>
      <c r="Y89" s="25" t="n">
        <f aca="false">SUM(N89:X89)</f>
        <v>50</v>
      </c>
      <c r="Z89" s="25" t="n">
        <f aca="false">Y89*(1+Assumptions!$C$5)</f>
        <v>57.5</v>
      </c>
      <c r="AA89" s="22" t="s">
        <v>255</v>
      </c>
      <c r="AB89" s="22"/>
      <c r="AC89" s="22"/>
      <c r="AD89" s="26"/>
      <c r="AF89" s="21" t="n">
        <v>0</v>
      </c>
      <c r="AG89" s="21" t="n">
        <v>0</v>
      </c>
      <c r="AH89" s="21" t="n">
        <v>0</v>
      </c>
      <c r="AI89" s="21" t="n">
        <v>0</v>
      </c>
      <c r="AJ89" s="21" t="n">
        <v>0</v>
      </c>
      <c r="AK89" s="21" t="n">
        <v>0</v>
      </c>
      <c r="AL89" s="21" t="n">
        <v>0</v>
      </c>
      <c r="AM89" s="21" t="n">
        <v>0</v>
      </c>
      <c r="AN89" s="21" t="n">
        <v>0</v>
      </c>
      <c r="AO89" s="21" t="n">
        <v>0</v>
      </c>
      <c r="AP89" s="21" t="n">
        <v>0</v>
      </c>
      <c r="AQ89" s="21" t="n">
        <v>0</v>
      </c>
      <c r="AR89" s="21" t="n">
        <v>0</v>
      </c>
      <c r="AS89" s="21" t="n">
        <v>0</v>
      </c>
      <c r="AT89" s="21" t="n">
        <v>0</v>
      </c>
      <c r="AU89" s="21" t="n">
        <v>0</v>
      </c>
      <c r="AV89" s="21" t="n">
        <v>0</v>
      </c>
      <c r="AW89" s="21" t="n">
        <v>0</v>
      </c>
      <c r="AX89" s="21" t="n">
        <v>0</v>
      </c>
      <c r="AY89" s="21" t="n">
        <v>0</v>
      </c>
      <c r="AZ89" s="21" t="n">
        <v>0</v>
      </c>
      <c r="BA89" s="21" t="n">
        <v>0</v>
      </c>
      <c r="BB89" s="21" t="n">
        <v>0</v>
      </c>
      <c r="BC89" s="21" t="n">
        <v>0</v>
      </c>
    </row>
    <row r="90" customFormat="false" ht="15" hidden="false" customHeight="false" outlineLevel="2" collapsed="false">
      <c r="A90" s="27" t="n">
        <v>86</v>
      </c>
      <c r="B90" s="27" t="s">
        <v>256</v>
      </c>
      <c r="C90" s="27" t="n">
        <v>3</v>
      </c>
      <c r="D90" s="27" t="s">
        <v>92</v>
      </c>
      <c r="E90" s="28" t="s">
        <v>160</v>
      </c>
      <c r="F90" s="27" t="s">
        <v>154</v>
      </c>
      <c r="G90" s="27" t="s">
        <v>157</v>
      </c>
      <c r="H90" s="27" t="s">
        <v>45</v>
      </c>
      <c r="I90" s="29" t="n">
        <v>27</v>
      </c>
      <c r="J90" s="29" t="n">
        <v>10</v>
      </c>
      <c r="K90" s="30" t="n">
        <f aca="false">WORKDAY(Assumptions!$C$4,I90,Assumptions!$F$4:$F$44)</f>
        <v>46365</v>
      </c>
      <c r="L90" s="30" t="n">
        <f aca="false">IF(J90=0,K90,WORKDAY(K90,J90-1,Assumptions!$F$4:$F$44))</f>
        <v>46378</v>
      </c>
      <c r="M90" s="29" t="s">
        <v>161</v>
      </c>
      <c r="N90" s="31" t="n">
        <v>0</v>
      </c>
      <c r="O90" s="31" t="n">
        <v>0</v>
      </c>
      <c r="P90" s="31" t="n">
        <v>2</v>
      </c>
      <c r="Q90" s="31" t="n">
        <v>1</v>
      </c>
      <c r="R90" s="31" t="n">
        <v>0</v>
      </c>
      <c r="S90" s="31" t="n">
        <v>0</v>
      </c>
      <c r="T90" s="31" t="n">
        <v>0</v>
      </c>
      <c r="U90" s="31" t="n">
        <v>0</v>
      </c>
      <c r="V90" s="31" t="n">
        <v>0</v>
      </c>
      <c r="W90" s="31" t="n">
        <v>0</v>
      </c>
      <c r="X90" s="31" t="n">
        <v>0</v>
      </c>
      <c r="Y90" s="32" t="n">
        <f aca="false">SUM(N90:X90)</f>
        <v>3</v>
      </c>
      <c r="Z90" s="32" t="n">
        <f aca="false">Y90*(1+Assumptions!$C$5)</f>
        <v>3.45</v>
      </c>
      <c r="AA90" s="27" t="s">
        <v>162</v>
      </c>
      <c r="AB90" s="27" t="s">
        <v>95</v>
      </c>
      <c r="AC90" s="27"/>
      <c r="AD90" s="33" t="n">
        <v>0</v>
      </c>
      <c r="AF90" s="21" t="n">
        <f aca="false">IF($J90=0,0,MAX(0,NETWORKDAYS(MAX($K90,AF$4),MIN($L90,EOMONTH(AF$4,0)),Assumptions!$F$4:$F$44))/NETWORKDAYS($K90,$L90,Assumptions!$F$4:$F$44))</f>
        <v>0</v>
      </c>
      <c r="AG90" s="21" t="n">
        <f aca="false">IF($J90=0,0,MAX(0,NETWORKDAYS(MAX($K90,AG$4),MIN($L90,EOMONTH(AG$4,0)),Assumptions!$F$4:$F$44))/NETWORKDAYS($K90,$L90,Assumptions!$F$4:$F$44))</f>
        <v>1</v>
      </c>
      <c r="AH90" s="21" t="n">
        <f aca="false">IF($J90=0,0,MAX(0,NETWORKDAYS(MAX($K90,AH$4),MIN($L90,EOMONTH(AH$4,0)),Assumptions!$F$4:$F$44))/NETWORKDAYS($K90,$L90,Assumptions!$F$4:$F$44))</f>
        <v>0</v>
      </c>
      <c r="AI90" s="21" t="n">
        <f aca="false">IF($J90=0,0,MAX(0,NETWORKDAYS(MAX($K90,AI$4),MIN($L90,EOMONTH(AI$4,0)),Assumptions!$F$4:$F$44))/NETWORKDAYS($K90,$L90,Assumptions!$F$4:$F$44))</f>
        <v>0</v>
      </c>
      <c r="AJ90" s="21" t="n">
        <f aca="false">IF($J90=0,0,MAX(0,NETWORKDAYS(MAX($K90,AJ$4),MIN($L90,EOMONTH(AJ$4,0)),Assumptions!$F$4:$F$44))/NETWORKDAYS($K90,$L90,Assumptions!$F$4:$F$44))</f>
        <v>0</v>
      </c>
      <c r="AK90" s="21" t="n">
        <f aca="false">IF($J90=0,0,MAX(0,NETWORKDAYS(MAX($K90,AK$4),MIN($L90,EOMONTH(AK$4,0)),Assumptions!$F$4:$F$44))/NETWORKDAYS($K90,$L90,Assumptions!$F$4:$F$44))</f>
        <v>0</v>
      </c>
      <c r="AL90" s="21" t="n">
        <f aca="false">IF($J90=0,0,MAX(0,NETWORKDAYS(MAX($K90,AL$4),MIN($L90,EOMONTH(AL$4,0)),Assumptions!$F$4:$F$44))/NETWORKDAYS($K90,$L90,Assumptions!$F$4:$F$44))</f>
        <v>0</v>
      </c>
      <c r="AM90" s="21" t="n">
        <f aca="false">IF($J90=0,0,MAX(0,NETWORKDAYS(MAX($K90,AM$4),MIN($L90,EOMONTH(AM$4,0)),Assumptions!$F$4:$F$44))/NETWORKDAYS($K90,$L90,Assumptions!$F$4:$F$44))</f>
        <v>0</v>
      </c>
      <c r="AN90" s="21" t="n">
        <f aca="false">IF($J90=0,0,MAX(0,NETWORKDAYS(MAX($K90,AN$4),MIN($L90,EOMONTH(AN$4,0)),Assumptions!$F$4:$F$44))/NETWORKDAYS($K90,$L90,Assumptions!$F$4:$F$44))</f>
        <v>0</v>
      </c>
      <c r="AO90" s="21" t="n">
        <f aca="false">IF($J90=0,0,MAX(0,NETWORKDAYS(MAX($K90,AO$4),MIN($L90,EOMONTH(AO$4,0)),Assumptions!$F$4:$F$44))/NETWORKDAYS($K90,$L90,Assumptions!$F$4:$F$44))</f>
        <v>0</v>
      </c>
      <c r="AP90" s="21" t="n">
        <f aca="false">IF($J90=0,0,MAX(0,NETWORKDAYS(MAX($K90,AP$4),MIN($L90,EOMONTH(AP$4,0)),Assumptions!$F$4:$F$44))/NETWORKDAYS($K90,$L90,Assumptions!$F$4:$F$44))</f>
        <v>0</v>
      </c>
      <c r="AQ90" s="21" t="n">
        <f aca="false">IF($J90=0,0,MAX(0,NETWORKDAYS(MAX($K90,AQ$4),MIN($L90,EOMONTH(AQ$4,0)),Assumptions!$F$4:$F$44))/NETWORKDAYS($K90,$L90,Assumptions!$F$4:$F$44))</f>
        <v>0</v>
      </c>
      <c r="AR90" s="21" t="n">
        <f aca="false">IF($J90=0,0,MAX(0,NETWORKDAYS(MAX($K90,AR$4),MIN($L90,EOMONTH(AR$4,0)),Assumptions!$F$4:$F$44))/NETWORKDAYS($K90,$L90,Assumptions!$F$4:$F$44))</f>
        <v>0</v>
      </c>
      <c r="AS90" s="21" t="n">
        <f aca="false">IF($J90=0,0,MAX(0,NETWORKDAYS(MAX($K90,AS$4),MIN($L90,EOMONTH(AS$4,0)),Assumptions!$F$4:$F$44))/NETWORKDAYS($K90,$L90,Assumptions!$F$4:$F$44))</f>
        <v>0</v>
      </c>
      <c r="AT90" s="21" t="n">
        <f aca="false">IF($J90=0,0,MAX(0,NETWORKDAYS(MAX($K90,AT$4),MIN($L90,EOMONTH(AT$4,0)),Assumptions!$F$4:$F$44))/NETWORKDAYS($K90,$L90,Assumptions!$F$4:$F$44))</f>
        <v>0</v>
      </c>
      <c r="AU90" s="21" t="n">
        <f aca="false">IF($J90=0,0,MAX(0,NETWORKDAYS(MAX($K90,AU$4),MIN($L90,EOMONTH(AU$4,0)),Assumptions!$F$4:$F$44))/NETWORKDAYS($K90,$L90,Assumptions!$F$4:$F$44))</f>
        <v>0</v>
      </c>
      <c r="AV90" s="21" t="n">
        <f aca="false">IF($J90=0,0,MAX(0,NETWORKDAYS(MAX($K90,AV$4),MIN($L90,EOMONTH(AV$4,0)),Assumptions!$F$4:$F$44))/NETWORKDAYS($K90,$L90,Assumptions!$F$4:$F$44))</f>
        <v>0</v>
      </c>
      <c r="AW90" s="21" t="n">
        <f aca="false">IF($J90=0,0,MAX(0,NETWORKDAYS(MAX($K90,AW$4),MIN($L90,EOMONTH(AW$4,0)),Assumptions!$F$4:$F$44))/NETWORKDAYS($K90,$L90,Assumptions!$F$4:$F$44))</f>
        <v>0</v>
      </c>
      <c r="AX90" s="21" t="n">
        <f aca="false">IF($J90=0,0,MAX(0,NETWORKDAYS(MAX($K90,AX$4),MIN($L90,EOMONTH(AX$4,0)),Assumptions!$F$4:$F$44))/NETWORKDAYS($K90,$L90,Assumptions!$F$4:$F$44))</f>
        <v>0</v>
      </c>
      <c r="AY90" s="21" t="n">
        <f aca="false">IF($J90=0,0,MAX(0,NETWORKDAYS(MAX($K90,AY$4),MIN($L90,EOMONTH(AY$4,0)),Assumptions!$F$4:$F$44))/NETWORKDAYS($K90,$L90,Assumptions!$F$4:$F$44))</f>
        <v>0</v>
      </c>
      <c r="AZ90" s="21" t="n">
        <f aca="false">IF($J90=0,0,MAX(0,NETWORKDAYS(MAX($K90,AZ$4),MIN($L90,EOMONTH(AZ$4,0)),Assumptions!$F$4:$F$44))/NETWORKDAYS($K90,$L90,Assumptions!$F$4:$F$44))</f>
        <v>0</v>
      </c>
      <c r="BA90" s="21" t="n">
        <f aca="false">IF($J90=0,0,MAX(0,NETWORKDAYS(MAX($K90,BA$4),MIN($L90,EOMONTH(BA$4,0)),Assumptions!$F$4:$F$44))/NETWORKDAYS($K90,$L90,Assumptions!$F$4:$F$44))</f>
        <v>0</v>
      </c>
      <c r="BB90" s="21" t="n">
        <f aca="false">IF($J90=0,0,MAX(0,NETWORKDAYS(MAX($K90,BB$4),MIN($L90,EOMONTH(BB$4,0)),Assumptions!$F$4:$F$44))/NETWORKDAYS($K90,$L90,Assumptions!$F$4:$F$44))</f>
        <v>0</v>
      </c>
      <c r="BC90" s="21" t="n">
        <f aca="false">IF($J90=0,0,MAX(0,NETWORKDAYS(MAX($K90,BC$4),MIN($L90,EOMONTH(BC$4,0)),Assumptions!$F$4:$F$44))/NETWORKDAYS($K90,$L90,Assumptions!$F$4:$F$44))</f>
        <v>0</v>
      </c>
    </row>
    <row r="91" customFormat="false" ht="15" hidden="false" customHeight="false" outlineLevel="2" collapsed="false">
      <c r="A91" s="27" t="n">
        <v>87</v>
      </c>
      <c r="B91" s="27" t="s">
        <v>257</v>
      </c>
      <c r="C91" s="27" t="n">
        <v>3</v>
      </c>
      <c r="D91" s="27" t="s">
        <v>92</v>
      </c>
      <c r="E91" s="28" t="s">
        <v>164</v>
      </c>
      <c r="F91" s="27" t="s">
        <v>154</v>
      </c>
      <c r="G91" s="27" t="s">
        <v>157</v>
      </c>
      <c r="H91" s="27" t="s">
        <v>51</v>
      </c>
      <c r="I91" s="29" t="n">
        <v>37</v>
      </c>
      <c r="J91" s="29" t="n">
        <v>30</v>
      </c>
      <c r="K91" s="30" t="n">
        <f aca="false">WORKDAY(Assumptions!$C$4,I91,Assumptions!$F$4:$F$44)</f>
        <v>46379</v>
      </c>
      <c r="L91" s="30" t="n">
        <f aca="false">IF(J91=0,K91,WORKDAY(K91,J91-1,Assumptions!$F$4:$F$44))</f>
        <v>46420</v>
      </c>
      <c r="M91" s="29"/>
      <c r="N91" s="31" t="n">
        <v>0</v>
      </c>
      <c r="O91" s="31" t="n">
        <v>0</v>
      </c>
      <c r="P91" s="31" t="n">
        <v>0</v>
      </c>
      <c r="Q91" s="31" t="n">
        <v>11</v>
      </c>
      <c r="R91" s="31" t="n">
        <v>0</v>
      </c>
      <c r="S91" s="31" t="n">
        <v>27</v>
      </c>
      <c r="T91" s="31" t="n">
        <v>0</v>
      </c>
      <c r="U91" s="31" t="n">
        <v>0</v>
      </c>
      <c r="V91" s="31" t="n">
        <v>0</v>
      </c>
      <c r="W91" s="31" t="n">
        <v>0</v>
      </c>
      <c r="X91" s="31" t="n">
        <v>0</v>
      </c>
      <c r="Y91" s="32" t="n">
        <f aca="false">SUM(N91:X91)</f>
        <v>38</v>
      </c>
      <c r="Z91" s="32" t="n">
        <f aca="false">Y91*(1+Assumptions!$C$5)</f>
        <v>43.7</v>
      </c>
      <c r="AA91" s="27" t="s">
        <v>165</v>
      </c>
      <c r="AB91" s="27" t="s">
        <v>95</v>
      </c>
      <c r="AC91" s="27"/>
      <c r="AD91" s="33" t="n">
        <v>0</v>
      </c>
      <c r="AF91" s="21" t="n">
        <f aca="false">IF($J91=0,0,MAX(0,NETWORKDAYS(MAX($K91,AF$4),MIN($L91,EOMONTH(AF$4,0)),Assumptions!$F$4:$F$44))/NETWORKDAYS($K91,$L91,Assumptions!$F$4:$F$44))</f>
        <v>0</v>
      </c>
      <c r="AG91" s="21" t="n">
        <f aca="false">IF($J91=0,0,MAX(0,NETWORKDAYS(MAX($K91,AG$4),MIN($L91,EOMONTH(AG$4,0)),Assumptions!$F$4:$F$44))/NETWORKDAYS($K91,$L91,Assumptions!$F$4:$F$44))</f>
        <v>0.233333333333333</v>
      </c>
      <c r="AH91" s="21" t="n">
        <f aca="false">IF($J91=0,0,MAX(0,NETWORKDAYS(MAX($K91,AH$4),MIN($L91,EOMONTH(AH$4,0)),Assumptions!$F$4:$F$44))/NETWORKDAYS($K91,$L91,Assumptions!$F$4:$F$44))</f>
        <v>0.7</v>
      </c>
      <c r="AI91" s="21" t="n">
        <f aca="false">IF($J91=0,0,MAX(0,NETWORKDAYS(MAX($K91,AI$4),MIN($L91,EOMONTH(AI$4,0)),Assumptions!$F$4:$F$44))/NETWORKDAYS($K91,$L91,Assumptions!$F$4:$F$44))</f>
        <v>0.0666666666666667</v>
      </c>
      <c r="AJ91" s="21" t="n">
        <f aca="false">IF($J91=0,0,MAX(0,NETWORKDAYS(MAX($K91,AJ$4),MIN($L91,EOMONTH(AJ$4,0)),Assumptions!$F$4:$F$44))/NETWORKDAYS($K91,$L91,Assumptions!$F$4:$F$44))</f>
        <v>0</v>
      </c>
      <c r="AK91" s="21" t="n">
        <f aca="false">IF($J91=0,0,MAX(0,NETWORKDAYS(MAX($K91,AK$4),MIN($L91,EOMONTH(AK$4,0)),Assumptions!$F$4:$F$44))/NETWORKDAYS($K91,$L91,Assumptions!$F$4:$F$44))</f>
        <v>0</v>
      </c>
      <c r="AL91" s="21" t="n">
        <f aca="false">IF($J91=0,0,MAX(0,NETWORKDAYS(MAX($K91,AL$4),MIN($L91,EOMONTH(AL$4,0)),Assumptions!$F$4:$F$44))/NETWORKDAYS($K91,$L91,Assumptions!$F$4:$F$44))</f>
        <v>0</v>
      </c>
      <c r="AM91" s="21" t="n">
        <f aca="false">IF($J91=0,0,MAX(0,NETWORKDAYS(MAX($K91,AM$4),MIN($L91,EOMONTH(AM$4,0)),Assumptions!$F$4:$F$44))/NETWORKDAYS($K91,$L91,Assumptions!$F$4:$F$44))</f>
        <v>0</v>
      </c>
      <c r="AN91" s="21" t="n">
        <f aca="false">IF($J91=0,0,MAX(0,NETWORKDAYS(MAX($K91,AN$4),MIN($L91,EOMONTH(AN$4,0)),Assumptions!$F$4:$F$44))/NETWORKDAYS($K91,$L91,Assumptions!$F$4:$F$44))</f>
        <v>0</v>
      </c>
      <c r="AO91" s="21" t="n">
        <f aca="false">IF($J91=0,0,MAX(0,NETWORKDAYS(MAX($K91,AO$4),MIN($L91,EOMONTH(AO$4,0)),Assumptions!$F$4:$F$44))/NETWORKDAYS($K91,$L91,Assumptions!$F$4:$F$44))</f>
        <v>0</v>
      </c>
      <c r="AP91" s="21" t="n">
        <f aca="false">IF($J91=0,0,MAX(0,NETWORKDAYS(MAX($K91,AP$4),MIN($L91,EOMONTH(AP$4,0)),Assumptions!$F$4:$F$44))/NETWORKDAYS($K91,$L91,Assumptions!$F$4:$F$44))</f>
        <v>0</v>
      </c>
      <c r="AQ91" s="21" t="n">
        <f aca="false">IF($J91=0,0,MAX(0,NETWORKDAYS(MAX($K91,AQ$4),MIN($L91,EOMONTH(AQ$4,0)),Assumptions!$F$4:$F$44))/NETWORKDAYS($K91,$L91,Assumptions!$F$4:$F$44))</f>
        <v>0</v>
      </c>
      <c r="AR91" s="21" t="n">
        <f aca="false">IF($J91=0,0,MAX(0,NETWORKDAYS(MAX($K91,AR$4),MIN($L91,EOMONTH(AR$4,0)),Assumptions!$F$4:$F$44))/NETWORKDAYS($K91,$L91,Assumptions!$F$4:$F$44))</f>
        <v>0</v>
      </c>
      <c r="AS91" s="21" t="n">
        <f aca="false">IF($J91=0,0,MAX(0,NETWORKDAYS(MAX($K91,AS$4),MIN($L91,EOMONTH(AS$4,0)),Assumptions!$F$4:$F$44))/NETWORKDAYS($K91,$L91,Assumptions!$F$4:$F$44))</f>
        <v>0</v>
      </c>
      <c r="AT91" s="21" t="n">
        <f aca="false">IF($J91=0,0,MAX(0,NETWORKDAYS(MAX($K91,AT$4),MIN($L91,EOMONTH(AT$4,0)),Assumptions!$F$4:$F$44))/NETWORKDAYS($K91,$L91,Assumptions!$F$4:$F$44))</f>
        <v>0</v>
      </c>
      <c r="AU91" s="21" t="n">
        <f aca="false">IF($J91=0,0,MAX(0,NETWORKDAYS(MAX($K91,AU$4),MIN($L91,EOMONTH(AU$4,0)),Assumptions!$F$4:$F$44))/NETWORKDAYS($K91,$L91,Assumptions!$F$4:$F$44))</f>
        <v>0</v>
      </c>
      <c r="AV91" s="21" t="n">
        <f aca="false">IF($J91=0,0,MAX(0,NETWORKDAYS(MAX($K91,AV$4),MIN($L91,EOMONTH(AV$4,0)),Assumptions!$F$4:$F$44))/NETWORKDAYS($K91,$L91,Assumptions!$F$4:$F$44))</f>
        <v>0</v>
      </c>
      <c r="AW91" s="21" t="n">
        <f aca="false">IF($J91=0,0,MAX(0,NETWORKDAYS(MAX($K91,AW$4),MIN($L91,EOMONTH(AW$4,0)),Assumptions!$F$4:$F$44))/NETWORKDAYS($K91,$L91,Assumptions!$F$4:$F$44))</f>
        <v>0</v>
      </c>
      <c r="AX91" s="21" t="n">
        <f aca="false">IF($J91=0,0,MAX(0,NETWORKDAYS(MAX($K91,AX$4),MIN($L91,EOMONTH(AX$4,0)),Assumptions!$F$4:$F$44))/NETWORKDAYS($K91,$L91,Assumptions!$F$4:$F$44))</f>
        <v>0</v>
      </c>
      <c r="AY91" s="21" t="n">
        <f aca="false">IF($J91=0,0,MAX(0,NETWORKDAYS(MAX($K91,AY$4),MIN($L91,EOMONTH(AY$4,0)),Assumptions!$F$4:$F$44))/NETWORKDAYS($K91,$L91,Assumptions!$F$4:$F$44))</f>
        <v>0</v>
      </c>
      <c r="AZ91" s="21" t="n">
        <f aca="false">IF($J91=0,0,MAX(0,NETWORKDAYS(MAX($K91,AZ$4),MIN($L91,EOMONTH(AZ$4,0)),Assumptions!$F$4:$F$44))/NETWORKDAYS($K91,$L91,Assumptions!$F$4:$F$44))</f>
        <v>0</v>
      </c>
      <c r="BA91" s="21" t="n">
        <f aca="false">IF($J91=0,0,MAX(0,NETWORKDAYS(MAX($K91,BA$4),MIN($L91,EOMONTH(BA$4,0)),Assumptions!$F$4:$F$44))/NETWORKDAYS($K91,$L91,Assumptions!$F$4:$F$44))</f>
        <v>0</v>
      </c>
      <c r="BB91" s="21" t="n">
        <f aca="false">IF($J91=0,0,MAX(0,NETWORKDAYS(MAX($K91,BB$4),MIN($L91,EOMONTH(BB$4,0)),Assumptions!$F$4:$F$44))/NETWORKDAYS($K91,$L91,Assumptions!$F$4:$F$44))</f>
        <v>0</v>
      </c>
      <c r="BC91" s="21" t="n">
        <f aca="false">IF($J91=0,0,MAX(0,NETWORKDAYS(MAX($K91,BC$4),MIN($L91,EOMONTH(BC$4,0)),Assumptions!$F$4:$F$44))/NETWORKDAYS($K91,$L91,Assumptions!$F$4:$F$44))</f>
        <v>0</v>
      </c>
    </row>
    <row r="92" customFormat="false" ht="15" hidden="false" customHeight="false" outlineLevel="2" collapsed="false">
      <c r="A92" s="27" t="n">
        <v>88</v>
      </c>
      <c r="B92" s="27" t="s">
        <v>258</v>
      </c>
      <c r="C92" s="27" t="n">
        <v>3</v>
      </c>
      <c r="D92" s="27" t="s">
        <v>92</v>
      </c>
      <c r="E92" s="28" t="s">
        <v>167</v>
      </c>
      <c r="F92" s="27" t="s">
        <v>154</v>
      </c>
      <c r="G92" s="27" t="s">
        <v>157</v>
      </c>
      <c r="H92" s="27" t="s">
        <v>57</v>
      </c>
      <c r="I92" s="29" t="n">
        <v>65</v>
      </c>
      <c r="J92" s="29" t="n">
        <v>13</v>
      </c>
      <c r="K92" s="30" t="n">
        <f aca="false">WORKDAY(Assumptions!$C$4,I92,Assumptions!$F$4:$F$44)</f>
        <v>46419</v>
      </c>
      <c r="L92" s="30" t="n">
        <f aca="false">IF(J92=0,K92,WORKDAY(K92,J92-1,Assumptions!$F$4:$F$44))</f>
        <v>46435</v>
      </c>
      <c r="M92" s="29"/>
      <c r="N92" s="31" t="n">
        <v>0</v>
      </c>
      <c r="O92" s="31" t="n">
        <v>0</v>
      </c>
      <c r="P92" s="31" t="n">
        <v>0</v>
      </c>
      <c r="Q92" s="31" t="n">
        <v>1</v>
      </c>
      <c r="R92" s="31" t="n">
        <v>0</v>
      </c>
      <c r="S92" s="31" t="n">
        <v>0</v>
      </c>
      <c r="T92" s="31" t="n">
        <v>0</v>
      </c>
      <c r="U92" s="31" t="n">
        <v>0</v>
      </c>
      <c r="V92" s="31" t="n">
        <v>8</v>
      </c>
      <c r="W92" s="31" t="n">
        <v>0</v>
      </c>
      <c r="X92" s="31" t="n">
        <v>0</v>
      </c>
      <c r="Y92" s="32" t="n">
        <f aca="false">SUM(N92:X92)</f>
        <v>9</v>
      </c>
      <c r="Z92" s="32" t="n">
        <f aca="false">Y92*(1+Assumptions!$C$5)</f>
        <v>10.35</v>
      </c>
      <c r="AA92" s="27" t="s">
        <v>168</v>
      </c>
      <c r="AB92" s="27" t="s">
        <v>95</v>
      </c>
      <c r="AC92" s="27"/>
      <c r="AD92" s="33" t="n">
        <v>0</v>
      </c>
      <c r="AF92" s="21" t="n">
        <f aca="false">IF($J92=0,0,MAX(0,NETWORKDAYS(MAX($K92,AF$4),MIN($L92,EOMONTH(AF$4,0)),Assumptions!$F$4:$F$44))/NETWORKDAYS($K92,$L92,Assumptions!$F$4:$F$44))</f>
        <v>0</v>
      </c>
      <c r="AG92" s="21" t="n">
        <f aca="false">IF($J92=0,0,MAX(0,NETWORKDAYS(MAX($K92,AG$4),MIN($L92,EOMONTH(AG$4,0)),Assumptions!$F$4:$F$44))/NETWORKDAYS($K92,$L92,Assumptions!$F$4:$F$44))</f>
        <v>0</v>
      </c>
      <c r="AH92" s="21" t="n">
        <f aca="false">IF($J92=0,0,MAX(0,NETWORKDAYS(MAX($K92,AH$4),MIN($L92,EOMONTH(AH$4,0)),Assumptions!$F$4:$F$44))/NETWORKDAYS($K92,$L92,Assumptions!$F$4:$F$44))</f>
        <v>0</v>
      </c>
      <c r="AI92" s="21" t="n">
        <f aca="false">IF($J92=0,0,MAX(0,NETWORKDAYS(MAX($K92,AI$4),MIN($L92,EOMONTH(AI$4,0)),Assumptions!$F$4:$F$44))/NETWORKDAYS($K92,$L92,Assumptions!$F$4:$F$44))</f>
        <v>1</v>
      </c>
      <c r="AJ92" s="21" t="n">
        <f aca="false">IF($J92=0,0,MAX(0,NETWORKDAYS(MAX($K92,AJ$4),MIN($L92,EOMONTH(AJ$4,0)),Assumptions!$F$4:$F$44))/NETWORKDAYS($K92,$L92,Assumptions!$F$4:$F$44))</f>
        <v>0</v>
      </c>
      <c r="AK92" s="21" t="n">
        <f aca="false">IF($J92=0,0,MAX(0,NETWORKDAYS(MAX($K92,AK$4),MIN($L92,EOMONTH(AK$4,0)),Assumptions!$F$4:$F$44))/NETWORKDAYS($K92,$L92,Assumptions!$F$4:$F$44))</f>
        <v>0</v>
      </c>
      <c r="AL92" s="21" t="n">
        <f aca="false">IF($J92=0,0,MAX(0,NETWORKDAYS(MAX($K92,AL$4),MIN($L92,EOMONTH(AL$4,0)),Assumptions!$F$4:$F$44))/NETWORKDAYS($K92,$L92,Assumptions!$F$4:$F$44))</f>
        <v>0</v>
      </c>
      <c r="AM92" s="21" t="n">
        <f aca="false">IF($J92=0,0,MAX(0,NETWORKDAYS(MAX($K92,AM$4),MIN($L92,EOMONTH(AM$4,0)),Assumptions!$F$4:$F$44))/NETWORKDAYS($K92,$L92,Assumptions!$F$4:$F$44))</f>
        <v>0</v>
      </c>
      <c r="AN92" s="21" t="n">
        <f aca="false">IF($J92=0,0,MAX(0,NETWORKDAYS(MAX($K92,AN$4),MIN($L92,EOMONTH(AN$4,0)),Assumptions!$F$4:$F$44))/NETWORKDAYS($K92,$L92,Assumptions!$F$4:$F$44))</f>
        <v>0</v>
      </c>
      <c r="AO92" s="21" t="n">
        <f aca="false">IF($J92=0,0,MAX(0,NETWORKDAYS(MAX($K92,AO$4),MIN($L92,EOMONTH(AO$4,0)),Assumptions!$F$4:$F$44))/NETWORKDAYS($K92,$L92,Assumptions!$F$4:$F$44))</f>
        <v>0</v>
      </c>
      <c r="AP92" s="21" t="n">
        <f aca="false">IF($J92=0,0,MAX(0,NETWORKDAYS(MAX($K92,AP$4),MIN($L92,EOMONTH(AP$4,0)),Assumptions!$F$4:$F$44))/NETWORKDAYS($K92,$L92,Assumptions!$F$4:$F$44))</f>
        <v>0</v>
      </c>
      <c r="AQ92" s="21" t="n">
        <f aca="false">IF($J92=0,0,MAX(0,NETWORKDAYS(MAX($K92,AQ$4),MIN($L92,EOMONTH(AQ$4,0)),Assumptions!$F$4:$F$44))/NETWORKDAYS($K92,$L92,Assumptions!$F$4:$F$44))</f>
        <v>0</v>
      </c>
      <c r="AR92" s="21" t="n">
        <f aca="false">IF($J92=0,0,MAX(0,NETWORKDAYS(MAX($K92,AR$4),MIN($L92,EOMONTH(AR$4,0)),Assumptions!$F$4:$F$44))/NETWORKDAYS($K92,$L92,Assumptions!$F$4:$F$44))</f>
        <v>0</v>
      </c>
      <c r="AS92" s="21" t="n">
        <f aca="false">IF($J92=0,0,MAX(0,NETWORKDAYS(MAX($K92,AS$4),MIN($L92,EOMONTH(AS$4,0)),Assumptions!$F$4:$F$44))/NETWORKDAYS($K92,$L92,Assumptions!$F$4:$F$44))</f>
        <v>0</v>
      </c>
      <c r="AT92" s="21" t="n">
        <f aca="false">IF($J92=0,0,MAX(0,NETWORKDAYS(MAX($K92,AT$4),MIN($L92,EOMONTH(AT$4,0)),Assumptions!$F$4:$F$44))/NETWORKDAYS($K92,$L92,Assumptions!$F$4:$F$44))</f>
        <v>0</v>
      </c>
      <c r="AU92" s="21" t="n">
        <f aca="false">IF($J92=0,0,MAX(0,NETWORKDAYS(MAX($K92,AU$4),MIN($L92,EOMONTH(AU$4,0)),Assumptions!$F$4:$F$44))/NETWORKDAYS($K92,$L92,Assumptions!$F$4:$F$44))</f>
        <v>0</v>
      </c>
      <c r="AV92" s="21" t="n">
        <f aca="false">IF($J92=0,0,MAX(0,NETWORKDAYS(MAX($K92,AV$4),MIN($L92,EOMONTH(AV$4,0)),Assumptions!$F$4:$F$44))/NETWORKDAYS($K92,$L92,Assumptions!$F$4:$F$44))</f>
        <v>0</v>
      </c>
      <c r="AW92" s="21" t="n">
        <f aca="false">IF($J92=0,0,MAX(0,NETWORKDAYS(MAX($K92,AW$4),MIN($L92,EOMONTH(AW$4,0)),Assumptions!$F$4:$F$44))/NETWORKDAYS($K92,$L92,Assumptions!$F$4:$F$44))</f>
        <v>0</v>
      </c>
      <c r="AX92" s="21" t="n">
        <f aca="false">IF($J92=0,0,MAX(0,NETWORKDAYS(MAX($K92,AX$4),MIN($L92,EOMONTH(AX$4,0)),Assumptions!$F$4:$F$44))/NETWORKDAYS($K92,$L92,Assumptions!$F$4:$F$44))</f>
        <v>0</v>
      </c>
      <c r="AY92" s="21" t="n">
        <f aca="false">IF($J92=0,0,MAX(0,NETWORKDAYS(MAX($K92,AY$4),MIN($L92,EOMONTH(AY$4,0)),Assumptions!$F$4:$F$44))/NETWORKDAYS($K92,$L92,Assumptions!$F$4:$F$44))</f>
        <v>0</v>
      </c>
      <c r="AZ92" s="21" t="n">
        <f aca="false">IF($J92=0,0,MAX(0,NETWORKDAYS(MAX($K92,AZ$4),MIN($L92,EOMONTH(AZ$4,0)),Assumptions!$F$4:$F$44))/NETWORKDAYS($K92,$L92,Assumptions!$F$4:$F$44))</f>
        <v>0</v>
      </c>
      <c r="BA92" s="21" t="n">
        <f aca="false">IF($J92=0,0,MAX(0,NETWORKDAYS(MAX($K92,BA$4),MIN($L92,EOMONTH(BA$4,0)),Assumptions!$F$4:$F$44))/NETWORKDAYS($K92,$L92,Assumptions!$F$4:$F$44))</f>
        <v>0</v>
      </c>
      <c r="BB92" s="21" t="n">
        <f aca="false">IF($J92=0,0,MAX(0,NETWORKDAYS(MAX($K92,BB$4),MIN($L92,EOMONTH(BB$4,0)),Assumptions!$F$4:$F$44))/NETWORKDAYS($K92,$L92,Assumptions!$F$4:$F$44))</f>
        <v>0</v>
      </c>
      <c r="BC92" s="21" t="n">
        <f aca="false">IF($J92=0,0,MAX(0,NETWORKDAYS(MAX($K92,BC$4),MIN($L92,EOMONTH(BC$4,0)),Assumptions!$F$4:$F$44))/NETWORKDAYS($K92,$L92,Assumptions!$F$4:$F$44))</f>
        <v>0</v>
      </c>
    </row>
    <row r="93" customFormat="false" ht="15" hidden="false" customHeight="false" outlineLevel="1" collapsed="false">
      <c r="A93" s="22" t="n">
        <v>89</v>
      </c>
      <c r="B93" s="22" t="s">
        <v>259</v>
      </c>
      <c r="C93" s="22" t="n">
        <v>2</v>
      </c>
      <c r="D93" s="22" t="s">
        <v>89</v>
      </c>
      <c r="E93" s="23" t="s">
        <v>260</v>
      </c>
      <c r="F93" s="22" t="s">
        <v>154</v>
      </c>
      <c r="G93" s="22" t="s">
        <v>157</v>
      </c>
      <c r="H93" s="22"/>
      <c r="I93" s="22"/>
      <c r="J93" s="22" t="n">
        <f aca="false">NETWORKDAYS(K93,L93,Assumptions!$F$4:$F$44)</f>
        <v>45</v>
      </c>
      <c r="K93" s="24" t="n">
        <f aca="false">MIN(K94:K96)</f>
        <v>46395</v>
      </c>
      <c r="L93" s="24" t="n">
        <f aca="false">MAX(L94:L96)</f>
        <v>46457</v>
      </c>
      <c r="M93" s="22"/>
      <c r="N93" s="25" t="n">
        <f aca="false">SUMPRODUCT(($C$94:$C$96=3)*(N94:N96))</f>
        <v>0</v>
      </c>
      <c r="O93" s="25" t="n">
        <f aca="false">SUMPRODUCT(($C$94:$C$96=3)*(O94:O96))</f>
        <v>0</v>
      </c>
      <c r="P93" s="25" t="n">
        <f aca="false">SUMPRODUCT(($C$94:$C$96=3)*(P94:P96))</f>
        <v>2</v>
      </c>
      <c r="Q93" s="25" t="n">
        <f aca="false">SUMPRODUCT(($C$94:$C$96=3)*(Q94:Q96))</f>
        <v>18</v>
      </c>
      <c r="R93" s="25" t="n">
        <f aca="false">SUMPRODUCT(($C$94:$C$96=3)*(R94:R96))</f>
        <v>4</v>
      </c>
      <c r="S93" s="25" t="n">
        <f aca="false">SUMPRODUCT(($C$94:$C$96=3)*(S94:S96))</f>
        <v>0</v>
      </c>
      <c r="T93" s="25" t="n">
        <f aca="false">SUMPRODUCT(($C$94:$C$96=3)*(T94:T96))</f>
        <v>0</v>
      </c>
      <c r="U93" s="25" t="n">
        <f aca="false">SUMPRODUCT(($C$94:$C$96=3)*(U94:U96))</f>
        <v>0</v>
      </c>
      <c r="V93" s="25" t="n">
        <f aca="false">SUMPRODUCT(($C$94:$C$96=3)*(V94:V96))</f>
        <v>4</v>
      </c>
      <c r="W93" s="25" t="n">
        <f aca="false">SUMPRODUCT(($C$94:$C$96=3)*(W94:W96))</f>
        <v>9</v>
      </c>
      <c r="X93" s="25" t="n">
        <f aca="false">SUMPRODUCT(($C$94:$C$96=3)*(X94:X96))</f>
        <v>0</v>
      </c>
      <c r="Y93" s="25" t="n">
        <f aca="false">SUM(N93:X93)</f>
        <v>37</v>
      </c>
      <c r="Z93" s="25" t="n">
        <f aca="false">Y93*(1+Assumptions!$C$5)</f>
        <v>42.55</v>
      </c>
      <c r="AA93" s="22" t="s">
        <v>261</v>
      </c>
      <c r="AB93" s="22"/>
      <c r="AC93" s="22"/>
      <c r="AD93" s="26"/>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row>
    <row r="94" customFormat="false" ht="15" hidden="false" customHeight="false" outlineLevel="2" collapsed="false">
      <c r="A94" s="27" t="n">
        <v>90</v>
      </c>
      <c r="B94" s="27" t="s">
        <v>262</v>
      </c>
      <c r="C94" s="27" t="n">
        <v>3</v>
      </c>
      <c r="D94" s="27" t="s">
        <v>92</v>
      </c>
      <c r="E94" s="28" t="s">
        <v>160</v>
      </c>
      <c r="F94" s="27" t="s">
        <v>154</v>
      </c>
      <c r="G94" s="27" t="s">
        <v>157</v>
      </c>
      <c r="H94" s="27" t="s">
        <v>45</v>
      </c>
      <c r="I94" s="29" t="n">
        <v>49</v>
      </c>
      <c r="J94" s="29" t="n">
        <v>9</v>
      </c>
      <c r="K94" s="30" t="n">
        <f aca="false">WORKDAY(Assumptions!$C$4,I94,Assumptions!$F$4:$F$44)</f>
        <v>46395</v>
      </c>
      <c r="L94" s="30" t="n">
        <f aca="false">IF(J94=0,K94,WORKDAY(K94,J94-1,Assumptions!$F$4:$F$44))</f>
        <v>46407</v>
      </c>
      <c r="M94" s="29" t="s">
        <v>161</v>
      </c>
      <c r="N94" s="31" t="n">
        <v>0</v>
      </c>
      <c r="O94" s="31" t="n">
        <v>0</v>
      </c>
      <c r="P94" s="31" t="n">
        <v>2</v>
      </c>
      <c r="Q94" s="31" t="n">
        <v>2</v>
      </c>
      <c r="R94" s="31" t="n">
        <v>0</v>
      </c>
      <c r="S94" s="31" t="n">
        <v>0</v>
      </c>
      <c r="T94" s="31" t="n">
        <v>0</v>
      </c>
      <c r="U94" s="31" t="n">
        <v>0</v>
      </c>
      <c r="V94" s="31" t="n">
        <v>0</v>
      </c>
      <c r="W94" s="31" t="n">
        <v>0</v>
      </c>
      <c r="X94" s="31" t="n">
        <v>0</v>
      </c>
      <c r="Y94" s="32" t="n">
        <f aca="false">SUM(N94:X94)</f>
        <v>4</v>
      </c>
      <c r="Z94" s="32" t="n">
        <f aca="false">Y94*(1+Assumptions!$C$5)</f>
        <v>4.6</v>
      </c>
      <c r="AA94" s="27" t="s">
        <v>162</v>
      </c>
      <c r="AB94" s="27" t="s">
        <v>95</v>
      </c>
      <c r="AC94" s="27"/>
      <c r="AD94" s="33" t="n">
        <v>0</v>
      </c>
      <c r="AF94" s="21" t="n">
        <f aca="false">IF($J94=0,0,MAX(0,NETWORKDAYS(MAX($K94,AF$4),MIN($L94,EOMONTH(AF$4,0)),Assumptions!$F$4:$F$44))/NETWORKDAYS($K94,$L94,Assumptions!$F$4:$F$44))</f>
        <v>0</v>
      </c>
      <c r="AG94" s="21" t="n">
        <f aca="false">IF($J94=0,0,MAX(0,NETWORKDAYS(MAX($K94,AG$4),MIN($L94,EOMONTH(AG$4,0)),Assumptions!$F$4:$F$44))/NETWORKDAYS($K94,$L94,Assumptions!$F$4:$F$44))</f>
        <v>0</v>
      </c>
      <c r="AH94" s="21" t="n">
        <f aca="false">IF($J94=0,0,MAX(0,NETWORKDAYS(MAX($K94,AH$4),MIN($L94,EOMONTH(AH$4,0)),Assumptions!$F$4:$F$44))/NETWORKDAYS($K94,$L94,Assumptions!$F$4:$F$44))</f>
        <v>1</v>
      </c>
      <c r="AI94" s="21" t="n">
        <f aca="false">IF($J94=0,0,MAX(0,NETWORKDAYS(MAX($K94,AI$4),MIN($L94,EOMONTH(AI$4,0)),Assumptions!$F$4:$F$44))/NETWORKDAYS($K94,$L94,Assumptions!$F$4:$F$44))</f>
        <v>0</v>
      </c>
      <c r="AJ94" s="21" t="n">
        <f aca="false">IF($J94=0,0,MAX(0,NETWORKDAYS(MAX($K94,AJ$4),MIN($L94,EOMONTH(AJ$4,0)),Assumptions!$F$4:$F$44))/NETWORKDAYS($K94,$L94,Assumptions!$F$4:$F$44))</f>
        <v>0</v>
      </c>
      <c r="AK94" s="21" t="n">
        <f aca="false">IF($J94=0,0,MAX(0,NETWORKDAYS(MAX($K94,AK$4),MIN($L94,EOMONTH(AK$4,0)),Assumptions!$F$4:$F$44))/NETWORKDAYS($K94,$L94,Assumptions!$F$4:$F$44))</f>
        <v>0</v>
      </c>
      <c r="AL94" s="21" t="n">
        <f aca="false">IF($J94=0,0,MAX(0,NETWORKDAYS(MAX($K94,AL$4),MIN($L94,EOMONTH(AL$4,0)),Assumptions!$F$4:$F$44))/NETWORKDAYS($K94,$L94,Assumptions!$F$4:$F$44))</f>
        <v>0</v>
      </c>
      <c r="AM94" s="21" t="n">
        <f aca="false">IF($J94=0,0,MAX(0,NETWORKDAYS(MAX($K94,AM$4),MIN($L94,EOMONTH(AM$4,0)),Assumptions!$F$4:$F$44))/NETWORKDAYS($K94,$L94,Assumptions!$F$4:$F$44))</f>
        <v>0</v>
      </c>
      <c r="AN94" s="21" t="n">
        <f aca="false">IF($J94=0,0,MAX(0,NETWORKDAYS(MAX($K94,AN$4),MIN($L94,EOMONTH(AN$4,0)),Assumptions!$F$4:$F$44))/NETWORKDAYS($K94,$L94,Assumptions!$F$4:$F$44))</f>
        <v>0</v>
      </c>
      <c r="AO94" s="21" t="n">
        <f aca="false">IF($J94=0,0,MAX(0,NETWORKDAYS(MAX($K94,AO$4),MIN($L94,EOMONTH(AO$4,0)),Assumptions!$F$4:$F$44))/NETWORKDAYS($K94,$L94,Assumptions!$F$4:$F$44))</f>
        <v>0</v>
      </c>
      <c r="AP94" s="21" t="n">
        <f aca="false">IF($J94=0,0,MAX(0,NETWORKDAYS(MAX($K94,AP$4),MIN($L94,EOMONTH(AP$4,0)),Assumptions!$F$4:$F$44))/NETWORKDAYS($K94,$L94,Assumptions!$F$4:$F$44))</f>
        <v>0</v>
      </c>
      <c r="AQ94" s="21" t="n">
        <f aca="false">IF($J94=0,0,MAX(0,NETWORKDAYS(MAX($K94,AQ$4),MIN($L94,EOMONTH(AQ$4,0)),Assumptions!$F$4:$F$44))/NETWORKDAYS($K94,$L94,Assumptions!$F$4:$F$44))</f>
        <v>0</v>
      </c>
      <c r="AR94" s="21" t="n">
        <f aca="false">IF($J94=0,0,MAX(0,NETWORKDAYS(MAX($K94,AR$4),MIN($L94,EOMONTH(AR$4,0)),Assumptions!$F$4:$F$44))/NETWORKDAYS($K94,$L94,Assumptions!$F$4:$F$44))</f>
        <v>0</v>
      </c>
      <c r="AS94" s="21" t="n">
        <f aca="false">IF($J94=0,0,MAX(0,NETWORKDAYS(MAX($K94,AS$4),MIN($L94,EOMONTH(AS$4,0)),Assumptions!$F$4:$F$44))/NETWORKDAYS($K94,$L94,Assumptions!$F$4:$F$44))</f>
        <v>0</v>
      </c>
      <c r="AT94" s="21" t="n">
        <f aca="false">IF($J94=0,0,MAX(0,NETWORKDAYS(MAX($K94,AT$4),MIN($L94,EOMONTH(AT$4,0)),Assumptions!$F$4:$F$44))/NETWORKDAYS($K94,$L94,Assumptions!$F$4:$F$44))</f>
        <v>0</v>
      </c>
      <c r="AU94" s="21" t="n">
        <f aca="false">IF($J94=0,0,MAX(0,NETWORKDAYS(MAX($K94,AU$4),MIN($L94,EOMONTH(AU$4,0)),Assumptions!$F$4:$F$44))/NETWORKDAYS($K94,$L94,Assumptions!$F$4:$F$44))</f>
        <v>0</v>
      </c>
      <c r="AV94" s="21" t="n">
        <f aca="false">IF($J94=0,0,MAX(0,NETWORKDAYS(MAX($K94,AV$4),MIN($L94,EOMONTH(AV$4,0)),Assumptions!$F$4:$F$44))/NETWORKDAYS($K94,$L94,Assumptions!$F$4:$F$44))</f>
        <v>0</v>
      </c>
      <c r="AW94" s="21" t="n">
        <f aca="false">IF($J94=0,0,MAX(0,NETWORKDAYS(MAX($K94,AW$4),MIN($L94,EOMONTH(AW$4,0)),Assumptions!$F$4:$F$44))/NETWORKDAYS($K94,$L94,Assumptions!$F$4:$F$44))</f>
        <v>0</v>
      </c>
      <c r="AX94" s="21" t="n">
        <f aca="false">IF($J94=0,0,MAX(0,NETWORKDAYS(MAX($K94,AX$4),MIN($L94,EOMONTH(AX$4,0)),Assumptions!$F$4:$F$44))/NETWORKDAYS($K94,$L94,Assumptions!$F$4:$F$44))</f>
        <v>0</v>
      </c>
      <c r="AY94" s="21" t="n">
        <f aca="false">IF($J94=0,0,MAX(0,NETWORKDAYS(MAX($K94,AY$4),MIN($L94,EOMONTH(AY$4,0)),Assumptions!$F$4:$F$44))/NETWORKDAYS($K94,$L94,Assumptions!$F$4:$F$44))</f>
        <v>0</v>
      </c>
      <c r="AZ94" s="21" t="n">
        <f aca="false">IF($J94=0,0,MAX(0,NETWORKDAYS(MAX($K94,AZ$4),MIN($L94,EOMONTH(AZ$4,0)),Assumptions!$F$4:$F$44))/NETWORKDAYS($K94,$L94,Assumptions!$F$4:$F$44))</f>
        <v>0</v>
      </c>
      <c r="BA94" s="21" t="n">
        <f aca="false">IF($J94=0,0,MAX(0,NETWORKDAYS(MAX($K94,BA$4),MIN($L94,EOMONTH(BA$4,0)),Assumptions!$F$4:$F$44))/NETWORKDAYS($K94,$L94,Assumptions!$F$4:$F$44))</f>
        <v>0</v>
      </c>
      <c r="BB94" s="21" t="n">
        <f aca="false">IF($J94=0,0,MAX(0,NETWORKDAYS(MAX($K94,BB$4),MIN($L94,EOMONTH(BB$4,0)),Assumptions!$F$4:$F$44))/NETWORKDAYS($K94,$L94,Assumptions!$F$4:$F$44))</f>
        <v>0</v>
      </c>
      <c r="BC94" s="21" t="n">
        <f aca="false">IF($J94=0,0,MAX(0,NETWORKDAYS(MAX($K94,BC$4),MIN($L94,EOMONTH(BC$4,0)),Assumptions!$F$4:$F$44))/NETWORKDAYS($K94,$L94,Assumptions!$F$4:$F$44))</f>
        <v>0</v>
      </c>
    </row>
    <row r="95" customFormat="false" ht="15" hidden="false" customHeight="false" outlineLevel="2" collapsed="false">
      <c r="A95" s="27" t="n">
        <v>91</v>
      </c>
      <c r="B95" s="27" t="s">
        <v>263</v>
      </c>
      <c r="C95" s="27" t="n">
        <v>3</v>
      </c>
      <c r="D95" s="27" t="s">
        <v>92</v>
      </c>
      <c r="E95" s="28" t="s">
        <v>164</v>
      </c>
      <c r="F95" s="27" t="s">
        <v>154</v>
      </c>
      <c r="G95" s="27" t="s">
        <v>157</v>
      </c>
      <c r="H95" s="27" t="s">
        <v>47</v>
      </c>
      <c r="I95" s="29" t="n">
        <v>58</v>
      </c>
      <c r="J95" s="29" t="n">
        <v>27</v>
      </c>
      <c r="K95" s="30" t="n">
        <f aca="false">WORKDAY(Assumptions!$C$4,I95,Assumptions!$F$4:$F$44)</f>
        <v>46408</v>
      </c>
      <c r="L95" s="30" t="n">
        <f aca="false">IF(J95=0,K95,WORKDAY(K95,J95-1,Assumptions!$F$4:$F$44))</f>
        <v>46444</v>
      </c>
      <c r="M95" s="29"/>
      <c r="N95" s="31" t="n">
        <v>0</v>
      </c>
      <c r="O95" s="31" t="n">
        <v>0</v>
      </c>
      <c r="P95" s="31" t="n">
        <v>0</v>
      </c>
      <c r="Q95" s="31" t="n">
        <v>14</v>
      </c>
      <c r="R95" s="31" t="n">
        <v>4</v>
      </c>
      <c r="S95" s="31" t="n">
        <v>0</v>
      </c>
      <c r="T95" s="31" t="n">
        <v>0</v>
      </c>
      <c r="U95" s="31" t="n">
        <v>0</v>
      </c>
      <c r="V95" s="31" t="n">
        <v>0</v>
      </c>
      <c r="W95" s="31" t="n">
        <v>9</v>
      </c>
      <c r="X95" s="31" t="n">
        <v>0</v>
      </c>
      <c r="Y95" s="32" t="n">
        <f aca="false">SUM(N95:X95)</f>
        <v>27</v>
      </c>
      <c r="Z95" s="32" t="n">
        <f aca="false">Y95*(1+Assumptions!$C$5)</f>
        <v>31.05</v>
      </c>
      <c r="AA95" s="27" t="s">
        <v>165</v>
      </c>
      <c r="AB95" s="27" t="s">
        <v>95</v>
      </c>
      <c r="AC95" s="27"/>
      <c r="AD95" s="33" t="n">
        <v>0</v>
      </c>
      <c r="AF95" s="21" t="n">
        <f aca="false">IF($J95=0,0,MAX(0,NETWORKDAYS(MAX($K95,AF$4),MIN($L95,EOMONTH(AF$4,0)),Assumptions!$F$4:$F$44))/NETWORKDAYS($K95,$L95,Assumptions!$F$4:$F$44))</f>
        <v>0</v>
      </c>
      <c r="AG95" s="21" t="n">
        <f aca="false">IF($J95=0,0,MAX(0,NETWORKDAYS(MAX($K95,AG$4),MIN($L95,EOMONTH(AG$4,0)),Assumptions!$F$4:$F$44))/NETWORKDAYS($K95,$L95,Assumptions!$F$4:$F$44))</f>
        <v>0</v>
      </c>
      <c r="AH95" s="21" t="n">
        <f aca="false">IF($J95=0,0,MAX(0,NETWORKDAYS(MAX($K95,AH$4),MIN($L95,EOMONTH(AH$4,0)),Assumptions!$F$4:$F$44))/NETWORKDAYS($K95,$L95,Assumptions!$F$4:$F$44))</f>
        <v>0.259259259259259</v>
      </c>
      <c r="AI95" s="21" t="n">
        <f aca="false">IF($J95=0,0,MAX(0,NETWORKDAYS(MAX($K95,AI$4),MIN($L95,EOMONTH(AI$4,0)),Assumptions!$F$4:$F$44))/NETWORKDAYS($K95,$L95,Assumptions!$F$4:$F$44))</f>
        <v>0.740740740740741</v>
      </c>
      <c r="AJ95" s="21" t="n">
        <f aca="false">IF($J95=0,0,MAX(0,NETWORKDAYS(MAX($K95,AJ$4),MIN($L95,EOMONTH(AJ$4,0)),Assumptions!$F$4:$F$44))/NETWORKDAYS($K95,$L95,Assumptions!$F$4:$F$44))</f>
        <v>0</v>
      </c>
      <c r="AK95" s="21" t="n">
        <f aca="false">IF($J95=0,0,MAX(0,NETWORKDAYS(MAX($K95,AK$4),MIN($L95,EOMONTH(AK$4,0)),Assumptions!$F$4:$F$44))/NETWORKDAYS($K95,$L95,Assumptions!$F$4:$F$44))</f>
        <v>0</v>
      </c>
      <c r="AL95" s="21" t="n">
        <f aca="false">IF($J95=0,0,MAX(0,NETWORKDAYS(MAX($K95,AL$4),MIN($L95,EOMONTH(AL$4,0)),Assumptions!$F$4:$F$44))/NETWORKDAYS($K95,$L95,Assumptions!$F$4:$F$44))</f>
        <v>0</v>
      </c>
      <c r="AM95" s="21" t="n">
        <f aca="false">IF($J95=0,0,MAX(0,NETWORKDAYS(MAX($K95,AM$4),MIN($L95,EOMONTH(AM$4,0)),Assumptions!$F$4:$F$44))/NETWORKDAYS($K95,$L95,Assumptions!$F$4:$F$44))</f>
        <v>0</v>
      </c>
      <c r="AN95" s="21" t="n">
        <f aca="false">IF($J95=0,0,MAX(0,NETWORKDAYS(MAX($K95,AN$4),MIN($L95,EOMONTH(AN$4,0)),Assumptions!$F$4:$F$44))/NETWORKDAYS($K95,$L95,Assumptions!$F$4:$F$44))</f>
        <v>0</v>
      </c>
      <c r="AO95" s="21" t="n">
        <f aca="false">IF($J95=0,0,MAX(0,NETWORKDAYS(MAX($K95,AO$4),MIN($L95,EOMONTH(AO$4,0)),Assumptions!$F$4:$F$44))/NETWORKDAYS($K95,$L95,Assumptions!$F$4:$F$44))</f>
        <v>0</v>
      </c>
      <c r="AP95" s="21" t="n">
        <f aca="false">IF($J95=0,0,MAX(0,NETWORKDAYS(MAX($K95,AP$4),MIN($L95,EOMONTH(AP$4,0)),Assumptions!$F$4:$F$44))/NETWORKDAYS($K95,$L95,Assumptions!$F$4:$F$44))</f>
        <v>0</v>
      </c>
      <c r="AQ95" s="21" t="n">
        <f aca="false">IF($J95=0,0,MAX(0,NETWORKDAYS(MAX($K95,AQ$4),MIN($L95,EOMONTH(AQ$4,0)),Assumptions!$F$4:$F$44))/NETWORKDAYS($K95,$L95,Assumptions!$F$4:$F$44))</f>
        <v>0</v>
      </c>
      <c r="AR95" s="21" t="n">
        <f aca="false">IF($J95=0,0,MAX(0,NETWORKDAYS(MAX($K95,AR$4),MIN($L95,EOMONTH(AR$4,0)),Assumptions!$F$4:$F$44))/NETWORKDAYS($K95,$L95,Assumptions!$F$4:$F$44))</f>
        <v>0</v>
      </c>
      <c r="AS95" s="21" t="n">
        <f aca="false">IF($J95=0,0,MAX(0,NETWORKDAYS(MAX($K95,AS$4),MIN($L95,EOMONTH(AS$4,0)),Assumptions!$F$4:$F$44))/NETWORKDAYS($K95,$L95,Assumptions!$F$4:$F$44))</f>
        <v>0</v>
      </c>
      <c r="AT95" s="21" t="n">
        <f aca="false">IF($J95=0,0,MAX(0,NETWORKDAYS(MAX($K95,AT$4),MIN($L95,EOMONTH(AT$4,0)),Assumptions!$F$4:$F$44))/NETWORKDAYS($K95,$L95,Assumptions!$F$4:$F$44))</f>
        <v>0</v>
      </c>
      <c r="AU95" s="21" t="n">
        <f aca="false">IF($J95=0,0,MAX(0,NETWORKDAYS(MAX($K95,AU$4),MIN($L95,EOMONTH(AU$4,0)),Assumptions!$F$4:$F$44))/NETWORKDAYS($K95,$L95,Assumptions!$F$4:$F$44))</f>
        <v>0</v>
      </c>
      <c r="AV95" s="21" t="n">
        <f aca="false">IF($J95=0,0,MAX(0,NETWORKDAYS(MAX($K95,AV$4),MIN($L95,EOMONTH(AV$4,0)),Assumptions!$F$4:$F$44))/NETWORKDAYS($K95,$L95,Assumptions!$F$4:$F$44))</f>
        <v>0</v>
      </c>
      <c r="AW95" s="21" t="n">
        <f aca="false">IF($J95=0,0,MAX(0,NETWORKDAYS(MAX($K95,AW$4),MIN($L95,EOMONTH(AW$4,0)),Assumptions!$F$4:$F$44))/NETWORKDAYS($K95,$L95,Assumptions!$F$4:$F$44))</f>
        <v>0</v>
      </c>
      <c r="AX95" s="21" t="n">
        <f aca="false">IF($J95=0,0,MAX(0,NETWORKDAYS(MAX($K95,AX$4),MIN($L95,EOMONTH(AX$4,0)),Assumptions!$F$4:$F$44))/NETWORKDAYS($K95,$L95,Assumptions!$F$4:$F$44))</f>
        <v>0</v>
      </c>
      <c r="AY95" s="21" t="n">
        <f aca="false">IF($J95=0,0,MAX(0,NETWORKDAYS(MAX($K95,AY$4),MIN($L95,EOMONTH(AY$4,0)),Assumptions!$F$4:$F$44))/NETWORKDAYS($K95,$L95,Assumptions!$F$4:$F$44))</f>
        <v>0</v>
      </c>
      <c r="AZ95" s="21" t="n">
        <f aca="false">IF($J95=0,0,MAX(0,NETWORKDAYS(MAX($K95,AZ$4),MIN($L95,EOMONTH(AZ$4,0)),Assumptions!$F$4:$F$44))/NETWORKDAYS($K95,$L95,Assumptions!$F$4:$F$44))</f>
        <v>0</v>
      </c>
      <c r="BA95" s="21" t="n">
        <f aca="false">IF($J95=0,0,MAX(0,NETWORKDAYS(MAX($K95,BA$4),MIN($L95,EOMONTH(BA$4,0)),Assumptions!$F$4:$F$44))/NETWORKDAYS($K95,$L95,Assumptions!$F$4:$F$44))</f>
        <v>0</v>
      </c>
      <c r="BB95" s="21" t="n">
        <f aca="false">IF($J95=0,0,MAX(0,NETWORKDAYS(MAX($K95,BB$4),MIN($L95,EOMONTH(BB$4,0)),Assumptions!$F$4:$F$44))/NETWORKDAYS($K95,$L95,Assumptions!$F$4:$F$44))</f>
        <v>0</v>
      </c>
      <c r="BC95" s="21" t="n">
        <f aca="false">IF($J95=0,0,MAX(0,NETWORKDAYS(MAX($K95,BC$4),MIN($L95,EOMONTH(BC$4,0)),Assumptions!$F$4:$F$44))/NETWORKDAYS($K95,$L95,Assumptions!$F$4:$F$44))</f>
        <v>0</v>
      </c>
    </row>
    <row r="96" customFormat="false" ht="15" hidden="false" customHeight="false" outlineLevel="2" collapsed="false">
      <c r="A96" s="27" t="n">
        <v>92</v>
      </c>
      <c r="B96" s="27" t="s">
        <v>264</v>
      </c>
      <c r="C96" s="27" t="n">
        <v>3</v>
      </c>
      <c r="D96" s="27" t="s">
        <v>92</v>
      </c>
      <c r="E96" s="28" t="s">
        <v>167</v>
      </c>
      <c r="F96" s="27" t="s">
        <v>154</v>
      </c>
      <c r="G96" s="27" t="s">
        <v>157</v>
      </c>
      <c r="H96" s="27" t="s">
        <v>57</v>
      </c>
      <c r="I96" s="29" t="n">
        <v>83</v>
      </c>
      <c r="J96" s="29" t="n">
        <v>11</v>
      </c>
      <c r="K96" s="30" t="n">
        <f aca="false">WORKDAY(Assumptions!$C$4,I96,Assumptions!$F$4:$F$44)</f>
        <v>46443</v>
      </c>
      <c r="L96" s="30" t="n">
        <f aca="false">IF(J96=0,K96,WORKDAY(K96,J96-1,Assumptions!$F$4:$F$44))</f>
        <v>46457</v>
      </c>
      <c r="M96" s="29"/>
      <c r="N96" s="31" t="n">
        <v>0</v>
      </c>
      <c r="O96" s="31" t="n">
        <v>0</v>
      </c>
      <c r="P96" s="31" t="n">
        <v>0</v>
      </c>
      <c r="Q96" s="31" t="n">
        <v>2</v>
      </c>
      <c r="R96" s="31" t="n">
        <v>0</v>
      </c>
      <c r="S96" s="31" t="n">
        <v>0</v>
      </c>
      <c r="T96" s="31" t="n">
        <v>0</v>
      </c>
      <c r="U96" s="31" t="n">
        <v>0</v>
      </c>
      <c r="V96" s="31" t="n">
        <v>4</v>
      </c>
      <c r="W96" s="31" t="n">
        <v>0</v>
      </c>
      <c r="X96" s="31" t="n">
        <v>0</v>
      </c>
      <c r="Y96" s="32" t="n">
        <f aca="false">SUM(N96:X96)</f>
        <v>6</v>
      </c>
      <c r="Z96" s="32" t="n">
        <f aca="false">Y96*(1+Assumptions!$C$5)</f>
        <v>6.9</v>
      </c>
      <c r="AA96" s="27" t="s">
        <v>168</v>
      </c>
      <c r="AB96" s="27" t="s">
        <v>95</v>
      </c>
      <c r="AC96" s="27"/>
      <c r="AD96" s="33" t="n">
        <v>0</v>
      </c>
      <c r="AF96" s="21" t="n">
        <f aca="false">IF($J96=0,0,MAX(0,NETWORKDAYS(MAX($K96,AF$4),MIN($L96,EOMONTH(AF$4,0)),Assumptions!$F$4:$F$44))/NETWORKDAYS($K96,$L96,Assumptions!$F$4:$F$44))</f>
        <v>0</v>
      </c>
      <c r="AG96" s="21" t="n">
        <f aca="false">IF($J96=0,0,MAX(0,NETWORKDAYS(MAX($K96,AG$4),MIN($L96,EOMONTH(AG$4,0)),Assumptions!$F$4:$F$44))/NETWORKDAYS($K96,$L96,Assumptions!$F$4:$F$44))</f>
        <v>0</v>
      </c>
      <c r="AH96" s="21" t="n">
        <f aca="false">IF($J96=0,0,MAX(0,NETWORKDAYS(MAX($K96,AH$4),MIN($L96,EOMONTH(AH$4,0)),Assumptions!$F$4:$F$44))/NETWORKDAYS($K96,$L96,Assumptions!$F$4:$F$44))</f>
        <v>0</v>
      </c>
      <c r="AI96" s="21" t="n">
        <f aca="false">IF($J96=0,0,MAX(0,NETWORKDAYS(MAX($K96,AI$4),MIN($L96,EOMONTH(AI$4,0)),Assumptions!$F$4:$F$44))/NETWORKDAYS($K96,$L96,Assumptions!$F$4:$F$44))</f>
        <v>0.181818181818182</v>
      </c>
      <c r="AJ96" s="21" t="n">
        <f aca="false">IF($J96=0,0,MAX(0,NETWORKDAYS(MAX($K96,AJ$4),MIN($L96,EOMONTH(AJ$4,0)),Assumptions!$F$4:$F$44))/NETWORKDAYS($K96,$L96,Assumptions!$F$4:$F$44))</f>
        <v>0.818181818181818</v>
      </c>
      <c r="AK96" s="21" t="n">
        <f aca="false">IF($J96=0,0,MAX(0,NETWORKDAYS(MAX($K96,AK$4),MIN($L96,EOMONTH(AK$4,0)),Assumptions!$F$4:$F$44))/NETWORKDAYS($K96,$L96,Assumptions!$F$4:$F$44))</f>
        <v>0</v>
      </c>
      <c r="AL96" s="21" t="n">
        <f aca="false">IF($J96=0,0,MAX(0,NETWORKDAYS(MAX($K96,AL$4),MIN($L96,EOMONTH(AL$4,0)),Assumptions!$F$4:$F$44))/NETWORKDAYS($K96,$L96,Assumptions!$F$4:$F$44))</f>
        <v>0</v>
      </c>
      <c r="AM96" s="21" t="n">
        <f aca="false">IF($J96=0,0,MAX(0,NETWORKDAYS(MAX($K96,AM$4),MIN($L96,EOMONTH(AM$4,0)),Assumptions!$F$4:$F$44))/NETWORKDAYS($K96,$L96,Assumptions!$F$4:$F$44))</f>
        <v>0</v>
      </c>
      <c r="AN96" s="21" t="n">
        <f aca="false">IF($J96=0,0,MAX(0,NETWORKDAYS(MAX($K96,AN$4),MIN($L96,EOMONTH(AN$4,0)),Assumptions!$F$4:$F$44))/NETWORKDAYS($K96,$L96,Assumptions!$F$4:$F$44))</f>
        <v>0</v>
      </c>
      <c r="AO96" s="21" t="n">
        <f aca="false">IF($J96=0,0,MAX(0,NETWORKDAYS(MAX($K96,AO$4),MIN($L96,EOMONTH(AO$4,0)),Assumptions!$F$4:$F$44))/NETWORKDAYS($K96,$L96,Assumptions!$F$4:$F$44))</f>
        <v>0</v>
      </c>
      <c r="AP96" s="21" t="n">
        <f aca="false">IF($J96=0,0,MAX(0,NETWORKDAYS(MAX($K96,AP$4),MIN($L96,EOMONTH(AP$4,0)),Assumptions!$F$4:$F$44))/NETWORKDAYS($K96,$L96,Assumptions!$F$4:$F$44))</f>
        <v>0</v>
      </c>
      <c r="AQ96" s="21" t="n">
        <f aca="false">IF($J96=0,0,MAX(0,NETWORKDAYS(MAX($K96,AQ$4),MIN($L96,EOMONTH(AQ$4,0)),Assumptions!$F$4:$F$44))/NETWORKDAYS($K96,$L96,Assumptions!$F$4:$F$44))</f>
        <v>0</v>
      </c>
      <c r="AR96" s="21" t="n">
        <f aca="false">IF($J96=0,0,MAX(0,NETWORKDAYS(MAX($K96,AR$4),MIN($L96,EOMONTH(AR$4,0)),Assumptions!$F$4:$F$44))/NETWORKDAYS($K96,$L96,Assumptions!$F$4:$F$44))</f>
        <v>0</v>
      </c>
      <c r="AS96" s="21" t="n">
        <f aca="false">IF($J96=0,0,MAX(0,NETWORKDAYS(MAX($K96,AS$4),MIN($L96,EOMONTH(AS$4,0)),Assumptions!$F$4:$F$44))/NETWORKDAYS($K96,$L96,Assumptions!$F$4:$F$44))</f>
        <v>0</v>
      </c>
      <c r="AT96" s="21" t="n">
        <f aca="false">IF($J96=0,0,MAX(0,NETWORKDAYS(MAX($K96,AT$4),MIN($L96,EOMONTH(AT$4,0)),Assumptions!$F$4:$F$44))/NETWORKDAYS($K96,$L96,Assumptions!$F$4:$F$44))</f>
        <v>0</v>
      </c>
      <c r="AU96" s="21" t="n">
        <f aca="false">IF($J96=0,0,MAX(0,NETWORKDAYS(MAX($K96,AU$4),MIN($L96,EOMONTH(AU$4,0)),Assumptions!$F$4:$F$44))/NETWORKDAYS($K96,$L96,Assumptions!$F$4:$F$44))</f>
        <v>0</v>
      </c>
      <c r="AV96" s="21" t="n">
        <f aca="false">IF($J96=0,0,MAX(0,NETWORKDAYS(MAX($K96,AV$4),MIN($L96,EOMONTH(AV$4,0)),Assumptions!$F$4:$F$44))/NETWORKDAYS($K96,$L96,Assumptions!$F$4:$F$44))</f>
        <v>0</v>
      </c>
      <c r="AW96" s="21" t="n">
        <f aca="false">IF($J96=0,0,MAX(0,NETWORKDAYS(MAX($K96,AW$4),MIN($L96,EOMONTH(AW$4,0)),Assumptions!$F$4:$F$44))/NETWORKDAYS($K96,$L96,Assumptions!$F$4:$F$44))</f>
        <v>0</v>
      </c>
      <c r="AX96" s="21" t="n">
        <f aca="false">IF($J96=0,0,MAX(0,NETWORKDAYS(MAX($K96,AX$4),MIN($L96,EOMONTH(AX$4,0)),Assumptions!$F$4:$F$44))/NETWORKDAYS($K96,$L96,Assumptions!$F$4:$F$44))</f>
        <v>0</v>
      </c>
      <c r="AY96" s="21" t="n">
        <f aca="false">IF($J96=0,0,MAX(0,NETWORKDAYS(MAX($K96,AY$4),MIN($L96,EOMONTH(AY$4,0)),Assumptions!$F$4:$F$44))/NETWORKDAYS($K96,$L96,Assumptions!$F$4:$F$44))</f>
        <v>0</v>
      </c>
      <c r="AZ96" s="21" t="n">
        <f aca="false">IF($J96=0,0,MAX(0,NETWORKDAYS(MAX($K96,AZ$4),MIN($L96,EOMONTH(AZ$4,0)),Assumptions!$F$4:$F$44))/NETWORKDAYS($K96,$L96,Assumptions!$F$4:$F$44))</f>
        <v>0</v>
      </c>
      <c r="BA96" s="21" t="n">
        <f aca="false">IF($J96=0,0,MAX(0,NETWORKDAYS(MAX($K96,BA$4),MIN($L96,EOMONTH(BA$4,0)),Assumptions!$F$4:$F$44))/NETWORKDAYS($K96,$L96,Assumptions!$F$4:$F$44))</f>
        <v>0</v>
      </c>
      <c r="BB96" s="21" t="n">
        <f aca="false">IF($J96=0,0,MAX(0,NETWORKDAYS(MAX($K96,BB$4),MIN($L96,EOMONTH(BB$4,0)),Assumptions!$F$4:$F$44))/NETWORKDAYS($K96,$L96,Assumptions!$F$4:$F$44))</f>
        <v>0</v>
      </c>
      <c r="BC96" s="21" t="n">
        <f aca="false">IF($J96=0,0,MAX(0,NETWORKDAYS(MAX($K96,BC$4),MIN($L96,EOMONTH(BC$4,0)),Assumptions!$F$4:$F$44))/NETWORKDAYS($K96,$L96,Assumptions!$F$4:$F$44))</f>
        <v>0</v>
      </c>
    </row>
    <row r="97" customFormat="false" ht="15" hidden="false" customHeight="false" outlineLevel="1" collapsed="false">
      <c r="A97" s="22" t="n">
        <v>93</v>
      </c>
      <c r="B97" s="22" t="s">
        <v>265</v>
      </c>
      <c r="C97" s="22" t="n">
        <v>2</v>
      </c>
      <c r="D97" s="22" t="s">
        <v>89</v>
      </c>
      <c r="E97" s="23" t="s">
        <v>266</v>
      </c>
      <c r="F97" s="22" t="s">
        <v>154</v>
      </c>
      <c r="G97" s="22" t="s">
        <v>157</v>
      </c>
      <c r="H97" s="22"/>
      <c r="I97" s="22"/>
      <c r="J97" s="22" t="n">
        <f aca="false">NETWORKDAYS(K97,L97,Assumptions!$F$4:$F$44)</f>
        <v>39</v>
      </c>
      <c r="K97" s="24" t="n">
        <f aca="false">MIN(K98:K100)</f>
        <v>46350</v>
      </c>
      <c r="L97" s="24" t="n">
        <f aca="false">MAX(L98:L100)</f>
        <v>46402</v>
      </c>
      <c r="M97" s="22"/>
      <c r="N97" s="25" t="n">
        <f aca="false">SUMPRODUCT(($C$98:$C$100=3)*(N98:N100))</f>
        <v>0</v>
      </c>
      <c r="O97" s="25" t="n">
        <f aca="false">SUMPRODUCT(($C$98:$C$100=3)*(O98:O100))</f>
        <v>0</v>
      </c>
      <c r="P97" s="25" t="n">
        <f aca="false">SUMPRODUCT(($C$98:$C$100=3)*(P98:P100))</f>
        <v>2</v>
      </c>
      <c r="Q97" s="25" t="n">
        <f aca="false">SUMPRODUCT(($C$98:$C$100=3)*(Q98:Q100))</f>
        <v>4</v>
      </c>
      <c r="R97" s="25" t="n">
        <f aca="false">SUMPRODUCT(($C$98:$C$100=3)*(R98:R100))</f>
        <v>0</v>
      </c>
      <c r="S97" s="25" t="n">
        <f aca="false">SUMPRODUCT(($C$98:$C$100=3)*(S98:S100))</f>
        <v>0</v>
      </c>
      <c r="T97" s="25" t="n">
        <f aca="false">SUMPRODUCT(($C$98:$C$100=3)*(T98:T100))</f>
        <v>0</v>
      </c>
      <c r="U97" s="25" t="n">
        <f aca="false">SUMPRODUCT(($C$98:$C$100=3)*(U98:U100))</f>
        <v>11</v>
      </c>
      <c r="V97" s="25" t="n">
        <f aca="false">SUMPRODUCT(($C$98:$C$100=3)*(V98:V100))</f>
        <v>3</v>
      </c>
      <c r="W97" s="25" t="n">
        <f aca="false">SUMPRODUCT(($C$98:$C$100=3)*(W98:W100))</f>
        <v>0</v>
      </c>
      <c r="X97" s="25" t="n">
        <f aca="false">SUMPRODUCT(($C$98:$C$100=3)*(X98:X100))</f>
        <v>0</v>
      </c>
      <c r="Y97" s="25" t="n">
        <f aca="false">SUM(N97:X97)</f>
        <v>20</v>
      </c>
      <c r="Z97" s="25" t="n">
        <f aca="false">Y97*(1+Assumptions!$C$5)</f>
        <v>23</v>
      </c>
      <c r="AA97" s="22" t="s">
        <v>267</v>
      </c>
      <c r="AB97" s="22"/>
      <c r="AC97" s="22"/>
      <c r="AD97" s="26"/>
      <c r="AF97" s="21" t="n">
        <v>0</v>
      </c>
      <c r="AG97" s="21" t="n">
        <v>0</v>
      </c>
      <c r="AH97" s="21" t="n">
        <v>0</v>
      </c>
      <c r="AI97" s="21" t="n">
        <v>0</v>
      </c>
      <c r="AJ97" s="21" t="n">
        <v>0</v>
      </c>
      <c r="AK97" s="21" t="n">
        <v>0</v>
      </c>
      <c r="AL97" s="21" t="n">
        <v>0</v>
      </c>
      <c r="AM97" s="21" t="n">
        <v>0</v>
      </c>
      <c r="AN97" s="21" t="n">
        <v>0</v>
      </c>
      <c r="AO97" s="21" t="n">
        <v>0</v>
      </c>
      <c r="AP97" s="21" t="n">
        <v>0</v>
      </c>
      <c r="AQ97" s="21" t="n">
        <v>0</v>
      </c>
      <c r="AR97" s="21" t="n">
        <v>0</v>
      </c>
      <c r="AS97" s="21" t="n">
        <v>0</v>
      </c>
      <c r="AT97" s="21" t="n">
        <v>0</v>
      </c>
      <c r="AU97" s="21" t="n">
        <v>0</v>
      </c>
      <c r="AV97" s="21" t="n">
        <v>0</v>
      </c>
      <c r="AW97" s="21" t="n">
        <v>0</v>
      </c>
      <c r="AX97" s="21" t="n">
        <v>0</v>
      </c>
      <c r="AY97" s="21" t="n">
        <v>0</v>
      </c>
      <c r="AZ97" s="21" t="n">
        <v>0</v>
      </c>
      <c r="BA97" s="21" t="n">
        <v>0</v>
      </c>
      <c r="BB97" s="21" t="n">
        <v>0</v>
      </c>
      <c r="BC97" s="21" t="n">
        <v>0</v>
      </c>
    </row>
    <row r="98" customFormat="false" ht="15" hidden="false" customHeight="false" outlineLevel="2" collapsed="false">
      <c r="A98" s="27" t="n">
        <v>94</v>
      </c>
      <c r="B98" s="27" t="s">
        <v>268</v>
      </c>
      <c r="C98" s="27" t="n">
        <v>3</v>
      </c>
      <c r="D98" s="27" t="s">
        <v>92</v>
      </c>
      <c r="E98" s="28" t="s">
        <v>160</v>
      </c>
      <c r="F98" s="27" t="s">
        <v>154</v>
      </c>
      <c r="G98" s="27" t="s">
        <v>157</v>
      </c>
      <c r="H98" s="27" t="s">
        <v>45</v>
      </c>
      <c r="I98" s="29" t="n">
        <v>16</v>
      </c>
      <c r="J98" s="29" t="n">
        <v>8</v>
      </c>
      <c r="K98" s="30" t="n">
        <f aca="false">WORKDAY(Assumptions!$C$4,I98,Assumptions!$F$4:$F$44)</f>
        <v>46350</v>
      </c>
      <c r="L98" s="30" t="n">
        <f aca="false">IF(J98=0,K98,WORKDAY(K98,J98-1,Assumptions!$F$4:$F$44))</f>
        <v>46359</v>
      </c>
      <c r="M98" s="29" t="s">
        <v>161</v>
      </c>
      <c r="N98" s="31" t="n">
        <v>0</v>
      </c>
      <c r="O98" s="31" t="n">
        <v>0</v>
      </c>
      <c r="P98" s="31" t="n">
        <v>2</v>
      </c>
      <c r="Q98" s="31" t="n">
        <v>0</v>
      </c>
      <c r="R98" s="31" t="n">
        <v>0</v>
      </c>
      <c r="S98" s="31" t="n">
        <v>0</v>
      </c>
      <c r="T98" s="31" t="n">
        <v>0</v>
      </c>
      <c r="U98" s="31" t="n">
        <v>0</v>
      </c>
      <c r="V98" s="31" t="n">
        <v>0</v>
      </c>
      <c r="W98" s="31" t="n">
        <v>0</v>
      </c>
      <c r="X98" s="31" t="n">
        <v>0</v>
      </c>
      <c r="Y98" s="32" t="n">
        <f aca="false">SUM(N98:X98)</f>
        <v>2</v>
      </c>
      <c r="Z98" s="32" t="n">
        <f aca="false">Y98*(1+Assumptions!$C$5)</f>
        <v>2.3</v>
      </c>
      <c r="AA98" s="27" t="s">
        <v>162</v>
      </c>
      <c r="AB98" s="27" t="s">
        <v>95</v>
      </c>
      <c r="AC98" s="27"/>
      <c r="AD98" s="33" t="n">
        <v>0</v>
      </c>
      <c r="AF98" s="21" t="n">
        <f aca="false">IF($J98=0,0,MAX(0,NETWORKDAYS(MAX($K98,AF$4),MIN($L98,EOMONTH(AF$4,0)),Assumptions!$F$4:$F$44))/NETWORKDAYS($K98,$L98,Assumptions!$F$4:$F$44))</f>
        <v>0.625</v>
      </c>
      <c r="AG98" s="21" t="n">
        <f aca="false">IF($J98=0,0,MAX(0,NETWORKDAYS(MAX($K98,AG$4),MIN($L98,EOMONTH(AG$4,0)),Assumptions!$F$4:$F$44))/NETWORKDAYS($K98,$L98,Assumptions!$F$4:$F$44))</f>
        <v>0.375</v>
      </c>
      <c r="AH98" s="21" t="n">
        <f aca="false">IF($J98=0,0,MAX(0,NETWORKDAYS(MAX($K98,AH$4),MIN($L98,EOMONTH(AH$4,0)),Assumptions!$F$4:$F$44))/NETWORKDAYS($K98,$L98,Assumptions!$F$4:$F$44))</f>
        <v>0</v>
      </c>
      <c r="AI98" s="21" t="n">
        <f aca="false">IF($J98=0,0,MAX(0,NETWORKDAYS(MAX($K98,AI$4),MIN($L98,EOMONTH(AI$4,0)),Assumptions!$F$4:$F$44))/NETWORKDAYS($K98,$L98,Assumptions!$F$4:$F$44))</f>
        <v>0</v>
      </c>
      <c r="AJ98" s="21" t="n">
        <f aca="false">IF($J98=0,0,MAX(0,NETWORKDAYS(MAX($K98,AJ$4),MIN($L98,EOMONTH(AJ$4,0)),Assumptions!$F$4:$F$44))/NETWORKDAYS($K98,$L98,Assumptions!$F$4:$F$44))</f>
        <v>0</v>
      </c>
      <c r="AK98" s="21" t="n">
        <f aca="false">IF($J98=0,0,MAX(0,NETWORKDAYS(MAX($K98,AK$4),MIN($L98,EOMONTH(AK$4,0)),Assumptions!$F$4:$F$44))/NETWORKDAYS($K98,$L98,Assumptions!$F$4:$F$44))</f>
        <v>0</v>
      </c>
      <c r="AL98" s="21" t="n">
        <f aca="false">IF($J98=0,0,MAX(0,NETWORKDAYS(MAX($K98,AL$4),MIN($L98,EOMONTH(AL$4,0)),Assumptions!$F$4:$F$44))/NETWORKDAYS($K98,$L98,Assumptions!$F$4:$F$44))</f>
        <v>0</v>
      </c>
      <c r="AM98" s="21" t="n">
        <f aca="false">IF($J98=0,0,MAX(0,NETWORKDAYS(MAX($K98,AM$4),MIN($L98,EOMONTH(AM$4,0)),Assumptions!$F$4:$F$44))/NETWORKDAYS($K98,$L98,Assumptions!$F$4:$F$44))</f>
        <v>0</v>
      </c>
      <c r="AN98" s="21" t="n">
        <f aca="false">IF($J98=0,0,MAX(0,NETWORKDAYS(MAX($K98,AN$4),MIN($L98,EOMONTH(AN$4,0)),Assumptions!$F$4:$F$44))/NETWORKDAYS($K98,$L98,Assumptions!$F$4:$F$44))</f>
        <v>0</v>
      </c>
      <c r="AO98" s="21" t="n">
        <f aca="false">IF($J98=0,0,MAX(0,NETWORKDAYS(MAX($K98,AO$4),MIN($L98,EOMONTH(AO$4,0)),Assumptions!$F$4:$F$44))/NETWORKDAYS($K98,$L98,Assumptions!$F$4:$F$44))</f>
        <v>0</v>
      </c>
      <c r="AP98" s="21" t="n">
        <f aca="false">IF($J98=0,0,MAX(0,NETWORKDAYS(MAX($K98,AP$4),MIN($L98,EOMONTH(AP$4,0)),Assumptions!$F$4:$F$44))/NETWORKDAYS($K98,$L98,Assumptions!$F$4:$F$44))</f>
        <v>0</v>
      </c>
      <c r="AQ98" s="21" t="n">
        <f aca="false">IF($J98=0,0,MAX(0,NETWORKDAYS(MAX($K98,AQ$4),MIN($L98,EOMONTH(AQ$4,0)),Assumptions!$F$4:$F$44))/NETWORKDAYS($K98,$L98,Assumptions!$F$4:$F$44))</f>
        <v>0</v>
      </c>
      <c r="AR98" s="21" t="n">
        <f aca="false">IF($J98=0,0,MAX(0,NETWORKDAYS(MAX($K98,AR$4),MIN($L98,EOMONTH(AR$4,0)),Assumptions!$F$4:$F$44))/NETWORKDAYS($K98,$L98,Assumptions!$F$4:$F$44))</f>
        <v>0</v>
      </c>
      <c r="AS98" s="21" t="n">
        <f aca="false">IF($J98=0,0,MAX(0,NETWORKDAYS(MAX($K98,AS$4),MIN($L98,EOMONTH(AS$4,0)),Assumptions!$F$4:$F$44))/NETWORKDAYS($K98,$L98,Assumptions!$F$4:$F$44))</f>
        <v>0</v>
      </c>
      <c r="AT98" s="21" t="n">
        <f aca="false">IF($J98=0,0,MAX(0,NETWORKDAYS(MAX($K98,AT$4),MIN($L98,EOMONTH(AT$4,0)),Assumptions!$F$4:$F$44))/NETWORKDAYS($K98,$L98,Assumptions!$F$4:$F$44))</f>
        <v>0</v>
      </c>
      <c r="AU98" s="21" t="n">
        <f aca="false">IF($J98=0,0,MAX(0,NETWORKDAYS(MAX($K98,AU$4),MIN($L98,EOMONTH(AU$4,0)),Assumptions!$F$4:$F$44))/NETWORKDAYS($K98,$L98,Assumptions!$F$4:$F$44))</f>
        <v>0</v>
      </c>
      <c r="AV98" s="21" t="n">
        <f aca="false">IF($J98=0,0,MAX(0,NETWORKDAYS(MAX($K98,AV$4),MIN($L98,EOMONTH(AV$4,0)),Assumptions!$F$4:$F$44))/NETWORKDAYS($K98,$L98,Assumptions!$F$4:$F$44))</f>
        <v>0</v>
      </c>
      <c r="AW98" s="21" t="n">
        <f aca="false">IF($J98=0,0,MAX(0,NETWORKDAYS(MAX($K98,AW$4),MIN($L98,EOMONTH(AW$4,0)),Assumptions!$F$4:$F$44))/NETWORKDAYS($K98,$L98,Assumptions!$F$4:$F$44))</f>
        <v>0</v>
      </c>
      <c r="AX98" s="21" t="n">
        <f aca="false">IF($J98=0,0,MAX(0,NETWORKDAYS(MAX($K98,AX$4),MIN($L98,EOMONTH(AX$4,0)),Assumptions!$F$4:$F$44))/NETWORKDAYS($K98,$L98,Assumptions!$F$4:$F$44))</f>
        <v>0</v>
      </c>
      <c r="AY98" s="21" t="n">
        <f aca="false">IF($J98=0,0,MAX(0,NETWORKDAYS(MAX($K98,AY$4),MIN($L98,EOMONTH(AY$4,0)),Assumptions!$F$4:$F$44))/NETWORKDAYS($K98,$L98,Assumptions!$F$4:$F$44))</f>
        <v>0</v>
      </c>
      <c r="AZ98" s="21" t="n">
        <f aca="false">IF($J98=0,0,MAX(0,NETWORKDAYS(MAX($K98,AZ$4),MIN($L98,EOMONTH(AZ$4,0)),Assumptions!$F$4:$F$44))/NETWORKDAYS($K98,$L98,Assumptions!$F$4:$F$44))</f>
        <v>0</v>
      </c>
      <c r="BA98" s="21" t="n">
        <f aca="false">IF($J98=0,0,MAX(0,NETWORKDAYS(MAX($K98,BA$4),MIN($L98,EOMONTH(BA$4,0)),Assumptions!$F$4:$F$44))/NETWORKDAYS($K98,$L98,Assumptions!$F$4:$F$44))</f>
        <v>0</v>
      </c>
      <c r="BB98" s="21" t="n">
        <f aca="false">IF($J98=0,0,MAX(0,NETWORKDAYS(MAX($K98,BB$4),MIN($L98,EOMONTH(BB$4,0)),Assumptions!$F$4:$F$44))/NETWORKDAYS($K98,$L98,Assumptions!$F$4:$F$44))</f>
        <v>0</v>
      </c>
      <c r="BC98" s="21" t="n">
        <f aca="false">IF($J98=0,0,MAX(0,NETWORKDAYS(MAX($K98,BC$4),MIN($L98,EOMONTH(BC$4,0)),Assumptions!$F$4:$F$44))/NETWORKDAYS($K98,$L98,Assumptions!$F$4:$F$44))</f>
        <v>0</v>
      </c>
    </row>
    <row r="99" customFormat="false" ht="15" hidden="false" customHeight="false" outlineLevel="2" collapsed="false">
      <c r="A99" s="27" t="n">
        <v>95</v>
      </c>
      <c r="B99" s="27" t="s">
        <v>269</v>
      </c>
      <c r="C99" s="27" t="n">
        <v>3</v>
      </c>
      <c r="D99" s="27" t="s">
        <v>92</v>
      </c>
      <c r="E99" s="28" t="s">
        <v>164</v>
      </c>
      <c r="F99" s="27" t="s">
        <v>154</v>
      </c>
      <c r="G99" s="27" t="s">
        <v>157</v>
      </c>
      <c r="H99" s="27" t="s">
        <v>55</v>
      </c>
      <c r="I99" s="29" t="n">
        <v>23</v>
      </c>
      <c r="J99" s="29" t="n">
        <v>24</v>
      </c>
      <c r="K99" s="30" t="n">
        <f aca="false">WORKDAY(Assumptions!$C$4,I99,Assumptions!$F$4:$F$44)</f>
        <v>46359</v>
      </c>
      <c r="L99" s="30" t="n">
        <f aca="false">IF(J99=0,K99,WORKDAY(K99,J99-1,Assumptions!$F$4:$F$44))</f>
        <v>46392</v>
      </c>
      <c r="M99" s="29"/>
      <c r="N99" s="31" t="n">
        <v>0</v>
      </c>
      <c r="O99" s="31" t="n">
        <v>0</v>
      </c>
      <c r="P99" s="31" t="n">
        <v>0</v>
      </c>
      <c r="Q99" s="31" t="n">
        <v>4</v>
      </c>
      <c r="R99" s="31" t="n">
        <v>0</v>
      </c>
      <c r="S99" s="31" t="n">
        <v>0</v>
      </c>
      <c r="T99" s="31" t="n">
        <v>0</v>
      </c>
      <c r="U99" s="31" t="n">
        <v>11</v>
      </c>
      <c r="V99" s="31" t="n">
        <v>0</v>
      </c>
      <c r="W99" s="31" t="n">
        <v>0</v>
      </c>
      <c r="X99" s="31" t="n">
        <v>0</v>
      </c>
      <c r="Y99" s="32" t="n">
        <f aca="false">SUM(N99:X99)</f>
        <v>15</v>
      </c>
      <c r="Z99" s="32" t="n">
        <f aca="false">Y99*(1+Assumptions!$C$5)</f>
        <v>17.25</v>
      </c>
      <c r="AA99" s="27" t="s">
        <v>165</v>
      </c>
      <c r="AB99" s="27" t="s">
        <v>95</v>
      </c>
      <c r="AC99" s="27"/>
      <c r="AD99" s="33" t="n">
        <v>0</v>
      </c>
      <c r="AF99" s="21" t="n">
        <f aca="false">IF($J99=0,0,MAX(0,NETWORKDAYS(MAX($K99,AF$4),MIN($L99,EOMONTH(AF$4,0)),Assumptions!$F$4:$F$44))/NETWORKDAYS($K99,$L99,Assumptions!$F$4:$F$44))</f>
        <v>0</v>
      </c>
      <c r="AG99" s="21" t="n">
        <f aca="false">IF($J99=0,0,MAX(0,NETWORKDAYS(MAX($K99,AG$4),MIN($L99,EOMONTH(AG$4,0)),Assumptions!$F$4:$F$44))/NETWORKDAYS($K99,$L99,Assumptions!$F$4:$F$44))</f>
        <v>0.875</v>
      </c>
      <c r="AH99" s="21" t="n">
        <f aca="false">IF($J99=0,0,MAX(0,NETWORKDAYS(MAX($K99,AH$4),MIN($L99,EOMONTH(AH$4,0)),Assumptions!$F$4:$F$44))/NETWORKDAYS($K99,$L99,Assumptions!$F$4:$F$44))</f>
        <v>0.125</v>
      </c>
      <c r="AI99" s="21" t="n">
        <f aca="false">IF($J99=0,0,MAX(0,NETWORKDAYS(MAX($K99,AI$4),MIN($L99,EOMONTH(AI$4,0)),Assumptions!$F$4:$F$44))/NETWORKDAYS($K99,$L99,Assumptions!$F$4:$F$44))</f>
        <v>0</v>
      </c>
      <c r="AJ99" s="21" t="n">
        <f aca="false">IF($J99=0,0,MAX(0,NETWORKDAYS(MAX($K99,AJ$4),MIN($L99,EOMONTH(AJ$4,0)),Assumptions!$F$4:$F$44))/NETWORKDAYS($K99,$L99,Assumptions!$F$4:$F$44))</f>
        <v>0</v>
      </c>
      <c r="AK99" s="21" t="n">
        <f aca="false">IF($J99=0,0,MAX(0,NETWORKDAYS(MAX($K99,AK$4),MIN($L99,EOMONTH(AK$4,0)),Assumptions!$F$4:$F$44))/NETWORKDAYS($K99,$L99,Assumptions!$F$4:$F$44))</f>
        <v>0</v>
      </c>
      <c r="AL99" s="21" t="n">
        <f aca="false">IF($J99=0,0,MAX(0,NETWORKDAYS(MAX($K99,AL$4),MIN($L99,EOMONTH(AL$4,0)),Assumptions!$F$4:$F$44))/NETWORKDAYS($K99,$L99,Assumptions!$F$4:$F$44))</f>
        <v>0</v>
      </c>
      <c r="AM99" s="21" t="n">
        <f aca="false">IF($J99=0,0,MAX(0,NETWORKDAYS(MAX($K99,AM$4),MIN($L99,EOMONTH(AM$4,0)),Assumptions!$F$4:$F$44))/NETWORKDAYS($K99,$L99,Assumptions!$F$4:$F$44))</f>
        <v>0</v>
      </c>
      <c r="AN99" s="21" t="n">
        <f aca="false">IF($J99=0,0,MAX(0,NETWORKDAYS(MAX($K99,AN$4),MIN($L99,EOMONTH(AN$4,0)),Assumptions!$F$4:$F$44))/NETWORKDAYS($K99,$L99,Assumptions!$F$4:$F$44))</f>
        <v>0</v>
      </c>
      <c r="AO99" s="21" t="n">
        <f aca="false">IF($J99=0,0,MAX(0,NETWORKDAYS(MAX($K99,AO$4),MIN($L99,EOMONTH(AO$4,0)),Assumptions!$F$4:$F$44))/NETWORKDAYS($K99,$L99,Assumptions!$F$4:$F$44))</f>
        <v>0</v>
      </c>
      <c r="AP99" s="21" t="n">
        <f aca="false">IF($J99=0,0,MAX(0,NETWORKDAYS(MAX($K99,AP$4),MIN($L99,EOMONTH(AP$4,0)),Assumptions!$F$4:$F$44))/NETWORKDAYS($K99,$L99,Assumptions!$F$4:$F$44))</f>
        <v>0</v>
      </c>
      <c r="AQ99" s="21" t="n">
        <f aca="false">IF($J99=0,0,MAX(0,NETWORKDAYS(MAX($K99,AQ$4),MIN($L99,EOMONTH(AQ$4,0)),Assumptions!$F$4:$F$44))/NETWORKDAYS($K99,$L99,Assumptions!$F$4:$F$44))</f>
        <v>0</v>
      </c>
      <c r="AR99" s="21" t="n">
        <f aca="false">IF($J99=0,0,MAX(0,NETWORKDAYS(MAX($K99,AR$4),MIN($L99,EOMONTH(AR$4,0)),Assumptions!$F$4:$F$44))/NETWORKDAYS($K99,$L99,Assumptions!$F$4:$F$44))</f>
        <v>0</v>
      </c>
      <c r="AS99" s="21" t="n">
        <f aca="false">IF($J99=0,0,MAX(0,NETWORKDAYS(MAX($K99,AS$4),MIN($L99,EOMONTH(AS$4,0)),Assumptions!$F$4:$F$44))/NETWORKDAYS($K99,$L99,Assumptions!$F$4:$F$44))</f>
        <v>0</v>
      </c>
      <c r="AT99" s="21" t="n">
        <f aca="false">IF($J99=0,0,MAX(0,NETWORKDAYS(MAX($K99,AT$4),MIN($L99,EOMONTH(AT$4,0)),Assumptions!$F$4:$F$44))/NETWORKDAYS($K99,$L99,Assumptions!$F$4:$F$44))</f>
        <v>0</v>
      </c>
      <c r="AU99" s="21" t="n">
        <f aca="false">IF($J99=0,0,MAX(0,NETWORKDAYS(MAX($K99,AU$4),MIN($L99,EOMONTH(AU$4,0)),Assumptions!$F$4:$F$44))/NETWORKDAYS($K99,$L99,Assumptions!$F$4:$F$44))</f>
        <v>0</v>
      </c>
      <c r="AV99" s="21" t="n">
        <f aca="false">IF($J99=0,0,MAX(0,NETWORKDAYS(MAX($K99,AV$4),MIN($L99,EOMONTH(AV$4,0)),Assumptions!$F$4:$F$44))/NETWORKDAYS($K99,$L99,Assumptions!$F$4:$F$44))</f>
        <v>0</v>
      </c>
      <c r="AW99" s="21" t="n">
        <f aca="false">IF($J99=0,0,MAX(0,NETWORKDAYS(MAX($K99,AW$4),MIN($L99,EOMONTH(AW$4,0)),Assumptions!$F$4:$F$44))/NETWORKDAYS($K99,$L99,Assumptions!$F$4:$F$44))</f>
        <v>0</v>
      </c>
      <c r="AX99" s="21" t="n">
        <f aca="false">IF($J99=0,0,MAX(0,NETWORKDAYS(MAX($K99,AX$4),MIN($L99,EOMONTH(AX$4,0)),Assumptions!$F$4:$F$44))/NETWORKDAYS($K99,$L99,Assumptions!$F$4:$F$44))</f>
        <v>0</v>
      </c>
      <c r="AY99" s="21" t="n">
        <f aca="false">IF($J99=0,0,MAX(0,NETWORKDAYS(MAX($K99,AY$4),MIN($L99,EOMONTH(AY$4,0)),Assumptions!$F$4:$F$44))/NETWORKDAYS($K99,$L99,Assumptions!$F$4:$F$44))</f>
        <v>0</v>
      </c>
      <c r="AZ99" s="21" t="n">
        <f aca="false">IF($J99=0,0,MAX(0,NETWORKDAYS(MAX($K99,AZ$4),MIN($L99,EOMONTH(AZ$4,0)),Assumptions!$F$4:$F$44))/NETWORKDAYS($K99,$L99,Assumptions!$F$4:$F$44))</f>
        <v>0</v>
      </c>
      <c r="BA99" s="21" t="n">
        <f aca="false">IF($J99=0,0,MAX(0,NETWORKDAYS(MAX($K99,BA$4),MIN($L99,EOMONTH(BA$4,0)),Assumptions!$F$4:$F$44))/NETWORKDAYS($K99,$L99,Assumptions!$F$4:$F$44))</f>
        <v>0</v>
      </c>
      <c r="BB99" s="21" t="n">
        <f aca="false">IF($J99=0,0,MAX(0,NETWORKDAYS(MAX($K99,BB$4),MIN($L99,EOMONTH(BB$4,0)),Assumptions!$F$4:$F$44))/NETWORKDAYS($K99,$L99,Assumptions!$F$4:$F$44))</f>
        <v>0</v>
      </c>
      <c r="BC99" s="21" t="n">
        <f aca="false">IF($J99=0,0,MAX(0,NETWORKDAYS(MAX($K99,BC$4),MIN($L99,EOMONTH(BC$4,0)),Assumptions!$F$4:$F$44))/NETWORKDAYS($K99,$L99,Assumptions!$F$4:$F$44))</f>
        <v>0</v>
      </c>
    </row>
    <row r="100" customFormat="false" ht="15" hidden="false" customHeight="false" outlineLevel="2" collapsed="false">
      <c r="A100" s="27" t="n">
        <v>96</v>
      </c>
      <c r="B100" s="27" t="s">
        <v>270</v>
      </c>
      <c r="C100" s="27" t="n">
        <v>3</v>
      </c>
      <c r="D100" s="27" t="s">
        <v>92</v>
      </c>
      <c r="E100" s="28" t="s">
        <v>167</v>
      </c>
      <c r="F100" s="27" t="s">
        <v>154</v>
      </c>
      <c r="G100" s="27" t="s">
        <v>157</v>
      </c>
      <c r="H100" s="27" t="s">
        <v>57</v>
      </c>
      <c r="I100" s="29" t="n">
        <v>45</v>
      </c>
      <c r="J100" s="29" t="n">
        <v>10</v>
      </c>
      <c r="K100" s="30" t="n">
        <f aca="false">WORKDAY(Assumptions!$C$4,I100,Assumptions!$F$4:$F$44)</f>
        <v>46391</v>
      </c>
      <c r="L100" s="30" t="n">
        <f aca="false">IF(J100=0,K100,WORKDAY(K100,J100-1,Assumptions!$F$4:$F$44))</f>
        <v>46402</v>
      </c>
      <c r="M100" s="29"/>
      <c r="N100" s="31" t="n">
        <v>0</v>
      </c>
      <c r="O100" s="31" t="n">
        <v>0</v>
      </c>
      <c r="P100" s="31" t="n">
        <v>0</v>
      </c>
      <c r="Q100" s="31" t="n">
        <v>0</v>
      </c>
      <c r="R100" s="31" t="n">
        <v>0</v>
      </c>
      <c r="S100" s="31" t="n">
        <v>0</v>
      </c>
      <c r="T100" s="31" t="n">
        <v>0</v>
      </c>
      <c r="U100" s="31" t="n">
        <v>0</v>
      </c>
      <c r="V100" s="31" t="n">
        <v>3</v>
      </c>
      <c r="W100" s="31" t="n">
        <v>0</v>
      </c>
      <c r="X100" s="31" t="n">
        <v>0</v>
      </c>
      <c r="Y100" s="32" t="n">
        <f aca="false">SUM(N100:X100)</f>
        <v>3</v>
      </c>
      <c r="Z100" s="32" t="n">
        <f aca="false">Y100*(1+Assumptions!$C$5)</f>
        <v>3.45</v>
      </c>
      <c r="AA100" s="27" t="s">
        <v>168</v>
      </c>
      <c r="AB100" s="27" t="s">
        <v>95</v>
      </c>
      <c r="AC100" s="27"/>
      <c r="AD100" s="33" t="n">
        <v>0</v>
      </c>
      <c r="AF100" s="21" t="n">
        <f aca="false">IF($J100=0,0,MAX(0,NETWORKDAYS(MAX($K100,AF$4),MIN($L100,EOMONTH(AF$4,0)),Assumptions!$F$4:$F$44))/NETWORKDAYS($K100,$L100,Assumptions!$F$4:$F$44))</f>
        <v>0</v>
      </c>
      <c r="AG100" s="21" t="n">
        <f aca="false">IF($J100=0,0,MAX(0,NETWORKDAYS(MAX($K100,AG$4),MIN($L100,EOMONTH(AG$4,0)),Assumptions!$F$4:$F$44))/NETWORKDAYS($K100,$L100,Assumptions!$F$4:$F$44))</f>
        <v>0</v>
      </c>
      <c r="AH100" s="21" t="n">
        <f aca="false">IF($J100=0,0,MAX(0,NETWORKDAYS(MAX($K100,AH$4),MIN($L100,EOMONTH(AH$4,0)),Assumptions!$F$4:$F$44))/NETWORKDAYS($K100,$L100,Assumptions!$F$4:$F$44))</f>
        <v>1</v>
      </c>
      <c r="AI100" s="21" t="n">
        <f aca="false">IF($J100=0,0,MAX(0,NETWORKDAYS(MAX($K100,AI$4),MIN($L100,EOMONTH(AI$4,0)),Assumptions!$F$4:$F$44))/NETWORKDAYS($K100,$L100,Assumptions!$F$4:$F$44))</f>
        <v>0</v>
      </c>
      <c r="AJ100" s="21" t="n">
        <f aca="false">IF($J100=0,0,MAX(0,NETWORKDAYS(MAX($K100,AJ$4),MIN($L100,EOMONTH(AJ$4,0)),Assumptions!$F$4:$F$44))/NETWORKDAYS($K100,$L100,Assumptions!$F$4:$F$44))</f>
        <v>0</v>
      </c>
      <c r="AK100" s="21" t="n">
        <f aca="false">IF($J100=0,0,MAX(0,NETWORKDAYS(MAX($K100,AK$4),MIN($L100,EOMONTH(AK$4,0)),Assumptions!$F$4:$F$44))/NETWORKDAYS($K100,$L100,Assumptions!$F$4:$F$44))</f>
        <v>0</v>
      </c>
      <c r="AL100" s="21" t="n">
        <f aca="false">IF($J100=0,0,MAX(0,NETWORKDAYS(MAX($K100,AL$4),MIN($L100,EOMONTH(AL$4,0)),Assumptions!$F$4:$F$44))/NETWORKDAYS($K100,$L100,Assumptions!$F$4:$F$44))</f>
        <v>0</v>
      </c>
      <c r="AM100" s="21" t="n">
        <f aca="false">IF($J100=0,0,MAX(0,NETWORKDAYS(MAX($K100,AM$4),MIN($L100,EOMONTH(AM$4,0)),Assumptions!$F$4:$F$44))/NETWORKDAYS($K100,$L100,Assumptions!$F$4:$F$44))</f>
        <v>0</v>
      </c>
      <c r="AN100" s="21" t="n">
        <f aca="false">IF($J100=0,0,MAX(0,NETWORKDAYS(MAX($K100,AN$4),MIN($L100,EOMONTH(AN$4,0)),Assumptions!$F$4:$F$44))/NETWORKDAYS($K100,$L100,Assumptions!$F$4:$F$44))</f>
        <v>0</v>
      </c>
      <c r="AO100" s="21" t="n">
        <f aca="false">IF($J100=0,0,MAX(0,NETWORKDAYS(MAX($K100,AO$4),MIN($L100,EOMONTH(AO$4,0)),Assumptions!$F$4:$F$44))/NETWORKDAYS($K100,$L100,Assumptions!$F$4:$F$44))</f>
        <v>0</v>
      </c>
      <c r="AP100" s="21" t="n">
        <f aca="false">IF($J100=0,0,MAX(0,NETWORKDAYS(MAX($K100,AP$4),MIN($L100,EOMONTH(AP$4,0)),Assumptions!$F$4:$F$44))/NETWORKDAYS($K100,$L100,Assumptions!$F$4:$F$44))</f>
        <v>0</v>
      </c>
      <c r="AQ100" s="21" t="n">
        <f aca="false">IF($J100=0,0,MAX(0,NETWORKDAYS(MAX($K100,AQ$4),MIN($L100,EOMONTH(AQ$4,0)),Assumptions!$F$4:$F$44))/NETWORKDAYS($K100,$L100,Assumptions!$F$4:$F$44))</f>
        <v>0</v>
      </c>
      <c r="AR100" s="21" t="n">
        <f aca="false">IF($J100=0,0,MAX(0,NETWORKDAYS(MAX($K100,AR$4),MIN($L100,EOMONTH(AR$4,0)),Assumptions!$F$4:$F$44))/NETWORKDAYS($K100,$L100,Assumptions!$F$4:$F$44))</f>
        <v>0</v>
      </c>
      <c r="AS100" s="21" t="n">
        <f aca="false">IF($J100=0,0,MAX(0,NETWORKDAYS(MAX($K100,AS$4),MIN($L100,EOMONTH(AS$4,0)),Assumptions!$F$4:$F$44))/NETWORKDAYS($K100,$L100,Assumptions!$F$4:$F$44))</f>
        <v>0</v>
      </c>
      <c r="AT100" s="21" t="n">
        <f aca="false">IF($J100=0,0,MAX(0,NETWORKDAYS(MAX($K100,AT$4),MIN($L100,EOMONTH(AT$4,0)),Assumptions!$F$4:$F$44))/NETWORKDAYS($K100,$L100,Assumptions!$F$4:$F$44))</f>
        <v>0</v>
      </c>
      <c r="AU100" s="21" t="n">
        <f aca="false">IF($J100=0,0,MAX(0,NETWORKDAYS(MAX($K100,AU$4),MIN($L100,EOMONTH(AU$4,0)),Assumptions!$F$4:$F$44))/NETWORKDAYS($K100,$L100,Assumptions!$F$4:$F$44))</f>
        <v>0</v>
      </c>
      <c r="AV100" s="21" t="n">
        <f aca="false">IF($J100=0,0,MAX(0,NETWORKDAYS(MAX($K100,AV$4),MIN($L100,EOMONTH(AV$4,0)),Assumptions!$F$4:$F$44))/NETWORKDAYS($K100,$L100,Assumptions!$F$4:$F$44))</f>
        <v>0</v>
      </c>
      <c r="AW100" s="21" t="n">
        <f aca="false">IF($J100=0,0,MAX(0,NETWORKDAYS(MAX($K100,AW$4),MIN($L100,EOMONTH(AW$4,0)),Assumptions!$F$4:$F$44))/NETWORKDAYS($K100,$L100,Assumptions!$F$4:$F$44))</f>
        <v>0</v>
      </c>
      <c r="AX100" s="21" t="n">
        <f aca="false">IF($J100=0,0,MAX(0,NETWORKDAYS(MAX($K100,AX$4),MIN($L100,EOMONTH(AX$4,0)),Assumptions!$F$4:$F$44))/NETWORKDAYS($K100,$L100,Assumptions!$F$4:$F$44))</f>
        <v>0</v>
      </c>
      <c r="AY100" s="21" t="n">
        <f aca="false">IF($J100=0,0,MAX(0,NETWORKDAYS(MAX($K100,AY$4),MIN($L100,EOMONTH(AY$4,0)),Assumptions!$F$4:$F$44))/NETWORKDAYS($K100,$L100,Assumptions!$F$4:$F$44))</f>
        <v>0</v>
      </c>
      <c r="AZ100" s="21" t="n">
        <f aca="false">IF($J100=0,0,MAX(0,NETWORKDAYS(MAX($K100,AZ$4),MIN($L100,EOMONTH(AZ$4,0)),Assumptions!$F$4:$F$44))/NETWORKDAYS($K100,$L100,Assumptions!$F$4:$F$44))</f>
        <v>0</v>
      </c>
      <c r="BA100" s="21" t="n">
        <f aca="false">IF($J100=0,0,MAX(0,NETWORKDAYS(MAX($K100,BA$4),MIN($L100,EOMONTH(BA$4,0)),Assumptions!$F$4:$F$44))/NETWORKDAYS($K100,$L100,Assumptions!$F$4:$F$44))</f>
        <v>0</v>
      </c>
      <c r="BB100" s="21" t="n">
        <f aca="false">IF($J100=0,0,MAX(0,NETWORKDAYS(MAX($K100,BB$4),MIN($L100,EOMONTH(BB$4,0)),Assumptions!$F$4:$F$44))/NETWORKDAYS($K100,$L100,Assumptions!$F$4:$F$44))</f>
        <v>0</v>
      </c>
      <c r="BC100" s="21" t="n">
        <f aca="false">IF($J100=0,0,MAX(0,NETWORKDAYS(MAX($K100,BC$4),MIN($L100,EOMONTH(BC$4,0)),Assumptions!$F$4:$F$44))/NETWORKDAYS($K100,$L100,Assumptions!$F$4:$F$44))</f>
        <v>0</v>
      </c>
    </row>
    <row r="101" customFormat="false" ht="15" hidden="false" customHeight="false" outlineLevel="1" collapsed="false">
      <c r="A101" s="22" t="n">
        <v>97</v>
      </c>
      <c r="B101" s="22" t="s">
        <v>271</v>
      </c>
      <c r="C101" s="22" t="n">
        <v>2</v>
      </c>
      <c r="D101" s="22" t="s">
        <v>89</v>
      </c>
      <c r="E101" s="23" t="s">
        <v>272</v>
      </c>
      <c r="F101" s="22" t="s">
        <v>154</v>
      </c>
      <c r="G101" s="22" t="s">
        <v>157</v>
      </c>
      <c r="H101" s="22"/>
      <c r="I101" s="22"/>
      <c r="J101" s="22" t="n">
        <f aca="false">NETWORKDAYS(K101,L101,Assumptions!$F$4:$F$44)</f>
        <v>45</v>
      </c>
      <c r="K101" s="24" t="n">
        <f aca="false">MIN(K102:K105)</f>
        <v>46384</v>
      </c>
      <c r="L101" s="24" t="n">
        <f aca="false">MAX(L102:L105)</f>
        <v>46444</v>
      </c>
      <c r="M101" s="22"/>
      <c r="N101" s="25" t="n">
        <f aca="false">SUMPRODUCT(($C$102:$C$105=3)*(N102:N105))</f>
        <v>0</v>
      </c>
      <c r="O101" s="25" t="n">
        <f aca="false">SUMPRODUCT(($C$102:$C$105=3)*(O102:O105))</f>
        <v>0</v>
      </c>
      <c r="P101" s="25" t="n">
        <f aca="false">SUMPRODUCT(($C$102:$C$105=3)*(P102:P105))</f>
        <v>8</v>
      </c>
      <c r="Q101" s="25" t="n">
        <f aca="false">SUMPRODUCT(($C$102:$C$105=3)*(Q102:Q105))</f>
        <v>0</v>
      </c>
      <c r="R101" s="25" t="n">
        <f aca="false">SUMPRODUCT(($C$102:$C$105=3)*(R102:R105))</f>
        <v>0</v>
      </c>
      <c r="S101" s="25" t="n">
        <f aca="false">SUMPRODUCT(($C$102:$C$105=3)*(S102:S105))</f>
        <v>0</v>
      </c>
      <c r="T101" s="25" t="n">
        <f aca="false">SUMPRODUCT(($C$102:$C$105=3)*(T102:T105))</f>
        <v>0</v>
      </c>
      <c r="U101" s="25" t="n">
        <f aca="false">SUMPRODUCT(($C$102:$C$105=3)*(U102:U105))</f>
        <v>48</v>
      </c>
      <c r="V101" s="25" t="n">
        <f aca="false">SUMPRODUCT(($C$102:$C$105=3)*(V102:V105))</f>
        <v>0</v>
      </c>
      <c r="W101" s="25" t="n">
        <f aca="false">SUMPRODUCT(($C$102:$C$105=3)*(W102:W105))</f>
        <v>0</v>
      </c>
      <c r="X101" s="25" t="n">
        <f aca="false">SUMPRODUCT(($C$102:$C$105=3)*(X102:X105))</f>
        <v>0</v>
      </c>
      <c r="Y101" s="25" t="n">
        <f aca="false">SUM(N101:X101)</f>
        <v>56</v>
      </c>
      <c r="Z101" s="25" t="n">
        <f aca="false">Y101*(1+Assumptions!$C$5)</f>
        <v>64.4</v>
      </c>
      <c r="AA101" s="22"/>
      <c r="AB101" s="22"/>
      <c r="AC101" s="22"/>
      <c r="AD101" s="26"/>
      <c r="AF101" s="21" t="n">
        <v>0</v>
      </c>
      <c r="AG101" s="21" t="n">
        <v>0</v>
      </c>
      <c r="AH101" s="21" t="n">
        <v>0</v>
      </c>
      <c r="AI101" s="21" t="n">
        <v>0</v>
      </c>
      <c r="AJ101" s="21" t="n">
        <v>0</v>
      </c>
      <c r="AK101" s="21" t="n">
        <v>0</v>
      </c>
      <c r="AL101" s="21" t="n">
        <v>0</v>
      </c>
      <c r="AM101" s="21" t="n">
        <v>0</v>
      </c>
      <c r="AN101" s="21" t="n">
        <v>0</v>
      </c>
      <c r="AO101" s="21" t="n">
        <v>0</v>
      </c>
      <c r="AP101" s="21" t="n">
        <v>0</v>
      </c>
      <c r="AQ101" s="21" t="n">
        <v>0</v>
      </c>
      <c r="AR101" s="21" t="n">
        <v>0</v>
      </c>
      <c r="AS101" s="21" t="n">
        <v>0</v>
      </c>
      <c r="AT101" s="21" t="n">
        <v>0</v>
      </c>
      <c r="AU101" s="21" t="n">
        <v>0</v>
      </c>
      <c r="AV101" s="21" t="n">
        <v>0</v>
      </c>
      <c r="AW101" s="21" t="n">
        <v>0</v>
      </c>
      <c r="AX101" s="21" t="n">
        <v>0</v>
      </c>
      <c r="AY101" s="21" t="n">
        <v>0</v>
      </c>
      <c r="AZ101" s="21" t="n">
        <v>0</v>
      </c>
      <c r="BA101" s="21" t="n">
        <v>0</v>
      </c>
      <c r="BB101" s="21" t="n">
        <v>0</v>
      </c>
      <c r="BC101" s="21" t="n">
        <v>0</v>
      </c>
    </row>
    <row r="102" customFormat="false" ht="15" hidden="false" customHeight="false" outlineLevel="2" collapsed="false">
      <c r="A102" s="27" t="n">
        <v>98</v>
      </c>
      <c r="B102" s="27" t="s">
        <v>273</v>
      </c>
      <c r="C102" s="27" t="n">
        <v>3</v>
      </c>
      <c r="D102" s="27" t="s">
        <v>92</v>
      </c>
      <c r="E102" s="28" t="s">
        <v>274</v>
      </c>
      <c r="F102" s="27" t="s">
        <v>154</v>
      </c>
      <c r="G102" s="27" t="s">
        <v>157</v>
      </c>
      <c r="H102" s="27" t="s">
        <v>55</v>
      </c>
      <c r="I102" s="29" t="n">
        <v>40</v>
      </c>
      <c r="J102" s="29" t="n">
        <v>30</v>
      </c>
      <c r="K102" s="30" t="n">
        <f aca="false">WORKDAY(Assumptions!$C$4,I102,Assumptions!$F$4:$F$44)</f>
        <v>46384</v>
      </c>
      <c r="L102" s="30" t="n">
        <f aca="false">IF(J102=0,K102,WORKDAY(K102,J102-1,Assumptions!$F$4:$F$44))</f>
        <v>46423</v>
      </c>
      <c r="M102" s="29"/>
      <c r="N102" s="31" t="n">
        <v>0</v>
      </c>
      <c r="O102" s="31" t="n">
        <v>0</v>
      </c>
      <c r="P102" s="31" t="n">
        <v>3</v>
      </c>
      <c r="Q102" s="31" t="n">
        <v>0</v>
      </c>
      <c r="R102" s="31" t="n">
        <v>0</v>
      </c>
      <c r="S102" s="31" t="n">
        <v>0</v>
      </c>
      <c r="T102" s="31" t="n">
        <v>0</v>
      </c>
      <c r="U102" s="31" t="n">
        <v>18</v>
      </c>
      <c r="V102" s="31" t="n">
        <v>0</v>
      </c>
      <c r="W102" s="31" t="n">
        <v>0</v>
      </c>
      <c r="X102" s="31" t="n">
        <v>0</v>
      </c>
      <c r="Y102" s="32" t="n">
        <f aca="false">SUM(N102:X102)</f>
        <v>21</v>
      </c>
      <c r="Z102" s="32" t="n">
        <f aca="false">Y102*(1+Assumptions!$C$5)</f>
        <v>24.15</v>
      </c>
      <c r="AA102" s="27" t="s">
        <v>275</v>
      </c>
      <c r="AB102" s="27" t="s">
        <v>95</v>
      </c>
      <c r="AC102" s="27"/>
      <c r="AD102" s="33" t="n">
        <v>0</v>
      </c>
      <c r="AF102" s="21" t="n">
        <f aca="false">IF($J102=0,0,MAX(0,NETWORKDAYS(MAX($K102,AF$4),MIN($L102,EOMONTH(AF$4,0)),Assumptions!$F$4:$F$44))/NETWORKDAYS($K102,$L102,Assumptions!$F$4:$F$44))</f>
        <v>0</v>
      </c>
      <c r="AG102" s="21" t="n">
        <f aca="false">IF($J102=0,0,MAX(0,NETWORKDAYS(MAX($K102,AG$4),MIN($L102,EOMONTH(AG$4,0)),Assumptions!$F$4:$F$44))/NETWORKDAYS($K102,$L102,Assumptions!$F$4:$F$44))</f>
        <v>0.133333333333333</v>
      </c>
      <c r="AH102" s="21" t="n">
        <f aca="false">IF($J102=0,0,MAX(0,NETWORKDAYS(MAX($K102,AH$4),MIN($L102,EOMONTH(AH$4,0)),Assumptions!$F$4:$F$44))/NETWORKDAYS($K102,$L102,Assumptions!$F$4:$F$44))</f>
        <v>0.7</v>
      </c>
      <c r="AI102" s="21" t="n">
        <f aca="false">IF($J102=0,0,MAX(0,NETWORKDAYS(MAX($K102,AI$4),MIN($L102,EOMONTH(AI$4,0)),Assumptions!$F$4:$F$44))/NETWORKDAYS($K102,$L102,Assumptions!$F$4:$F$44))</f>
        <v>0.166666666666667</v>
      </c>
      <c r="AJ102" s="21" t="n">
        <f aca="false">IF($J102=0,0,MAX(0,NETWORKDAYS(MAX($K102,AJ$4),MIN($L102,EOMONTH(AJ$4,0)),Assumptions!$F$4:$F$44))/NETWORKDAYS($K102,$L102,Assumptions!$F$4:$F$44))</f>
        <v>0</v>
      </c>
      <c r="AK102" s="21" t="n">
        <f aca="false">IF($J102=0,0,MAX(0,NETWORKDAYS(MAX($K102,AK$4),MIN($L102,EOMONTH(AK$4,0)),Assumptions!$F$4:$F$44))/NETWORKDAYS($K102,$L102,Assumptions!$F$4:$F$44))</f>
        <v>0</v>
      </c>
      <c r="AL102" s="21" t="n">
        <f aca="false">IF($J102=0,0,MAX(0,NETWORKDAYS(MAX($K102,AL$4),MIN($L102,EOMONTH(AL$4,0)),Assumptions!$F$4:$F$44))/NETWORKDAYS($K102,$L102,Assumptions!$F$4:$F$44))</f>
        <v>0</v>
      </c>
      <c r="AM102" s="21" t="n">
        <f aca="false">IF($J102=0,0,MAX(0,NETWORKDAYS(MAX($K102,AM$4),MIN($L102,EOMONTH(AM$4,0)),Assumptions!$F$4:$F$44))/NETWORKDAYS($K102,$L102,Assumptions!$F$4:$F$44))</f>
        <v>0</v>
      </c>
      <c r="AN102" s="21" t="n">
        <f aca="false">IF($J102=0,0,MAX(0,NETWORKDAYS(MAX($K102,AN$4),MIN($L102,EOMONTH(AN$4,0)),Assumptions!$F$4:$F$44))/NETWORKDAYS($K102,$L102,Assumptions!$F$4:$F$44))</f>
        <v>0</v>
      </c>
      <c r="AO102" s="21" t="n">
        <f aca="false">IF($J102=0,0,MAX(0,NETWORKDAYS(MAX($K102,AO$4),MIN($L102,EOMONTH(AO$4,0)),Assumptions!$F$4:$F$44))/NETWORKDAYS($K102,$L102,Assumptions!$F$4:$F$44))</f>
        <v>0</v>
      </c>
      <c r="AP102" s="21" t="n">
        <f aca="false">IF($J102=0,0,MAX(0,NETWORKDAYS(MAX($K102,AP$4),MIN($L102,EOMONTH(AP$4,0)),Assumptions!$F$4:$F$44))/NETWORKDAYS($K102,$L102,Assumptions!$F$4:$F$44))</f>
        <v>0</v>
      </c>
      <c r="AQ102" s="21" t="n">
        <f aca="false">IF($J102=0,0,MAX(0,NETWORKDAYS(MAX($K102,AQ$4),MIN($L102,EOMONTH(AQ$4,0)),Assumptions!$F$4:$F$44))/NETWORKDAYS($K102,$L102,Assumptions!$F$4:$F$44))</f>
        <v>0</v>
      </c>
      <c r="AR102" s="21" t="n">
        <f aca="false">IF($J102=0,0,MAX(0,NETWORKDAYS(MAX($K102,AR$4),MIN($L102,EOMONTH(AR$4,0)),Assumptions!$F$4:$F$44))/NETWORKDAYS($K102,$L102,Assumptions!$F$4:$F$44))</f>
        <v>0</v>
      </c>
      <c r="AS102" s="21" t="n">
        <f aca="false">IF($J102=0,0,MAX(0,NETWORKDAYS(MAX($K102,AS$4),MIN($L102,EOMONTH(AS$4,0)),Assumptions!$F$4:$F$44))/NETWORKDAYS($K102,$L102,Assumptions!$F$4:$F$44))</f>
        <v>0</v>
      </c>
      <c r="AT102" s="21" t="n">
        <f aca="false">IF($J102=0,0,MAX(0,NETWORKDAYS(MAX($K102,AT$4),MIN($L102,EOMONTH(AT$4,0)),Assumptions!$F$4:$F$44))/NETWORKDAYS($K102,$L102,Assumptions!$F$4:$F$44))</f>
        <v>0</v>
      </c>
      <c r="AU102" s="21" t="n">
        <f aca="false">IF($J102=0,0,MAX(0,NETWORKDAYS(MAX($K102,AU$4),MIN($L102,EOMONTH(AU$4,0)),Assumptions!$F$4:$F$44))/NETWORKDAYS($K102,$L102,Assumptions!$F$4:$F$44))</f>
        <v>0</v>
      </c>
      <c r="AV102" s="21" t="n">
        <f aca="false">IF($J102=0,0,MAX(0,NETWORKDAYS(MAX($K102,AV$4),MIN($L102,EOMONTH(AV$4,0)),Assumptions!$F$4:$F$44))/NETWORKDAYS($K102,$L102,Assumptions!$F$4:$F$44))</f>
        <v>0</v>
      </c>
      <c r="AW102" s="21" t="n">
        <f aca="false">IF($J102=0,0,MAX(0,NETWORKDAYS(MAX($K102,AW$4),MIN($L102,EOMONTH(AW$4,0)),Assumptions!$F$4:$F$44))/NETWORKDAYS($K102,$L102,Assumptions!$F$4:$F$44))</f>
        <v>0</v>
      </c>
      <c r="AX102" s="21" t="n">
        <f aca="false">IF($J102=0,0,MAX(0,NETWORKDAYS(MAX($K102,AX$4),MIN($L102,EOMONTH(AX$4,0)),Assumptions!$F$4:$F$44))/NETWORKDAYS($K102,$L102,Assumptions!$F$4:$F$44))</f>
        <v>0</v>
      </c>
      <c r="AY102" s="21" t="n">
        <f aca="false">IF($J102=0,0,MAX(0,NETWORKDAYS(MAX($K102,AY$4),MIN($L102,EOMONTH(AY$4,0)),Assumptions!$F$4:$F$44))/NETWORKDAYS($K102,$L102,Assumptions!$F$4:$F$44))</f>
        <v>0</v>
      </c>
      <c r="AZ102" s="21" t="n">
        <f aca="false">IF($J102=0,0,MAX(0,NETWORKDAYS(MAX($K102,AZ$4),MIN($L102,EOMONTH(AZ$4,0)),Assumptions!$F$4:$F$44))/NETWORKDAYS($K102,$L102,Assumptions!$F$4:$F$44))</f>
        <v>0</v>
      </c>
      <c r="BA102" s="21" t="n">
        <f aca="false">IF($J102=0,0,MAX(0,NETWORKDAYS(MAX($K102,BA$4),MIN($L102,EOMONTH(BA$4,0)),Assumptions!$F$4:$F$44))/NETWORKDAYS($K102,$L102,Assumptions!$F$4:$F$44))</f>
        <v>0</v>
      </c>
      <c r="BB102" s="21" t="n">
        <f aca="false">IF($J102=0,0,MAX(0,NETWORKDAYS(MAX($K102,BB$4),MIN($L102,EOMONTH(BB$4,0)),Assumptions!$F$4:$F$44))/NETWORKDAYS($K102,$L102,Assumptions!$F$4:$F$44))</f>
        <v>0</v>
      </c>
      <c r="BC102" s="21" t="n">
        <f aca="false">IF($J102=0,0,MAX(0,NETWORKDAYS(MAX($K102,BC$4),MIN($L102,EOMONTH(BC$4,0)),Assumptions!$F$4:$F$44))/NETWORKDAYS($K102,$L102,Assumptions!$F$4:$F$44))</f>
        <v>0</v>
      </c>
    </row>
    <row r="103" customFormat="false" ht="15" hidden="false" customHeight="false" outlineLevel="2" collapsed="false">
      <c r="A103" s="27" t="n">
        <v>99</v>
      </c>
      <c r="B103" s="27" t="s">
        <v>276</v>
      </c>
      <c r="C103" s="27" t="n">
        <v>3</v>
      </c>
      <c r="D103" s="27" t="s">
        <v>92</v>
      </c>
      <c r="E103" s="28" t="s">
        <v>277</v>
      </c>
      <c r="F103" s="27" t="s">
        <v>154</v>
      </c>
      <c r="G103" s="27" t="s">
        <v>157</v>
      </c>
      <c r="H103" s="27" t="s">
        <v>55</v>
      </c>
      <c r="I103" s="29" t="n">
        <v>60</v>
      </c>
      <c r="J103" s="29" t="n">
        <v>25</v>
      </c>
      <c r="K103" s="30" t="n">
        <f aca="false">WORKDAY(Assumptions!$C$4,I103,Assumptions!$F$4:$F$44)</f>
        <v>46412</v>
      </c>
      <c r="L103" s="30" t="n">
        <f aca="false">IF(J103=0,K103,WORKDAY(K103,J103-1,Assumptions!$F$4:$F$44))</f>
        <v>46444</v>
      </c>
      <c r="M103" s="29"/>
      <c r="N103" s="31" t="n">
        <v>0</v>
      </c>
      <c r="O103" s="31" t="n">
        <v>0</v>
      </c>
      <c r="P103" s="31" t="n">
        <v>2</v>
      </c>
      <c r="Q103" s="31" t="n">
        <v>0</v>
      </c>
      <c r="R103" s="31" t="n">
        <v>0</v>
      </c>
      <c r="S103" s="31" t="n">
        <v>0</v>
      </c>
      <c r="T103" s="31" t="n">
        <v>0</v>
      </c>
      <c r="U103" s="31" t="n">
        <v>12</v>
      </c>
      <c r="V103" s="31" t="n">
        <v>0</v>
      </c>
      <c r="W103" s="31" t="n">
        <v>0</v>
      </c>
      <c r="X103" s="31" t="n">
        <v>0</v>
      </c>
      <c r="Y103" s="32" t="n">
        <f aca="false">SUM(N103:X103)</f>
        <v>14</v>
      </c>
      <c r="Z103" s="32" t="n">
        <f aca="false">Y103*(1+Assumptions!$C$5)</f>
        <v>16.1</v>
      </c>
      <c r="AA103" s="27" t="s">
        <v>278</v>
      </c>
      <c r="AB103" s="27" t="s">
        <v>95</v>
      </c>
      <c r="AC103" s="27"/>
      <c r="AD103" s="33" t="n">
        <v>0</v>
      </c>
      <c r="AF103" s="21" t="n">
        <f aca="false">IF($J103=0,0,MAX(0,NETWORKDAYS(MAX($K103,AF$4),MIN($L103,EOMONTH(AF$4,0)),Assumptions!$F$4:$F$44))/NETWORKDAYS($K103,$L103,Assumptions!$F$4:$F$44))</f>
        <v>0</v>
      </c>
      <c r="AG103" s="21" t="n">
        <f aca="false">IF($J103=0,0,MAX(0,NETWORKDAYS(MAX($K103,AG$4),MIN($L103,EOMONTH(AG$4,0)),Assumptions!$F$4:$F$44))/NETWORKDAYS($K103,$L103,Assumptions!$F$4:$F$44))</f>
        <v>0</v>
      </c>
      <c r="AH103" s="21" t="n">
        <f aca="false">IF($J103=0,0,MAX(0,NETWORKDAYS(MAX($K103,AH$4),MIN($L103,EOMONTH(AH$4,0)),Assumptions!$F$4:$F$44))/NETWORKDAYS($K103,$L103,Assumptions!$F$4:$F$44))</f>
        <v>0.2</v>
      </c>
      <c r="AI103" s="21" t="n">
        <f aca="false">IF($J103=0,0,MAX(0,NETWORKDAYS(MAX($K103,AI$4),MIN($L103,EOMONTH(AI$4,0)),Assumptions!$F$4:$F$44))/NETWORKDAYS($K103,$L103,Assumptions!$F$4:$F$44))</f>
        <v>0.8</v>
      </c>
      <c r="AJ103" s="21" t="n">
        <f aca="false">IF($J103=0,0,MAX(0,NETWORKDAYS(MAX($K103,AJ$4),MIN($L103,EOMONTH(AJ$4,0)),Assumptions!$F$4:$F$44))/NETWORKDAYS($K103,$L103,Assumptions!$F$4:$F$44))</f>
        <v>0</v>
      </c>
      <c r="AK103" s="21" t="n">
        <f aca="false">IF($J103=0,0,MAX(0,NETWORKDAYS(MAX($K103,AK$4),MIN($L103,EOMONTH(AK$4,0)),Assumptions!$F$4:$F$44))/NETWORKDAYS($K103,$L103,Assumptions!$F$4:$F$44))</f>
        <v>0</v>
      </c>
      <c r="AL103" s="21" t="n">
        <f aca="false">IF($J103=0,0,MAX(0,NETWORKDAYS(MAX($K103,AL$4),MIN($L103,EOMONTH(AL$4,0)),Assumptions!$F$4:$F$44))/NETWORKDAYS($K103,$L103,Assumptions!$F$4:$F$44))</f>
        <v>0</v>
      </c>
      <c r="AM103" s="21" t="n">
        <f aca="false">IF($J103=0,0,MAX(0,NETWORKDAYS(MAX($K103,AM$4),MIN($L103,EOMONTH(AM$4,0)),Assumptions!$F$4:$F$44))/NETWORKDAYS($K103,$L103,Assumptions!$F$4:$F$44))</f>
        <v>0</v>
      </c>
      <c r="AN103" s="21" t="n">
        <f aca="false">IF($J103=0,0,MAX(0,NETWORKDAYS(MAX($K103,AN$4),MIN($L103,EOMONTH(AN$4,0)),Assumptions!$F$4:$F$44))/NETWORKDAYS($K103,$L103,Assumptions!$F$4:$F$44))</f>
        <v>0</v>
      </c>
      <c r="AO103" s="21" t="n">
        <f aca="false">IF($J103=0,0,MAX(0,NETWORKDAYS(MAX($K103,AO$4),MIN($L103,EOMONTH(AO$4,0)),Assumptions!$F$4:$F$44))/NETWORKDAYS($K103,$L103,Assumptions!$F$4:$F$44))</f>
        <v>0</v>
      </c>
      <c r="AP103" s="21" t="n">
        <f aca="false">IF($J103=0,0,MAX(0,NETWORKDAYS(MAX($K103,AP$4),MIN($L103,EOMONTH(AP$4,0)),Assumptions!$F$4:$F$44))/NETWORKDAYS($K103,$L103,Assumptions!$F$4:$F$44))</f>
        <v>0</v>
      </c>
      <c r="AQ103" s="21" t="n">
        <f aca="false">IF($J103=0,0,MAX(0,NETWORKDAYS(MAX($K103,AQ$4),MIN($L103,EOMONTH(AQ$4,0)),Assumptions!$F$4:$F$44))/NETWORKDAYS($K103,$L103,Assumptions!$F$4:$F$44))</f>
        <v>0</v>
      </c>
      <c r="AR103" s="21" t="n">
        <f aca="false">IF($J103=0,0,MAX(0,NETWORKDAYS(MAX($K103,AR$4),MIN($L103,EOMONTH(AR$4,0)),Assumptions!$F$4:$F$44))/NETWORKDAYS($K103,$L103,Assumptions!$F$4:$F$44))</f>
        <v>0</v>
      </c>
      <c r="AS103" s="21" t="n">
        <f aca="false">IF($J103=0,0,MAX(0,NETWORKDAYS(MAX($K103,AS$4),MIN($L103,EOMONTH(AS$4,0)),Assumptions!$F$4:$F$44))/NETWORKDAYS($K103,$L103,Assumptions!$F$4:$F$44))</f>
        <v>0</v>
      </c>
      <c r="AT103" s="21" t="n">
        <f aca="false">IF($J103=0,0,MAX(0,NETWORKDAYS(MAX($K103,AT$4),MIN($L103,EOMONTH(AT$4,0)),Assumptions!$F$4:$F$44))/NETWORKDAYS($K103,$L103,Assumptions!$F$4:$F$44))</f>
        <v>0</v>
      </c>
      <c r="AU103" s="21" t="n">
        <f aca="false">IF($J103=0,0,MAX(0,NETWORKDAYS(MAX($K103,AU$4),MIN($L103,EOMONTH(AU$4,0)),Assumptions!$F$4:$F$44))/NETWORKDAYS($K103,$L103,Assumptions!$F$4:$F$44))</f>
        <v>0</v>
      </c>
      <c r="AV103" s="21" t="n">
        <f aca="false">IF($J103=0,0,MAX(0,NETWORKDAYS(MAX($K103,AV$4),MIN($L103,EOMONTH(AV$4,0)),Assumptions!$F$4:$F$44))/NETWORKDAYS($K103,$L103,Assumptions!$F$4:$F$44))</f>
        <v>0</v>
      </c>
      <c r="AW103" s="21" t="n">
        <f aca="false">IF($J103=0,0,MAX(0,NETWORKDAYS(MAX($K103,AW$4),MIN($L103,EOMONTH(AW$4,0)),Assumptions!$F$4:$F$44))/NETWORKDAYS($K103,$L103,Assumptions!$F$4:$F$44))</f>
        <v>0</v>
      </c>
      <c r="AX103" s="21" t="n">
        <f aca="false">IF($J103=0,0,MAX(0,NETWORKDAYS(MAX($K103,AX$4),MIN($L103,EOMONTH(AX$4,0)),Assumptions!$F$4:$F$44))/NETWORKDAYS($K103,$L103,Assumptions!$F$4:$F$44))</f>
        <v>0</v>
      </c>
      <c r="AY103" s="21" t="n">
        <f aca="false">IF($J103=0,0,MAX(0,NETWORKDAYS(MAX($K103,AY$4),MIN($L103,EOMONTH(AY$4,0)),Assumptions!$F$4:$F$44))/NETWORKDAYS($K103,$L103,Assumptions!$F$4:$F$44))</f>
        <v>0</v>
      </c>
      <c r="AZ103" s="21" t="n">
        <f aca="false">IF($J103=0,0,MAX(0,NETWORKDAYS(MAX($K103,AZ$4),MIN($L103,EOMONTH(AZ$4,0)),Assumptions!$F$4:$F$44))/NETWORKDAYS($K103,$L103,Assumptions!$F$4:$F$44))</f>
        <v>0</v>
      </c>
      <c r="BA103" s="21" t="n">
        <f aca="false">IF($J103=0,0,MAX(0,NETWORKDAYS(MAX($K103,BA$4),MIN($L103,EOMONTH(BA$4,0)),Assumptions!$F$4:$F$44))/NETWORKDAYS($K103,$L103,Assumptions!$F$4:$F$44))</f>
        <v>0</v>
      </c>
      <c r="BB103" s="21" t="n">
        <f aca="false">IF($J103=0,0,MAX(0,NETWORKDAYS(MAX($K103,BB$4),MIN($L103,EOMONTH(BB$4,0)),Assumptions!$F$4:$F$44))/NETWORKDAYS($K103,$L103,Assumptions!$F$4:$F$44))</f>
        <v>0</v>
      </c>
      <c r="BC103" s="21" t="n">
        <f aca="false">IF($J103=0,0,MAX(0,NETWORKDAYS(MAX($K103,BC$4),MIN($L103,EOMONTH(BC$4,0)),Assumptions!$F$4:$F$44))/NETWORKDAYS($K103,$L103,Assumptions!$F$4:$F$44))</f>
        <v>0</v>
      </c>
    </row>
    <row r="104" customFormat="false" ht="15" hidden="false" customHeight="false" outlineLevel="2" collapsed="false">
      <c r="A104" s="27" t="n">
        <v>100</v>
      </c>
      <c r="B104" s="27" t="s">
        <v>279</v>
      </c>
      <c r="C104" s="27" t="n">
        <v>3</v>
      </c>
      <c r="D104" s="27" t="s">
        <v>92</v>
      </c>
      <c r="E104" s="28" t="s">
        <v>280</v>
      </c>
      <c r="F104" s="27" t="s">
        <v>154</v>
      </c>
      <c r="G104" s="27" t="s">
        <v>157</v>
      </c>
      <c r="H104" s="27" t="s">
        <v>55</v>
      </c>
      <c r="I104" s="29" t="n">
        <v>50</v>
      </c>
      <c r="J104" s="29" t="n">
        <v>25</v>
      </c>
      <c r="K104" s="30" t="n">
        <f aca="false">WORKDAY(Assumptions!$C$4,I104,Assumptions!$F$4:$F$44)</f>
        <v>46398</v>
      </c>
      <c r="L104" s="30" t="n">
        <f aca="false">IF(J104=0,K104,WORKDAY(K104,J104-1,Assumptions!$F$4:$F$44))</f>
        <v>46430</v>
      </c>
      <c r="M104" s="29"/>
      <c r="N104" s="31" t="n">
        <v>0</v>
      </c>
      <c r="O104" s="31" t="n">
        <v>0</v>
      </c>
      <c r="P104" s="31" t="n">
        <v>3</v>
      </c>
      <c r="Q104" s="31" t="n">
        <v>0</v>
      </c>
      <c r="R104" s="31" t="n">
        <v>0</v>
      </c>
      <c r="S104" s="31" t="n">
        <v>0</v>
      </c>
      <c r="T104" s="31" t="n">
        <v>0</v>
      </c>
      <c r="U104" s="31" t="n">
        <v>10</v>
      </c>
      <c r="V104" s="31" t="n">
        <v>0</v>
      </c>
      <c r="W104" s="31" t="n">
        <v>0</v>
      </c>
      <c r="X104" s="31" t="n">
        <v>0</v>
      </c>
      <c r="Y104" s="32" t="n">
        <f aca="false">SUM(N104:X104)</f>
        <v>13</v>
      </c>
      <c r="Z104" s="32" t="n">
        <f aca="false">Y104*(1+Assumptions!$C$5)</f>
        <v>14.95</v>
      </c>
      <c r="AA104" s="27" t="s">
        <v>281</v>
      </c>
      <c r="AB104" s="27" t="s">
        <v>95</v>
      </c>
      <c r="AC104" s="27"/>
      <c r="AD104" s="33" t="n">
        <v>0</v>
      </c>
      <c r="AF104" s="21" t="n">
        <f aca="false">IF($J104=0,0,MAX(0,NETWORKDAYS(MAX($K104,AF$4),MIN($L104,EOMONTH(AF$4,0)),Assumptions!$F$4:$F$44))/NETWORKDAYS($K104,$L104,Assumptions!$F$4:$F$44))</f>
        <v>0</v>
      </c>
      <c r="AG104" s="21" t="n">
        <f aca="false">IF($J104=0,0,MAX(0,NETWORKDAYS(MAX($K104,AG$4),MIN($L104,EOMONTH(AG$4,0)),Assumptions!$F$4:$F$44))/NETWORKDAYS($K104,$L104,Assumptions!$F$4:$F$44))</f>
        <v>0</v>
      </c>
      <c r="AH104" s="21" t="n">
        <f aca="false">IF($J104=0,0,MAX(0,NETWORKDAYS(MAX($K104,AH$4),MIN($L104,EOMONTH(AH$4,0)),Assumptions!$F$4:$F$44))/NETWORKDAYS($K104,$L104,Assumptions!$F$4:$F$44))</f>
        <v>0.6</v>
      </c>
      <c r="AI104" s="21" t="n">
        <f aca="false">IF($J104=0,0,MAX(0,NETWORKDAYS(MAX($K104,AI$4),MIN($L104,EOMONTH(AI$4,0)),Assumptions!$F$4:$F$44))/NETWORKDAYS($K104,$L104,Assumptions!$F$4:$F$44))</f>
        <v>0.4</v>
      </c>
      <c r="AJ104" s="21" t="n">
        <f aca="false">IF($J104=0,0,MAX(0,NETWORKDAYS(MAX($K104,AJ$4),MIN($L104,EOMONTH(AJ$4,0)),Assumptions!$F$4:$F$44))/NETWORKDAYS($K104,$L104,Assumptions!$F$4:$F$44))</f>
        <v>0</v>
      </c>
      <c r="AK104" s="21" t="n">
        <f aca="false">IF($J104=0,0,MAX(0,NETWORKDAYS(MAX($K104,AK$4),MIN($L104,EOMONTH(AK$4,0)),Assumptions!$F$4:$F$44))/NETWORKDAYS($K104,$L104,Assumptions!$F$4:$F$44))</f>
        <v>0</v>
      </c>
      <c r="AL104" s="21" t="n">
        <f aca="false">IF($J104=0,0,MAX(0,NETWORKDAYS(MAX($K104,AL$4),MIN($L104,EOMONTH(AL$4,0)),Assumptions!$F$4:$F$44))/NETWORKDAYS($K104,$L104,Assumptions!$F$4:$F$44))</f>
        <v>0</v>
      </c>
      <c r="AM104" s="21" t="n">
        <f aca="false">IF($J104=0,0,MAX(0,NETWORKDAYS(MAX($K104,AM$4),MIN($L104,EOMONTH(AM$4,0)),Assumptions!$F$4:$F$44))/NETWORKDAYS($K104,$L104,Assumptions!$F$4:$F$44))</f>
        <v>0</v>
      </c>
      <c r="AN104" s="21" t="n">
        <f aca="false">IF($J104=0,0,MAX(0,NETWORKDAYS(MAX($K104,AN$4),MIN($L104,EOMONTH(AN$4,0)),Assumptions!$F$4:$F$44))/NETWORKDAYS($K104,$L104,Assumptions!$F$4:$F$44))</f>
        <v>0</v>
      </c>
      <c r="AO104" s="21" t="n">
        <f aca="false">IF($J104=0,0,MAX(0,NETWORKDAYS(MAX($K104,AO$4),MIN($L104,EOMONTH(AO$4,0)),Assumptions!$F$4:$F$44))/NETWORKDAYS($K104,$L104,Assumptions!$F$4:$F$44))</f>
        <v>0</v>
      </c>
      <c r="AP104" s="21" t="n">
        <f aca="false">IF($J104=0,0,MAX(0,NETWORKDAYS(MAX($K104,AP$4),MIN($L104,EOMONTH(AP$4,0)),Assumptions!$F$4:$F$44))/NETWORKDAYS($K104,$L104,Assumptions!$F$4:$F$44))</f>
        <v>0</v>
      </c>
      <c r="AQ104" s="21" t="n">
        <f aca="false">IF($J104=0,0,MAX(0,NETWORKDAYS(MAX($K104,AQ$4),MIN($L104,EOMONTH(AQ$4,0)),Assumptions!$F$4:$F$44))/NETWORKDAYS($K104,$L104,Assumptions!$F$4:$F$44))</f>
        <v>0</v>
      </c>
      <c r="AR104" s="21" t="n">
        <f aca="false">IF($J104=0,0,MAX(0,NETWORKDAYS(MAX($K104,AR$4),MIN($L104,EOMONTH(AR$4,0)),Assumptions!$F$4:$F$44))/NETWORKDAYS($K104,$L104,Assumptions!$F$4:$F$44))</f>
        <v>0</v>
      </c>
      <c r="AS104" s="21" t="n">
        <f aca="false">IF($J104=0,0,MAX(0,NETWORKDAYS(MAX($K104,AS$4),MIN($L104,EOMONTH(AS$4,0)),Assumptions!$F$4:$F$44))/NETWORKDAYS($K104,$L104,Assumptions!$F$4:$F$44))</f>
        <v>0</v>
      </c>
      <c r="AT104" s="21" t="n">
        <f aca="false">IF($J104=0,0,MAX(0,NETWORKDAYS(MAX($K104,AT$4),MIN($L104,EOMONTH(AT$4,0)),Assumptions!$F$4:$F$44))/NETWORKDAYS($K104,$L104,Assumptions!$F$4:$F$44))</f>
        <v>0</v>
      </c>
      <c r="AU104" s="21" t="n">
        <f aca="false">IF($J104=0,0,MAX(0,NETWORKDAYS(MAX($K104,AU$4),MIN($L104,EOMONTH(AU$4,0)),Assumptions!$F$4:$F$44))/NETWORKDAYS($K104,$L104,Assumptions!$F$4:$F$44))</f>
        <v>0</v>
      </c>
      <c r="AV104" s="21" t="n">
        <f aca="false">IF($J104=0,0,MAX(0,NETWORKDAYS(MAX($K104,AV$4),MIN($L104,EOMONTH(AV$4,0)),Assumptions!$F$4:$F$44))/NETWORKDAYS($K104,$L104,Assumptions!$F$4:$F$44))</f>
        <v>0</v>
      </c>
      <c r="AW104" s="21" t="n">
        <f aca="false">IF($J104=0,0,MAX(0,NETWORKDAYS(MAX($K104,AW$4),MIN($L104,EOMONTH(AW$4,0)),Assumptions!$F$4:$F$44))/NETWORKDAYS($K104,$L104,Assumptions!$F$4:$F$44))</f>
        <v>0</v>
      </c>
      <c r="AX104" s="21" t="n">
        <f aca="false">IF($J104=0,0,MAX(0,NETWORKDAYS(MAX($K104,AX$4),MIN($L104,EOMONTH(AX$4,0)),Assumptions!$F$4:$F$44))/NETWORKDAYS($K104,$L104,Assumptions!$F$4:$F$44))</f>
        <v>0</v>
      </c>
      <c r="AY104" s="21" t="n">
        <f aca="false">IF($J104=0,0,MAX(0,NETWORKDAYS(MAX($K104,AY$4),MIN($L104,EOMONTH(AY$4,0)),Assumptions!$F$4:$F$44))/NETWORKDAYS($K104,$L104,Assumptions!$F$4:$F$44))</f>
        <v>0</v>
      </c>
      <c r="AZ104" s="21" t="n">
        <f aca="false">IF($J104=0,0,MAX(0,NETWORKDAYS(MAX($K104,AZ$4),MIN($L104,EOMONTH(AZ$4,0)),Assumptions!$F$4:$F$44))/NETWORKDAYS($K104,$L104,Assumptions!$F$4:$F$44))</f>
        <v>0</v>
      </c>
      <c r="BA104" s="21" t="n">
        <f aca="false">IF($J104=0,0,MAX(0,NETWORKDAYS(MAX($K104,BA$4),MIN($L104,EOMONTH(BA$4,0)),Assumptions!$F$4:$F$44))/NETWORKDAYS($K104,$L104,Assumptions!$F$4:$F$44))</f>
        <v>0</v>
      </c>
      <c r="BB104" s="21" t="n">
        <f aca="false">IF($J104=0,0,MAX(0,NETWORKDAYS(MAX($K104,BB$4),MIN($L104,EOMONTH(BB$4,0)),Assumptions!$F$4:$F$44))/NETWORKDAYS($K104,$L104,Assumptions!$F$4:$F$44))</f>
        <v>0</v>
      </c>
      <c r="BC104" s="21" t="n">
        <f aca="false">IF($J104=0,0,MAX(0,NETWORKDAYS(MAX($K104,BC$4),MIN($L104,EOMONTH(BC$4,0)),Assumptions!$F$4:$F$44))/NETWORKDAYS($K104,$L104,Assumptions!$F$4:$F$44))</f>
        <v>0</v>
      </c>
    </row>
    <row r="105" customFormat="false" ht="15" hidden="false" customHeight="false" outlineLevel="2" collapsed="false">
      <c r="A105" s="27" t="n">
        <v>101</v>
      </c>
      <c r="B105" s="27" t="s">
        <v>282</v>
      </c>
      <c r="C105" s="27" t="n">
        <v>3</v>
      </c>
      <c r="D105" s="27" t="s">
        <v>92</v>
      </c>
      <c r="E105" s="28" t="s">
        <v>283</v>
      </c>
      <c r="F105" s="27" t="s">
        <v>154</v>
      </c>
      <c r="G105" s="27" t="s">
        <v>157</v>
      </c>
      <c r="H105" s="27" t="s">
        <v>55</v>
      </c>
      <c r="I105" s="29" t="n">
        <v>60</v>
      </c>
      <c r="J105" s="29" t="n">
        <v>20</v>
      </c>
      <c r="K105" s="30" t="n">
        <f aca="false">WORKDAY(Assumptions!$C$4,I105,Assumptions!$F$4:$F$44)</f>
        <v>46412</v>
      </c>
      <c r="L105" s="30" t="n">
        <f aca="false">IF(J105=0,K105,WORKDAY(K105,J105-1,Assumptions!$F$4:$F$44))</f>
        <v>46437</v>
      </c>
      <c r="M105" s="29"/>
      <c r="N105" s="31" t="n">
        <v>0</v>
      </c>
      <c r="O105" s="31" t="n">
        <v>0</v>
      </c>
      <c r="P105" s="31" t="n">
        <v>0</v>
      </c>
      <c r="Q105" s="31" t="n">
        <v>0</v>
      </c>
      <c r="R105" s="31" t="n">
        <v>0</v>
      </c>
      <c r="S105" s="31" t="n">
        <v>0</v>
      </c>
      <c r="T105" s="31" t="n">
        <v>0</v>
      </c>
      <c r="U105" s="31" t="n">
        <v>8</v>
      </c>
      <c r="V105" s="31" t="n">
        <v>0</v>
      </c>
      <c r="W105" s="31" t="n">
        <v>0</v>
      </c>
      <c r="X105" s="31" t="n">
        <v>0</v>
      </c>
      <c r="Y105" s="32" t="n">
        <f aca="false">SUM(N105:X105)</f>
        <v>8</v>
      </c>
      <c r="Z105" s="32" t="n">
        <f aca="false">Y105*(1+Assumptions!$C$5)</f>
        <v>9.2</v>
      </c>
      <c r="AA105" s="27" t="s">
        <v>284</v>
      </c>
      <c r="AB105" s="27" t="s">
        <v>95</v>
      </c>
      <c r="AC105" s="27"/>
      <c r="AD105" s="33" t="n">
        <v>0</v>
      </c>
      <c r="AF105" s="21" t="n">
        <f aca="false">IF($J105=0,0,MAX(0,NETWORKDAYS(MAX($K105,AF$4),MIN($L105,EOMONTH(AF$4,0)),Assumptions!$F$4:$F$44))/NETWORKDAYS($K105,$L105,Assumptions!$F$4:$F$44))</f>
        <v>0</v>
      </c>
      <c r="AG105" s="21" t="n">
        <f aca="false">IF($J105=0,0,MAX(0,NETWORKDAYS(MAX($K105,AG$4),MIN($L105,EOMONTH(AG$4,0)),Assumptions!$F$4:$F$44))/NETWORKDAYS($K105,$L105,Assumptions!$F$4:$F$44))</f>
        <v>0</v>
      </c>
      <c r="AH105" s="21" t="n">
        <f aca="false">IF($J105=0,0,MAX(0,NETWORKDAYS(MAX($K105,AH$4),MIN($L105,EOMONTH(AH$4,0)),Assumptions!$F$4:$F$44))/NETWORKDAYS($K105,$L105,Assumptions!$F$4:$F$44))</f>
        <v>0.25</v>
      </c>
      <c r="AI105" s="21" t="n">
        <f aca="false">IF($J105=0,0,MAX(0,NETWORKDAYS(MAX($K105,AI$4),MIN($L105,EOMONTH(AI$4,0)),Assumptions!$F$4:$F$44))/NETWORKDAYS($K105,$L105,Assumptions!$F$4:$F$44))</f>
        <v>0.75</v>
      </c>
      <c r="AJ105" s="21" t="n">
        <f aca="false">IF($J105=0,0,MAX(0,NETWORKDAYS(MAX($K105,AJ$4),MIN($L105,EOMONTH(AJ$4,0)),Assumptions!$F$4:$F$44))/NETWORKDAYS($K105,$L105,Assumptions!$F$4:$F$44))</f>
        <v>0</v>
      </c>
      <c r="AK105" s="21" t="n">
        <f aca="false">IF($J105=0,0,MAX(0,NETWORKDAYS(MAX($K105,AK$4),MIN($L105,EOMONTH(AK$4,0)),Assumptions!$F$4:$F$44))/NETWORKDAYS($K105,$L105,Assumptions!$F$4:$F$44))</f>
        <v>0</v>
      </c>
      <c r="AL105" s="21" t="n">
        <f aca="false">IF($J105=0,0,MAX(0,NETWORKDAYS(MAX($K105,AL$4),MIN($L105,EOMONTH(AL$4,0)),Assumptions!$F$4:$F$44))/NETWORKDAYS($K105,$L105,Assumptions!$F$4:$F$44))</f>
        <v>0</v>
      </c>
      <c r="AM105" s="21" t="n">
        <f aca="false">IF($J105=0,0,MAX(0,NETWORKDAYS(MAX($K105,AM$4),MIN($L105,EOMONTH(AM$4,0)),Assumptions!$F$4:$F$44))/NETWORKDAYS($K105,$L105,Assumptions!$F$4:$F$44))</f>
        <v>0</v>
      </c>
      <c r="AN105" s="21" t="n">
        <f aca="false">IF($J105=0,0,MAX(0,NETWORKDAYS(MAX($K105,AN$4),MIN($L105,EOMONTH(AN$4,0)),Assumptions!$F$4:$F$44))/NETWORKDAYS($K105,$L105,Assumptions!$F$4:$F$44))</f>
        <v>0</v>
      </c>
      <c r="AO105" s="21" t="n">
        <f aca="false">IF($J105=0,0,MAX(0,NETWORKDAYS(MAX($K105,AO$4),MIN($L105,EOMONTH(AO$4,0)),Assumptions!$F$4:$F$44))/NETWORKDAYS($K105,$L105,Assumptions!$F$4:$F$44))</f>
        <v>0</v>
      </c>
      <c r="AP105" s="21" t="n">
        <f aca="false">IF($J105=0,0,MAX(0,NETWORKDAYS(MAX($K105,AP$4),MIN($L105,EOMONTH(AP$4,0)),Assumptions!$F$4:$F$44))/NETWORKDAYS($K105,$L105,Assumptions!$F$4:$F$44))</f>
        <v>0</v>
      </c>
      <c r="AQ105" s="21" t="n">
        <f aca="false">IF($J105=0,0,MAX(0,NETWORKDAYS(MAX($K105,AQ$4),MIN($L105,EOMONTH(AQ$4,0)),Assumptions!$F$4:$F$44))/NETWORKDAYS($K105,$L105,Assumptions!$F$4:$F$44))</f>
        <v>0</v>
      </c>
      <c r="AR105" s="21" t="n">
        <f aca="false">IF($J105=0,0,MAX(0,NETWORKDAYS(MAX($K105,AR$4),MIN($L105,EOMONTH(AR$4,0)),Assumptions!$F$4:$F$44))/NETWORKDAYS($K105,$L105,Assumptions!$F$4:$F$44))</f>
        <v>0</v>
      </c>
      <c r="AS105" s="21" t="n">
        <f aca="false">IF($J105=0,0,MAX(0,NETWORKDAYS(MAX($K105,AS$4),MIN($L105,EOMONTH(AS$4,0)),Assumptions!$F$4:$F$44))/NETWORKDAYS($K105,$L105,Assumptions!$F$4:$F$44))</f>
        <v>0</v>
      </c>
      <c r="AT105" s="21" t="n">
        <f aca="false">IF($J105=0,0,MAX(0,NETWORKDAYS(MAX($K105,AT$4),MIN($L105,EOMONTH(AT$4,0)),Assumptions!$F$4:$F$44))/NETWORKDAYS($K105,$L105,Assumptions!$F$4:$F$44))</f>
        <v>0</v>
      </c>
      <c r="AU105" s="21" t="n">
        <f aca="false">IF($J105=0,0,MAX(0,NETWORKDAYS(MAX($K105,AU$4),MIN($L105,EOMONTH(AU$4,0)),Assumptions!$F$4:$F$44))/NETWORKDAYS($K105,$L105,Assumptions!$F$4:$F$44))</f>
        <v>0</v>
      </c>
      <c r="AV105" s="21" t="n">
        <f aca="false">IF($J105=0,0,MAX(0,NETWORKDAYS(MAX($K105,AV$4),MIN($L105,EOMONTH(AV$4,0)),Assumptions!$F$4:$F$44))/NETWORKDAYS($K105,$L105,Assumptions!$F$4:$F$44))</f>
        <v>0</v>
      </c>
      <c r="AW105" s="21" t="n">
        <f aca="false">IF($J105=0,0,MAX(0,NETWORKDAYS(MAX($K105,AW$4),MIN($L105,EOMONTH(AW$4,0)),Assumptions!$F$4:$F$44))/NETWORKDAYS($K105,$L105,Assumptions!$F$4:$F$44))</f>
        <v>0</v>
      </c>
      <c r="AX105" s="21" t="n">
        <f aca="false">IF($J105=0,0,MAX(0,NETWORKDAYS(MAX($K105,AX$4),MIN($L105,EOMONTH(AX$4,0)),Assumptions!$F$4:$F$44))/NETWORKDAYS($K105,$L105,Assumptions!$F$4:$F$44))</f>
        <v>0</v>
      </c>
      <c r="AY105" s="21" t="n">
        <f aca="false">IF($J105=0,0,MAX(0,NETWORKDAYS(MAX($K105,AY$4),MIN($L105,EOMONTH(AY$4,0)),Assumptions!$F$4:$F$44))/NETWORKDAYS($K105,$L105,Assumptions!$F$4:$F$44))</f>
        <v>0</v>
      </c>
      <c r="AZ105" s="21" t="n">
        <f aca="false">IF($J105=0,0,MAX(0,NETWORKDAYS(MAX($K105,AZ$4),MIN($L105,EOMONTH(AZ$4,0)),Assumptions!$F$4:$F$44))/NETWORKDAYS($K105,$L105,Assumptions!$F$4:$F$44))</f>
        <v>0</v>
      </c>
      <c r="BA105" s="21" t="n">
        <f aca="false">IF($J105=0,0,MAX(0,NETWORKDAYS(MAX($K105,BA$4),MIN($L105,EOMONTH(BA$4,0)),Assumptions!$F$4:$F$44))/NETWORKDAYS($K105,$L105,Assumptions!$F$4:$F$44))</f>
        <v>0</v>
      </c>
      <c r="BB105" s="21" t="n">
        <f aca="false">IF($J105=0,0,MAX(0,NETWORKDAYS(MAX($K105,BB$4),MIN($L105,EOMONTH(BB$4,0)),Assumptions!$F$4:$F$44))/NETWORKDAYS($K105,$L105,Assumptions!$F$4:$F$44))</f>
        <v>0</v>
      </c>
      <c r="BC105" s="21" t="n">
        <f aca="false">IF($J105=0,0,MAX(0,NETWORKDAYS(MAX($K105,BC$4),MIN($L105,EOMONTH(BC$4,0)),Assumptions!$F$4:$F$44))/NETWORKDAYS($K105,$L105,Assumptions!$F$4:$F$44))</f>
        <v>0</v>
      </c>
    </row>
    <row r="106" customFormat="false" ht="15" hidden="false" customHeight="false" outlineLevel="0" collapsed="false">
      <c r="A106" s="17" t="n">
        <v>102</v>
      </c>
      <c r="B106" s="17" t="s">
        <v>285</v>
      </c>
      <c r="C106" s="17" t="n">
        <v>1</v>
      </c>
      <c r="D106" s="17" t="s">
        <v>71</v>
      </c>
      <c r="E106" s="17" t="s">
        <v>286</v>
      </c>
      <c r="F106" s="17" t="s">
        <v>154</v>
      </c>
      <c r="G106" s="17"/>
      <c r="H106" s="17"/>
      <c r="I106" s="17"/>
      <c r="J106" s="17" t="n">
        <f aca="false">NETWORKDAYS(K106,L106,Assumptions!$F$4:$F$44)</f>
        <v>120</v>
      </c>
      <c r="K106" s="18" t="n">
        <f aca="false">MIN(K107:K200)</f>
        <v>46356</v>
      </c>
      <c r="L106" s="18" t="n">
        <f aca="false">MAX(L107:L200)</f>
        <v>46521</v>
      </c>
      <c r="M106" s="17"/>
      <c r="N106" s="19" t="n">
        <f aca="false">SUMPRODUCT(($C$107:$C$200=3)*(N107:N200))</f>
        <v>5</v>
      </c>
      <c r="O106" s="19" t="n">
        <f aca="false">SUMPRODUCT(($C$107:$C$200=3)*(O107:O200))</f>
        <v>213</v>
      </c>
      <c r="P106" s="19" t="n">
        <f aca="false">SUMPRODUCT(($C$107:$C$200=3)*(P107:P200))</f>
        <v>60</v>
      </c>
      <c r="Q106" s="19" t="n">
        <f aca="false">SUMPRODUCT(($C$107:$C$200=3)*(Q107:Q200))</f>
        <v>693</v>
      </c>
      <c r="R106" s="19" t="n">
        <f aca="false">SUMPRODUCT(($C$107:$C$200=3)*(R107:R200))</f>
        <v>402</v>
      </c>
      <c r="S106" s="19" t="n">
        <f aca="false">SUMPRODUCT(($C$107:$C$200=3)*(S107:S200))</f>
        <v>80</v>
      </c>
      <c r="T106" s="19" t="n">
        <f aca="false">SUMPRODUCT(($C$107:$C$200=3)*(T107:T200))</f>
        <v>50</v>
      </c>
      <c r="U106" s="19" t="n">
        <f aca="false">SUMPRODUCT(($C$107:$C$200=3)*(U107:U200))</f>
        <v>20</v>
      </c>
      <c r="V106" s="19" t="n">
        <f aca="false">SUMPRODUCT(($C$107:$C$200=3)*(V107:V200))</f>
        <v>297</v>
      </c>
      <c r="W106" s="19" t="n">
        <f aca="false">SUMPRODUCT(($C$107:$C$200=3)*(W107:W200))</f>
        <v>89</v>
      </c>
      <c r="X106" s="19" t="n">
        <f aca="false">SUMPRODUCT(($C$107:$C$200=3)*(X107:X200))</f>
        <v>63</v>
      </c>
      <c r="Y106" s="19" t="n">
        <f aca="false">SUM(N106:X106)</f>
        <v>1972</v>
      </c>
      <c r="Z106" s="19" t="n">
        <f aca="false">Y106*(1+Assumptions!$C$5)</f>
        <v>2267.8</v>
      </c>
      <c r="AA106" s="17"/>
      <c r="AB106" s="17"/>
      <c r="AC106" s="17"/>
      <c r="AD106" s="20"/>
      <c r="AF106" s="21" t="n">
        <v>0</v>
      </c>
      <c r="AG106" s="21" t="n">
        <v>0</v>
      </c>
      <c r="AH106" s="21" t="n">
        <v>0</v>
      </c>
      <c r="AI106" s="21" t="n">
        <v>0</v>
      </c>
      <c r="AJ106" s="21" t="n">
        <v>0</v>
      </c>
      <c r="AK106" s="21" t="n">
        <v>0</v>
      </c>
      <c r="AL106" s="21" t="n">
        <v>0</v>
      </c>
      <c r="AM106" s="21" t="n">
        <v>0</v>
      </c>
      <c r="AN106" s="21" t="n">
        <v>0</v>
      </c>
      <c r="AO106" s="21" t="n">
        <v>0</v>
      </c>
      <c r="AP106" s="21" t="n">
        <v>0</v>
      </c>
      <c r="AQ106" s="21" t="n">
        <v>0</v>
      </c>
      <c r="AR106" s="21" t="n">
        <v>0</v>
      </c>
      <c r="AS106" s="21" t="n">
        <v>0</v>
      </c>
      <c r="AT106" s="21" t="n">
        <v>0</v>
      </c>
      <c r="AU106" s="21" t="n">
        <v>0</v>
      </c>
      <c r="AV106" s="21" t="n">
        <v>0</v>
      </c>
      <c r="AW106" s="21" t="n">
        <v>0</v>
      </c>
      <c r="AX106" s="21" t="n">
        <v>0</v>
      </c>
      <c r="AY106" s="21" t="n">
        <v>0</v>
      </c>
      <c r="AZ106" s="21" t="n">
        <v>0</v>
      </c>
      <c r="BA106" s="21" t="n">
        <v>0</v>
      </c>
      <c r="BB106" s="21" t="n">
        <v>0</v>
      </c>
      <c r="BC106" s="21" t="n">
        <v>0</v>
      </c>
    </row>
    <row r="107" customFormat="false" ht="15" hidden="false" customHeight="false" outlineLevel="1" collapsed="false">
      <c r="A107" s="22" t="n">
        <v>103</v>
      </c>
      <c r="B107" s="22" t="s">
        <v>287</v>
      </c>
      <c r="C107" s="22" t="n">
        <v>2</v>
      </c>
      <c r="D107" s="22" t="s">
        <v>89</v>
      </c>
      <c r="E107" s="23" t="s">
        <v>288</v>
      </c>
      <c r="F107" s="22" t="s">
        <v>154</v>
      </c>
      <c r="G107" s="22" t="s">
        <v>289</v>
      </c>
      <c r="H107" s="22"/>
      <c r="I107" s="22"/>
      <c r="J107" s="22" t="n">
        <f aca="false">NETWORKDAYS(K107,L107,Assumptions!$F$4:$F$44)</f>
        <v>101</v>
      </c>
      <c r="K107" s="24" t="n">
        <f aca="false">MIN(K108:K124)</f>
        <v>46356</v>
      </c>
      <c r="L107" s="24" t="n">
        <f aca="false">MAX(L108:L124)</f>
        <v>46496</v>
      </c>
      <c r="M107" s="22"/>
      <c r="N107" s="25" t="n">
        <f aca="false">SUMPRODUCT(($C$108:$C$124=3)*(N108:N124))</f>
        <v>1</v>
      </c>
      <c r="O107" s="25" t="n">
        <f aca="false">SUMPRODUCT(($C$108:$C$124=3)*(O108:O124))</f>
        <v>46</v>
      </c>
      <c r="P107" s="25" t="n">
        <f aca="false">SUMPRODUCT(($C$108:$C$124=3)*(P108:P124))</f>
        <v>13</v>
      </c>
      <c r="Q107" s="25" t="n">
        <f aca="false">SUMPRODUCT(($C$108:$C$124=3)*(Q108:Q124))</f>
        <v>160</v>
      </c>
      <c r="R107" s="25" t="n">
        <f aca="false">SUMPRODUCT(($C$108:$C$124=3)*(R108:R124))</f>
        <v>92</v>
      </c>
      <c r="S107" s="25" t="n">
        <f aca="false">SUMPRODUCT(($C$108:$C$124=3)*(S108:S124))</f>
        <v>32</v>
      </c>
      <c r="T107" s="25" t="n">
        <f aca="false">SUMPRODUCT(($C$108:$C$124=3)*(T108:T124))</f>
        <v>18</v>
      </c>
      <c r="U107" s="25" t="n">
        <f aca="false">SUMPRODUCT(($C$108:$C$124=3)*(U108:U124))</f>
        <v>0</v>
      </c>
      <c r="V107" s="25" t="n">
        <f aca="false">SUMPRODUCT(($C$108:$C$124=3)*(V108:V124))</f>
        <v>59</v>
      </c>
      <c r="W107" s="25" t="n">
        <f aca="false">SUMPRODUCT(($C$108:$C$124=3)*(W108:W124))</f>
        <v>21</v>
      </c>
      <c r="X107" s="25" t="n">
        <f aca="false">SUMPRODUCT(($C$108:$C$124=3)*(X108:X124))</f>
        <v>11</v>
      </c>
      <c r="Y107" s="25" t="n">
        <f aca="false">SUM(N107:X107)</f>
        <v>453</v>
      </c>
      <c r="Z107" s="25" t="n">
        <f aca="false">Y107*(1+Assumptions!$C$5)</f>
        <v>520.95</v>
      </c>
      <c r="AA107" s="22" t="s">
        <v>290</v>
      </c>
      <c r="AB107" s="22"/>
      <c r="AC107" s="22"/>
      <c r="AD107" s="26"/>
      <c r="AF107" s="21" t="n">
        <v>0</v>
      </c>
      <c r="AG107" s="21" t="n">
        <v>0</v>
      </c>
      <c r="AH107" s="21" t="n">
        <v>0</v>
      </c>
      <c r="AI107" s="21" t="n">
        <v>0</v>
      </c>
      <c r="AJ107" s="21" t="n">
        <v>0</v>
      </c>
      <c r="AK107" s="21" t="n">
        <v>0</v>
      </c>
      <c r="AL107" s="21" t="n">
        <v>0</v>
      </c>
      <c r="AM107" s="21" t="n">
        <v>0</v>
      </c>
      <c r="AN107" s="21" t="n">
        <v>0</v>
      </c>
      <c r="AO107" s="21" t="n">
        <v>0</v>
      </c>
      <c r="AP107" s="21" t="n">
        <v>0</v>
      </c>
      <c r="AQ107" s="21" t="n">
        <v>0</v>
      </c>
      <c r="AR107" s="21" t="n">
        <v>0</v>
      </c>
      <c r="AS107" s="21" t="n">
        <v>0</v>
      </c>
      <c r="AT107" s="21" t="n">
        <v>0</v>
      </c>
      <c r="AU107" s="21" t="n">
        <v>0</v>
      </c>
      <c r="AV107" s="21" t="n">
        <v>0</v>
      </c>
      <c r="AW107" s="21" t="n">
        <v>0</v>
      </c>
      <c r="AX107" s="21" t="n">
        <v>0</v>
      </c>
      <c r="AY107" s="21" t="n">
        <v>0</v>
      </c>
      <c r="AZ107" s="21" t="n">
        <v>0</v>
      </c>
      <c r="BA107" s="21" t="n">
        <v>0</v>
      </c>
      <c r="BB107" s="21" t="n">
        <v>0</v>
      </c>
      <c r="BC107" s="21" t="n">
        <v>0</v>
      </c>
    </row>
    <row r="108" customFormat="false" ht="15" hidden="false" customHeight="false" outlineLevel="2" collapsed="false">
      <c r="A108" s="27" t="n">
        <v>104</v>
      </c>
      <c r="B108" s="27" t="s">
        <v>291</v>
      </c>
      <c r="C108" s="27" t="n">
        <v>3</v>
      </c>
      <c r="D108" s="27" t="s">
        <v>92</v>
      </c>
      <c r="E108" s="28" t="s">
        <v>292</v>
      </c>
      <c r="F108" s="27" t="s">
        <v>154</v>
      </c>
      <c r="G108" s="27" t="s">
        <v>289</v>
      </c>
      <c r="H108" s="27" t="s">
        <v>43</v>
      </c>
      <c r="I108" s="29" t="n">
        <v>20</v>
      </c>
      <c r="J108" s="29" t="n">
        <v>13</v>
      </c>
      <c r="K108" s="30" t="n">
        <f aca="false">WORKDAY(Assumptions!$C$4,I108,Assumptions!$F$4:$F$44)</f>
        <v>46356</v>
      </c>
      <c r="L108" s="30" t="n">
        <f aca="false">IF(J108=0,K108,WORKDAY(K108,J108-1,Assumptions!$F$4:$F$44))</f>
        <v>46372</v>
      </c>
      <c r="M108" s="29" t="s">
        <v>293</v>
      </c>
      <c r="N108" s="31" t="n">
        <v>1</v>
      </c>
      <c r="O108" s="31" t="n">
        <v>14</v>
      </c>
      <c r="P108" s="31" t="n">
        <v>4</v>
      </c>
      <c r="Q108" s="31" t="n">
        <v>0</v>
      </c>
      <c r="R108" s="31" t="n">
        <v>0</v>
      </c>
      <c r="S108" s="31" t="n">
        <v>0</v>
      </c>
      <c r="T108" s="31" t="n">
        <v>0</v>
      </c>
      <c r="U108" s="31" t="n">
        <v>0</v>
      </c>
      <c r="V108" s="31" t="n">
        <v>0</v>
      </c>
      <c r="W108" s="31" t="n">
        <v>0</v>
      </c>
      <c r="X108" s="31" t="n">
        <v>0</v>
      </c>
      <c r="Y108" s="32" t="n">
        <f aca="false">SUM(N108:X108)</f>
        <v>19</v>
      </c>
      <c r="Z108" s="32" t="n">
        <f aca="false">Y108*(1+Assumptions!$C$5)</f>
        <v>21.85</v>
      </c>
      <c r="AA108" s="27" t="s">
        <v>294</v>
      </c>
      <c r="AB108" s="27" t="s">
        <v>95</v>
      </c>
      <c r="AC108" s="27"/>
      <c r="AD108" s="33" t="n">
        <v>0</v>
      </c>
      <c r="AF108" s="21" t="n">
        <f aca="false">IF($J108=0,0,MAX(0,NETWORKDAYS(MAX($K108,AF$4),MIN($L108,EOMONTH(AF$4,0)),Assumptions!$F$4:$F$44))/NETWORKDAYS($K108,$L108,Assumptions!$F$4:$F$44))</f>
        <v>0.0769230769230769</v>
      </c>
      <c r="AG108" s="21" t="n">
        <f aca="false">IF($J108=0,0,MAX(0,NETWORKDAYS(MAX($K108,AG$4),MIN($L108,EOMONTH(AG$4,0)),Assumptions!$F$4:$F$44))/NETWORKDAYS($K108,$L108,Assumptions!$F$4:$F$44))</f>
        <v>0.923076923076923</v>
      </c>
      <c r="AH108" s="21" t="n">
        <f aca="false">IF($J108=0,0,MAX(0,NETWORKDAYS(MAX($K108,AH$4),MIN($L108,EOMONTH(AH$4,0)),Assumptions!$F$4:$F$44))/NETWORKDAYS($K108,$L108,Assumptions!$F$4:$F$44))</f>
        <v>0</v>
      </c>
      <c r="AI108" s="21" t="n">
        <f aca="false">IF($J108=0,0,MAX(0,NETWORKDAYS(MAX($K108,AI$4),MIN($L108,EOMONTH(AI$4,0)),Assumptions!$F$4:$F$44))/NETWORKDAYS($K108,$L108,Assumptions!$F$4:$F$44))</f>
        <v>0</v>
      </c>
      <c r="AJ108" s="21" t="n">
        <f aca="false">IF($J108=0,0,MAX(0,NETWORKDAYS(MAX($K108,AJ$4),MIN($L108,EOMONTH(AJ$4,0)),Assumptions!$F$4:$F$44))/NETWORKDAYS($K108,$L108,Assumptions!$F$4:$F$44))</f>
        <v>0</v>
      </c>
      <c r="AK108" s="21" t="n">
        <f aca="false">IF($J108=0,0,MAX(0,NETWORKDAYS(MAX($K108,AK$4),MIN($L108,EOMONTH(AK$4,0)),Assumptions!$F$4:$F$44))/NETWORKDAYS($K108,$L108,Assumptions!$F$4:$F$44))</f>
        <v>0</v>
      </c>
      <c r="AL108" s="21" t="n">
        <f aca="false">IF($J108=0,0,MAX(0,NETWORKDAYS(MAX($K108,AL$4),MIN($L108,EOMONTH(AL$4,0)),Assumptions!$F$4:$F$44))/NETWORKDAYS($K108,$L108,Assumptions!$F$4:$F$44))</f>
        <v>0</v>
      </c>
      <c r="AM108" s="21" t="n">
        <f aca="false">IF($J108=0,0,MAX(0,NETWORKDAYS(MAX($K108,AM$4),MIN($L108,EOMONTH(AM$4,0)),Assumptions!$F$4:$F$44))/NETWORKDAYS($K108,$L108,Assumptions!$F$4:$F$44))</f>
        <v>0</v>
      </c>
      <c r="AN108" s="21" t="n">
        <f aca="false">IF($J108=0,0,MAX(0,NETWORKDAYS(MAX($K108,AN$4),MIN($L108,EOMONTH(AN$4,0)),Assumptions!$F$4:$F$44))/NETWORKDAYS($K108,$L108,Assumptions!$F$4:$F$44))</f>
        <v>0</v>
      </c>
      <c r="AO108" s="21" t="n">
        <f aca="false">IF($J108=0,0,MAX(0,NETWORKDAYS(MAX($K108,AO$4),MIN($L108,EOMONTH(AO$4,0)),Assumptions!$F$4:$F$44))/NETWORKDAYS($K108,$L108,Assumptions!$F$4:$F$44))</f>
        <v>0</v>
      </c>
      <c r="AP108" s="21" t="n">
        <f aca="false">IF($J108=0,0,MAX(0,NETWORKDAYS(MAX($K108,AP$4),MIN($L108,EOMONTH(AP$4,0)),Assumptions!$F$4:$F$44))/NETWORKDAYS($K108,$L108,Assumptions!$F$4:$F$44))</f>
        <v>0</v>
      </c>
      <c r="AQ108" s="21" t="n">
        <f aca="false">IF($J108=0,0,MAX(0,NETWORKDAYS(MAX($K108,AQ$4),MIN($L108,EOMONTH(AQ$4,0)),Assumptions!$F$4:$F$44))/NETWORKDAYS($K108,$L108,Assumptions!$F$4:$F$44))</f>
        <v>0</v>
      </c>
      <c r="AR108" s="21" t="n">
        <f aca="false">IF($J108=0,0,MAX(0,NETWORKDAYS(MAX($K108,AR$4),MIN($L108,EOMONTH(AR$4,0)),Assumptions!$F$4:$F$44))/NETWORKDAYS($K108,$L108,Assumptions!$F$4:$F$44))</f>
        <v>0</v>
      </c>
      <c r="AS108" s="21" t="n">
        <f aca="false">IF($J108=0,0,MAX(0,NETWORKDAYS(MAX($K108,AS$4),MIN($L108,EOMONTH(AS$4,0)),Assumptions!$F$4:$F$44))/NETWORKDAYS($K108,$L108,Assumptions!$F$4:$F$44))</f>
        <v>0</v>
      </c>
      <c r="AT108" s="21" t="n">
        <f aca="false">IF($J108=0,0,MAX(0,NETWORKDAYS(MAX($K108,AT$4),MIN($L108,EOMONTH(AT$4,0)),Assumptions!$F$4:$F$44))/NETWORKDAYS($K108,$L108,Assumptions!$F$4:$F$44))</f>
        <v>0</v>
      </c>
      <c r="AU108" s="21" t="n">
        <f aca="false">IF($J108=0,0,MAX(0,NETWORKDAYS(MAX($K108,AU$4),MIN($L108,EOMONTH(AU$4,0)),Assumptions!$F$4:$F$44))/NETWORKDAYS($K108,$L108,Assumptions!$F$4:$F$44))</f>
        <v>0</v>
      </c>
      <c r="AV108" s="21" t="n">
        <f aca="false">IF($J108=0,0,MAX(0,NETWORKDAYS(MAX($K108,AV$4),MIN($L108,EOMONTH(AV$4,0)),Assumptions!$F$4:$F$44))/NETWORKDAYS($K108,$L108,Assumptions!$F$4:$F$44))</f>
        <v>0</v>
      </c>
      <c r="AW108" s="21" t="n">
        <f aca="false">IF($J108=0,0,MAX(0,NETWORKDAYS(MAX($K108,AW$4),MIN($L108,EOMONTH(AW$4,0)),Assumptions!$F$4:$F$44))/NETWORKDAYS($K108,$L108,Assumptions!$F$4:$F$44))</f>
        <v>0</v>
      </c>
      <c r="AX108" s="21" t="n">
        <f aca="false">IF($J108=0,0,MAX(0,NETWORKDAYS(MAX($K108,AX$4),MIN($L108,EOMONTH(AX$4,0)),Assumptions!$F$4:$F$44))/NETWORKDAYS($K108,$L108,Assumptions!$F$4:$F$44))</f>
        <v>0</v>
      </c>
      <c r="AY108" s="21" t="n">
        <f aca="false">IF($J108=0,0,MAX(0,NETWORKDAYS(MAX($K108,AY$4),MIN($L108,EOMONTH(AY$4,0)),Assumptions!$F$4:$F$44))/NETWORKDAYS($K108,$L108,Assumptions!$F$4:$F$44))</f>
        <v>0</v>
      </c>
      <c r="AZ108" s="21" t="n">
        <f aca="false">IF($J108=0,0,MAX(0,NETWORKDAYS(MAX($K108,AZ$4),MIN($L108,EOMONTH(AZ$4,0)),Assumptions!$F$4:$F$44))/NETWORKDAYS($K108,$L108,Assumptions!$F$4:$F$44))</f>
        <v>0</v>
      </c>
      <c r="BA108" s="21" t="n">
        <f aca="false">IF($J108=0,0,MAX(0,NETWORKDAYS(MAX($K108,BA$4),MIN($L108,EOMONTH(BA$4,0)),Assumptions!$F$4:$F$44))/NETWORKDAYS($K108,$L108,Assumptions!$F$4:$F$44))</f>
        <v>0</v>
      </c>
      <c r="BB108" s="21" t="n">
        <f aca="false">IF($J108=0,0,MAX(0,NETWORKDAYS(MAX($K108,BB$4),MIN($L108,EOMONTH(BB$4,0)),Assumptions!$F$4:$F$44))/NETWORKDAYS($K108,$L108,Assumptions!$F$4:$F$44))</f>
        <v>0</v>
      </c>
      <c r="BC108" s="21" t="n">
        <f aca="false">IF($J108=0,0,MAX(0,NETWORKDAYS(MAX($K108,BC$4),MIN($L108,EOMONTH(BC$4,0)),Assumptions!$F$4:$F$44))/NETWORKDAYS($K108,$L108,Assumptions!$F$4:$F$44))</f>
        <v>0</v>
      </c>
    </row>
    <row r="109" customFormat="false" ht="15" hidden="false" customHeight="false" outlineLevel="2" collapsed="false">
      <c r="A109" s="27" t="n">
        <v>105</v>
      </c>
      <c r="B109" s="27" t="s">
        <v>295</v>
      </c>
      <c r="C109" s="27" t="n">
        <v>3</v>
      </c>
      <c r="D109" s="27" t="s">
        <v>92</v>
      </c>
      <c r="E109" s="28" t="s">
        <v>296</v>
      </c>
      <c r="F109" s="27" t="s">
        <v>154</v>
      </c>
      <c r="G109" s="27" t="s">
        <v>289</v>
      </c>
      <c r="H109" s="27" t="s">
        <v>45</v>
      </c>
      <c r="I109" s="29" t="n">
        <v>29</v>
      </c>
      <c r="J109" s="29" t="n">
        <v>13</v>
      </c>
      <c r="K109" s="30" t="n">
        <f aca="false">WORKDAY(Assumptions!$C$4,I109,Assumptions!$F$4:$F$44)</f>
        <v>46367</v>
      </c>
      <c r="L109" s="30" t="n">
        <f aca="false">IF(J109=0,K109,WORKDAY(K109,J109-1,Assumptions!$F$4:$F$44))</f>
        <v>46385</v>
      </c>
      <c r="M109" s="29" t="s">
        <v>297</v>
      </c>
      <c r="N109" s="31" t="n">
        <v>0</v>
      </c>
      <c r="O109" s="31" t="n">
        <v>0</v>
      </c>
      <c r="P109" s="31" t="n">
        <v>9</v>
      </c>
      <c r="Q109" s="31" t="n">
        <v>9</v>
      </c>
      <c r="R109" s="31" t="n">
        <v>0</v>
      </c>
      <c r="S109" s="31" t="n">
        <v>0</v>
      </c>
      <c r="T109" s="31" t="n">
        <v>0</v>
      </c>
      <c r="U109" s="31" t="n">
        <v>0</v>
      </c>
      <c r="V109" s="31" t="n">
        <v>0</v>
      </c>
      <c r="W109" s="31" t="n">
        <v>0</v>
      </c>
      <c r="X109" s="31" t="n">
        <v>0</v>
      </c>
      <c r="Y109" s="32" t="n">
        <f aca="false">SUM(N109:X109)</f>
        <v>18</v>
      </c>
      <c r="Z109" s="32" t="n">
        <f aca="false">Y109*(1+Assumptions!$C$5)</f>
        <v>20.7</v>
      </c>
      <c r="AA109" s="27" t="s">
        <v>298</v>
      </c>
      <c r="AB109" s="27" t="s">
        <v>95</v>
      </c>
      <c r="AC109" s="27"/>
      <c r="AD109" s="33" t="n">
        <v>0</v>
      </c>
      <c r="AF109" s="21" t="n">
        <f aca="false">IF($J109=0,0,MAX(0,NETWORKDAYS(MAX($K109,AF$4),MIN($L109,EOMONTH(AF$4,0)),Assumptions!$F$4:$F$44))/NETWORKDAYS($K109,$L109,Assumptions!$F$4:$F$44))</f>
        <v>0</v>
      </c>
      <c r="AG109" s="21" t="n">
        <f aca="false">IF($J109=0,0,MAX(0,NETWORKDAYS(MAX($K109,AG$4),MIN($L109,EOMONTH(AG$4,0)),Assumptions!$F$4:$F$44))/NETWORKDAYS($K109,$L109,Assumptions!$F$4:$F$44))</f>
        <v>1</v>
      </c>
      <c r="AH109" s="21" t="n">
        <f aca="false">IF($J109=0,0,MAX(0,NETWORKDAYS(MAX($K109,AH$4),MIN($L109,EOMONTH(AH$4,0)),Assumptions!$F$4:$F$44))/NETWORKDAYS($K109,$L109,Assumptions!$F$4:$F$44))</f>
        <v>0</v>
      </c>
      <c r="AI109" s="21" t="n">
        <f aca="false">IF($J109=0,0,MAX(0,NETWORKDAYS(MAX($K109,AI$4),MIN($L109,EOMONTH(AI$4,0)),Assumptions!$F$4:$F$44))/NETWORKDAYS($K109,$L109,Assumptions!$F$4:$F$44))</f>
        <v>0</v>
      </c>
      <c r="AJ109" s="21" t="n">
        <f aca="false">IF($J109=0,0,MAX(0,NETWORKDAYS(MAX($K109,AJ$4),MIN($L109,EOMONTH(AJ$4,0)),Assumptions!$F$4:$F$44))/NETWORKDAYS($K109,$L109,Assumptions!$F$4:$F$44))</f>
        <v>0</v>
      </c>
      <c r="AK109" s="21" t="n">
        <f aca="false">IF($J109=0,0,MAX(0,NETWORKDAYS(MAX($K109,AK$4),MIN($L109,EOMONTH(AK$4,0)),Assumptions!$F$4:$F$44))/NETWORKDAYS($K109,$L109,Assumptions!$F$4:$F$44))</f>
        <v>0</v>
      </c>
      <c r="AL109" s="21" t="n">
        <f aca="false">IF($J109=0,0,MAX(0,NETWORKDAYS(MAX($K109,AL$4),MIN($L109,EOMONTH(AL$4,0)),Assumptions!$F$4:$F$44))/NETWORKDAYS($K109,$L109,Assumptions!$F$4:$F$44))</f>
        <v>0</v>
      </c>
      <c r="AM109" s="21" t="n">
        <f aca="false">IF($J109=0,0,MAX(0,NETWORKDAYS(MAX($K109,AM$4),MIN($L109,EOMONTH(AM$4,0)),Assumptions!$F$4:$F$44))/NETWORKDAYS($K109,$L109,Assumptions!$F$4:$F$44))</f>
        <v>0</v>
      </c>
      <c r="AN109" s="21" t="n">
        <f aca="false">IF($J109=0,0,MAX(0,NETWORKDAYS(MAX($K109,AN$4),MIN($L109,EOMONTH(AN$4,0)),Assumptions!$F$4:$F$44))/NETWORKDAYS($K109,$L109,Assumptions!$F$4:$F$44))</f>
        <v>0</v>
      </c>
      <c r="AO109" s="21" t="n">
        <f aca="false">IF($J109=0,0,MAX(0,NETWORKDAYS(MAX($K109,AO$4),MIN($L109,EOMONTH(AO$4,0)),Assumptions!$F$4:$F$44))/NETWORKDAYS($K109,$L109,Assumptions!$F$4:$F$44))</f>
        <v>0</v>
      </c>
      <c r="AP109" s="21" t="n">
        <f aca="false">IF($J109=0,0,MAX(0,NETWORKDAYS(MAX($K109,AP$4),MIN($L109,EOMONTH(AP$4,0)),Assumptions!$F$4:$F$44))/NETWORKDAYS($K109,$L109,Assumptions!$F$4:$F$44))</f>
        <v>0</v>
      </c>
      <c r="AQ109" s="21" t="n">
        <f aca="false">IF($J109=0,0,MAX(0,NETWORKDAYS(MAX($K109,AQ$4),MIN($L109,EOMONTH(AQ$4,0)),Assumptions!$F$4:$F$44))/NETWORKDAYS($K109,$L109,Assumptions!$F$4:$F$44))</f>
        <v>0</v>
      </c>
      <c r="AR109" s="21" t="n">
        <f aca="false">IF($J109=0,0,MAX(0,NETWORKDAYS(MAX($K109,AR$4),MIN($L109,EOMONTH(AR$4,0)),Assumptions!$F$4:$F$44))/NETWORKDAYS($K109,$L109,Assumptions!$F$4:$F$44))</f>
        <v>0</v>
      </c>
      <c r="AS109" s="21" t="n">
        <f aca="false">IF($J109=0,0,MAX(0,NETWORKDAYS(MAX($K109,AS$4),MIN($L109,EOMONTH(AS$4,0)),Assumptions!$F$4:$F$44))/NETWORKDAYS($K109,$L109,Assumptions!$F$4:$F$44))</f>
        <v>0</v>
      </c>
      <c r="AT109" s="21" t="n">
        <f aca="false">IF($J109=0,0,MAX(0,NETWORKDAYS(MAX($K109,AT$4),MIN($L109,EOMONTH(AT$4,0)),Assumptions!$F$4:$F$44))/NETWORKDAYS($K109,$L109,Assumptions!$F$4:$F$44))</f>
        <v>0</v>
      </c>
      <c r="AU109" s="21" t="n">
        <f aca="false">IF($J109=0,0,MAX(0,NETWORKDAYS(MAX($K109,AU$4),MIN($L109,EOMONTH(AU$4,0)),Assumptions!$F$4:$F$44))/NETWORKDAYS($K109,$L109,Assumptions!$F$4:$F$44))</f>
        <v>0</v>
      </c>
      <c r="AV109" s="21" t="n">
        <f aca="false">IF($J109=0,0,MAX(0,NETWORKDAYS(MAX($K109,AV$4),MIN($L109,EOMONTH(AV$4,0)),Assumptions!$F$4:$F$44))/NETWORKDAYS($K109,$L109,Assumptions!$F$4:$F$44))</f>
        <v>0</v>
      </c>
      <c r="AW109" s="21" t="n">
        <f aca="false">IF($J109=0,0,MAX(0,NETWORKDAYS(MAX($K109,AW$4),MIN($L109,EOMONTH(AW$4,0)),Assumptions!$F$4:$F$44))/NETWORKDAYS($K109,$L109,Assumptions!$F$4:$F$44))</f>
        <v>0</v>
      </c>
      <c r="AX109" s="21" t="n">
        <f aca="false">IF($J109=0,0,MAX(0,NETWORKDAYS(MAX($K109,AX$4),MIN($L109,EOMONTH(AX$4,0)),Assumptions!$F$4:$F$44))/NETWORKDAYS($K109,$L109,Assumptions!$F$4:$F$44))</f>
        <v>0</v>
      </c>
      <c r="AY109" s="21" t="n">
        <f aca="false">IF($J109=0,0,MAX(0,NETWORKDAYS(MAX($K109,AY$4),MIN($L109,EOMONTH(AY$4,0)),Assumptions!$F$4:$F$44))/NETWORKDAYS($K109,$L109,Assumptions!$F$4:$F$44))</f>
        <v>0</v>
      </c>
      <c r="AZ109" s="21" t="n">
        <f aca="false">IF($J109=0,0,MAX(0,NETWORKDAYS(MAX($K109,AZ$4),MIN($L109,EOMONTH(AZ$4,0)),Assumptions!$F$4:$F$44))/NETWORKDAYS($K109,$L109,Assumptions!$F$4:$F$44))</f>
        <v>0</v>
      </c>
      <c r="BA109" s="21" t="n">
        <f aca="false">IF($J109=0,0,MAX(0,NETWORKDAYS(MAX($K109,BA$4),MIN($L109,EOMONTH(BA$4,0)),Assumptions!$F$4:$F$44))/NETWORKDAYS($K109,$L109,Assumptions!$F$4:$F$44))</f>
        <v>0</v>
      </c>
      <c r="BB109" s="21" t="n">
        <f aca="false">IF($J109=0,0,MAX(0,NETWORKDAYS(MAX($K109,BB$4),MIN($L109,EOMONTH(BB$4,0)),Assumptions!$F$4:$F$44))/NETWORKDAYS($K109,$L109,Assumptions!$F$4:$F$44))</f>
        <v>0</v>
      </c>
      <c r="BC109" s="21" t="n">
        <f aca="false">IF($J109=0,0,MAX(0,NETWORKDAYS(MAX($K109,BC$4),MIN($L109,EOMONTH(BC$4,0)),Assumptions!$F$4:$F$44))/NETWORKDAYS($K109,$L109,Assumptions!$F$4:$F$44))</f>
        <v>0</v>
      </c>
    </row>
    <row r="110" customFormat="false" ht="15" hidden="false" customHeight="false" outlineLevel="2" collapsed="false">
      <c r="A110" s="27" t="n">
        <v>106</v>
      </c>
      <c r="B110" s="27" t="s">
        <v>299</v>
      </c>
      <c r="C110" s="27" t="n">
        <v>3</v>
      </c>
      <c r="D110" s="27" t="s">
        <v>92</v>
      </c>
      <c r="E110" s="28" t="s">
        <v>300</v>
      </c>
      <c r="F110" s="27" t="s">
        <v>154</v>
      </c>
      <c r="G110" s="27" t="s">
        <v>289</v>
      </c>
      <c r="H110" s="27" t="s">
        <v>49</v>
      </c>
      <c r="I110" s="29" t="n">
        <v>29</v>
      </c>
      <c r="J110" s="29" t="n">
        <v>13</v>
      </c>
      <c r="K110" s="30" t="n">
        <f aca="false">WORKDAY(Assumptions!$C$4,I110,Assumptions!$F$4:$F$44)</f>
        <v>46367</v>
      </c>
      <c r="L110" s="30" t="n">
        <f aca="false">IF(J110=0,K110,WORKDAY(K110,J110-1,Assumptions!$F$4:$F$44))</f>
        <v>46385</v>
      </c>
      <c r="M110" s="29" t="s">
        <v>297</v>
      </c>
      <c r="N110" s="31" t="n">
        <v>0</v>
      </c>
      <c r="O110" s="31" t="n">
        <v>4</v>
      </c>
      <c r="P110" s="31" t="n">
        <v>0</v>
      </c>
      <c r="Q110" s="31" t="n">
        <v>0</v>
      </c>
      <c r="R110" s="31" t="n">
        <v>11</v>
      </c>
      <c r="S110" s="31" t="n">
        <v>0</v>
      </c>
      <c r="T110" s="31" t="n">
        <v>0</v>
      </c>
      <c r="U110" s="31" t="n">
        <v>0</v>
      </c>
      <c r="V110" s="31" t="n">
        <v>0</v>
      </c>
      <c r="W110" s="31" t="n">
        <v>0</v>
      </c>
      <c r="X110" s="31" t="n">
        <v>0</v>
      </c>
      <c r="Y110" s="32" t="n">
        <f aca="false">SUM(N110:X110)</f>
        <v>15</v>
      </c>
      <c r="Z110" s="32" t="n">
        <f aca="false">Y110*(1+Assumptions!$C$5)</f>
        <v>17.25</v>
      </c>
      <c r="AA110" s="27" t="s">
        <v>301</v>
      </c>
      <c r="AB110" s="27" t="s">
        <v>95</v>
      </c>
      <c r="AC110" s="27"/>
      <c r="AD110" s="33" t="n">
        <v>0</v>
      </c>
      <c r="AF110" s="21" t="n">
        <f aca="false">IF($J110=0,0,MAX(0,NETWORKDAYS(MAX($K110,AF$4),MIN($L110,EOMONTH(AF$4,0)),Assumptions!$F$4:$F$44))/NETWORKDAYS($K110,$L110,Assumptions!$F$4:$F$44))</f>
        <v>0</v>
      </c>
      <c r="AG110" s="21" t="n">
        <f aca="false">IF($J110=0,0,MAX(0,NETWORKDAYS(MAX($K110,AG$4),MIN($L110,EOMONTH(AG$4,0)),Assumptions!$F$4:$F$44))/NETWORKDAYS($K110,$L110,Assumptions!$F$4:$F$44))</f>
        <v>1</v>
      </c>
      <c r="AH110" s="21" t="n">
        <f aca="false">IF($J110=0,0,MAX(0,NETWORKDAYS(MAX($K110,AH$4),MIN($L110,EOMONTH(AH$4,0)),Assumptions!$F$4:$F$44))/NETWORKDAYS($K110,$L110,Assumptions!$F$4:$F$44))</f>
        <v>0</v>
      </c>
      <c r="AI110" s="21" t="n">
        <f aca="false">IF($J110=0,0,MAX(0,NETWORKDAYS(MAX($K110,AI$4),MIN($L110,EOMONTH(AI$4,0)),Assumptions!$F$4:$F$44))/NETWORKDAYS($K110,$L110,Assumptions!$F$4:$F$44))</f>
        <v>0</v>
      </c>
      <c r="AJ110" s="21" t="n">
        <f aca="false">IF($J110=0,0,MAX(0,NETWORKDAYS(MAX($K110,AJ$4),MIN($L110,EOMONTH(AJ$4,0)),Assumptions!$F$4:$F$44))/NETWORKDAYS($K110,$L110,Assumptions!$F$4:$F$44))</f>
        <v>0</v>
      </c>
      <c r="AK110" s="21" t="n">
        <f aca="false">IF($J110=0,0,MAX(0,NETWORKDAYS(MAX($K110,AK$4),MIN($L110,EOMONTH(AK$4,0)),Assumptions!$F$4:$F$44))/NETWORKDAYS($K110,$L110,Assumptions!$F$4:$F$44))</f>
        <v>0</v>
      </c>
      <c r="AL110" s="21" t="n">
        <f aca="false">IF($J110=0,0,MAX(0,NETWORKDAYS(MAX($K110,AL$4),MIN($L110,EOMONTH(AL$4,0)),Assumptions!$F$4:$F$44))/NETWORKDAYS($K110,$L110,Assumptions!$F$4:$F$44))</f>
        <v>0</v>
      </c>
      <c r="AM110" s="21" t="n">
        <f aca="false">IF($J110=0,0,MAX(0,NETWORKDAYS(MAX($K110,AM$4),MIN($L110,EOMONTH(AM$4,0)),Assumptions!$F$4:$F$44))/NETWORKDAYS($K110,$L110,Assumptions!$F$4:$F$44))</f>
        <v>0</v>
      </c>
      <c r="AN110" s="21" t="n">
        <f aca="false">IF($J110=0,0,MAX(0,NETWORKDAYS(MAX($K110,AN$4),MIN($L110,EOMONTH(AN$4,0)),Assumptions!$F$4:$F$44))/NETWORKDAYS($K110,$L110,Assumptions!$F$4:$F$44))</f>
        <v>0</v>
      </c>
      <c r="AO110" s="21" t="n">
        <f aca="false">IF($J110=0,0,MAX(0,NETWORKDAYS(MAX($K110,AO$4),MIN($L110,EOMONTH(AO$4,0)),Assumptions!$F$4:$F$44))/NETWORKDAYS($K110,$L110,Assumptions!$F$4:$F$44))</f>
        <v>0</v>
      </c>
      <c r="AP110" s="21" t="n">
        <f aca="false">IF($J110=0,0,MAX(0,NETWORKDAYS(MAX($K110,AP$4),MIN($L110,EOMONTH(AP$4,0)),Assumptions!$F$4:$F$44))/NETWORKDAYS($K110,$L110,Assumptions!$F$4:$F$44))</f>
        <v>0</v>
      </c>
      <c r="AQ110" s="21" t="n">
        <f aca="false">IF($J110=0,0,MAX(0,NETWORKDAYS(MAX($K110,AQ$4),MIN($L110,EOMONTH(AQ$4,0)),Assumptions!$F$4:$F$44))/NETWORKDAYS($K110,$L110,Assumptions!$F$4:$F$44))</f>
        <v>0</v>
      </c>
      <c r="AR110" s="21" t="n">
        <f aca="false">IF($J110=0,0,MAX(0,NETWORKDAYS(MAX($K110,AR$4),MIN($L110,EOMONTH(AR$4,0)),Assumptions!$F$4:$F$44))/NETWORKDAYS($K110,$L110,Assumptions!$F$4:$F$44))</f>
        <v>0</v>
      </c>
      <c r="AS110" s="21" t="n">
        <f aca="false">IF($J110=0,0,MAX(0,NETWORKDAYS(MAX($K110,AS$4),MIN($L110,EOMONTH(AS$4,0)),Assumptions!$F$4:$F$44))/NETWORKDAYS($K110,$L110,Assumptions!$F$4:$F$44))</f>
        <v>0</v>
      </c>
      <c r="AT110" s="21" t="n">
        <f aca="false">IF($J110=0,0,MAX(0,NETWORKDAYS(MAX($K110,AT$4),MIN($L110,EOMONTH(AT$4,0)),Assumptions!$F$4:$F$44))/NETWORKDAYS($K110,$L110,Assumptions!$F$4:$F$44))</f>
        <v>0</v>
      </c>
      <c r="AU110" s="21" t="n">
        <f aca="false">IF($J110=0,0,MAX(0,NETWORKDAYS(MAX($K110,AU$4),MIN($L110,EOMONTH(AU$4,0)),Assumptions!$F$4:$F$44))/NETWORKDAYS($K110,$L110,Assumptions!$F$4:$F$44))</f>
        <v>0</v>
      </c>
      <c r="AV110" s="21" t="n">
        <f aca="false">IF($J110=0,0,MAX(0,NETWORKDAYS(MAX($K110,AV$4),MIN($L110,EOMONTH(AV$4,0)),Assumptions!$F$4:$F$44))/NETWORKDAYS($K110,$L110,Assumptions!$F$4:$F$44))</f>
        <v>0</v>
      </c>
      <c r="AW110" s="21" t="n">
        <f aca="false">IF($J110=0,0,MAX(0,NETWORKDAYS(MAX($K110,AW$4),MIN($L110,EOMONTH(AW$4,0)),Assumptions!$F$4:$F$44))/NETWORKDAYS($K110,$L110,Assumptions!$F$4:$F$44))</f>
        <v>0</v>
      </c>
      <c r="AX110" s="21" t="n">
        <f aca="false">IF($J110=0,0,MAX(0,NETWORKDAYS(MAX($K110,AX$4),MIN($L110,EOMONTH(AX$4,0)),Assumptions!$F$4:$F$44))/NETWORKDAYS($K110,$L110,Assumptions!$F$4:$F$44))</f>
        <v>0</v>
      </c>
      <c r="AY110" s="21" t="n">
        <f aca="false">IF($J110=0,0,MAX(0,NETWORKDAYS(MAX($K110,AY$4),MIN($L110,EOMONTH(AY$4,0)),Assumptions!$F$4:$F$44))/NETWORKDAYS($K110,$L110,Assumptions!$F$4:$F$44))</f>
        <v>0</v>
      </c>
      <c r="AZ110" s="21" t="n">
        <f aca="false">IF($J110=0,0,MAX(0,NETWORKDAYS(MAX($K110,AZ$4),MIN($L110,EOMONTH(AZ$4,0)),Assumptions!$F$4:$F$44))/NETWORKDAYS($K110,$L110,Assumptions!$F$4:$F$44))</f>
        <v>0</v>
      </c>
      <c r="BA110" s="21" t="n">
        <f aca="false">IF($J110=0,0,MAX(0,NETWORKDAYS(MAX($K110,BA$4),MIN($L110,EOMONTH(BA$4,0)),Assumptions!$F$4:$F$44))/NETWORKDAYS($K110,$L110,Assumptions!$F$4:$F$44))</f>
        <v>0</v>
      </c>
      <c r="BB110" s="21" t="n">
        <f aca="false">IF($J110=0,0,MAX(0,NETWORKDAYS(MAX($K110,BB$4),MIN($L110,EOMONTH(BB$4,0)),Assumptions!$F$4:$F$44))/NETWORKDAYS($K110,$L110,Assumptions!$F$4:$F$44))</f>
        <v>0</v>
      </c>
      <c r="BC110" s="21" t="n">
        <f aca="false">IF($J110=0,0,MAX(0,NETWORKDAYS(MAX($K110,BC$4),MIN($L110,EOMONTH(BC$4,0)),Assumptions!$F$4:$F$44))/NETWORKDAYS($K110,$L110,Assumptions!$F$4:$F$44))</f>
        <v>0</v>
      </c>
    </row>
    <row r="111" customFormat="false" ht="15" hidden="false" customHeight="false" outlineLevel="2" collapsed="false">
      <c r="A111" s="27" t="n">
        <v>107</v>
      </c>
      <c r="B111" s="27" t="s">
        <v>302</v>
      </c>
      <c r="C111" s="27" t="n">
        <v>3</v>
      </c>
      <c r="D111" s="27" t="s">
        <v>92</v>
      </c>
      <c r="E111" s="28" t="s">
        <v>303</v>
      </c>
      <c r="F111" s="27" t="s">
        <v>154</v>
      </c>
      <c r="G111" s="27" t="s">
        <v>289</v>
      </c>
      <c r="H111" s="27" t="s">
        <v>47</v>
      </c>
      <c r="I111" s="29" t="n">
        <v>40</v>
      </c>
      <c r="J111" s="29" t="n">
        <v>47</v>
      </c>
      <c r="K111" s="30" t="n">
        <f aca="false">WORKDAY(Assumptions!$C$4,I111,Assumptions!$F$4:$F$44)</f>
        <v>46384</v>
      </c>
      <c r="L111" s="30" t="n">
        <f aca="false">IF(J111=0,K111,WORKDAY(K111,J111-1,Assumptions!$F$4:$F$44))</f>
        <v>46448</v>
      </c>
      <c r="M111" s="29" t="s">
        <v>304</v>
      </c>
      <c r="N111" s="31" t="n">
        <v>0</v>
      </c>
      <c r="O111" s="31" t="n">
        <v>0</v>
      </c>
      <c r="P111" s="31" t="n">
        <v>0</v>
      </c>
      <c r="Q111" s="31" t="n">
        <v>53</v>
      </c>
      <c r="R111" s="31" t="n">
        <v>0</v>
      </c>
      <c r="S111" s="31" t="n">
        <v>0</v>
      </c>
      <c r="T111" s="31" t="n">
        <v>0</v>
      </c>
      <c r="U111" s="31" t="n">
        <v>0</v>
      </c>
      <c r="V111" s="31" t="n">
        <v>0</v>
      </c>
      <c r="W111" s="31" t="n">
        <v>0</v>
      </c>
      <c r="X111" s="31" t="n">
        <v>0</v>
      </c>
      <c r="Y111" s="32" t="n">
        <f aca="false">SUM(N111:X111)</f>
        <v>53</v>
      </c>
      <c r="Z111" s="32" t="n">
        <f aca="false">Y111*(1+Assumptions!$C$5)</f>
        <v>60.95</v>
      </c>
      <c r="AA111" s="27" t="s">
        <v>305</v>
      </c>
      <c r="AB111" s="27" t="s">
        <v>95</v>
      </c>
      <c r="AC111" s="27"/>
      <c r="AD111" s="33" t="n">
        <v>0</v>
      </c>
      <c r="AF111" s="21" t="n">
        <f aca="false">IF($J111=0,0,MAX(0,NETWORKDAYS(MAX($K111,AF$4),MIN($L111,EOMONTH(AF$4,0)),Assumptions!$F$4:$F$44))/NETWORKDAYS($K111,$L111,Assumptions!$F$4:$F$44))</f>
        <v>0</v>
      </c>
      <c r="AG111" s="21" t="n">
        <f aca="false">IF($J111=0,0,MAX(0,NETWORKDAYS(MAX($K111,AG$4),MIN($L111,EOMONTH(AG$4,0)),Assumptions!$F$4:$F$44))/NETWORKDAYS($K111,$L111,Assumptions!$F$4:$F$44))</f>
        <v>0.0851063829787234</v>
      </c>
      <c r="AH111" s="21" t="n">
        <f aca="false">IF($J111=0,0,MAX(0,NETWORKDAYS(MAX($K111,AH$4),MIN($L111,EOMONTH(AH$4,0)),Assumptions!$F$4:$F$44))/NETWORKDAYS($K111,$L111,Assumptions!$F$4:$F$44))</f>
        <v>0.446808510638298</v>
      </c>
      <c r="AI111" s="21" t="n">
        <f aca="false">IF($J111=0,0,MAX(0,NETWORKDAYS(MAX($K111,AI$4),MIN($L111,EOMONTH(AI$4,0)),Assumptions!$F$4:$F$44))/NETWORKDAYS($K111,$L111,Assumptions!$F$4:$F$44))</f>
        <v>0.425531914893617</v>
      </c>
      <c r="AJ111" s="21" t="n">
        <f aca="false">IF($J111=0,0,MAX(0,NETWORKDAYS(MAX($K111,AJ$4),MIN($L111,EOMONTH(AJ$4,0)),Assumptions!$F$4:$F$44))/NETWORKDAYS($K111,$L111,Assumptions!$F$4:$F$44))</f>
        <v>0.0425531914893617</v>
      </c>
      <c r="AK111" s="21" t="n">
        <f aca="false">IF($J111=0,0,MAX(0,NETWORKDAYS(MAX($K111,AK$4),MIN($L111,EOMONTH(AK$4,0)),Assumptions!$F$4:$F$44))/NETWORKDAYS($K111,$L111,Assumptions!$F$4:$F$44))</f>
        <v>0</v>
      </c>
      <c r="AL111" s="21" t="n">
        <f aca="false">IF($J111=0,0,MAX(0,NETWORKDAYS(MAX($K111,AL$4),MIN($L111,EOMONTH(AL$4,0)),Assumptions!$F$4:$F$44))/NETWORKDAYS($K111,$L111,Assumptions!$F$4:$F$44))</f>
        <v>0</v>
      </c>
      <c r="AM111" s="21" t="n">
        <f aca="false">IF($J111=0,0,MAX(0,NETWORKDAYS(MAX($K111,AM$4),MIN($L111,EOMONTH(AM$4,0)),Assumptions!$F$4:$F$44))/NETWORKDAYS($K111,$L111,Assumptions!$F$4:$F$44))</f>
        <v>0</v>
      </c>
      <c r="AN111" s="21" t="n">
        <f aca="false">IF($J111=0,0,MAX(0,NETWORKDAYS(MAX($K111,AN$4),MIN($L111,EOMONTH(AN$4,0)),Assumptions!$F$4:$F$44))/NETWORKDAYS($K111,$L111,Assumptions!$F$4:$F$44))</f>
        <v>0</v>
      </c>
      <c r="AO111" s="21" t="n">
        <f aca="false">IF($J111=0,0,MAX(0,NETWORKDAYS(MAX($K111,AO$4),MIN($L111,EOMONTH(AO$4,0)),Assumptions!$F$4:$F$44))/NETWORKDAYS($K111,$L111,Assumptions!$F$4:$F$44))</f>
        <v>0</v>
      </c>
      <c r="AP111" s="21" t="n">
        <f aca="false">IF($J111=0,0,MAX(0,NETWORKDAYS(MAX($K111,AP$4),MIN($L111,EOMONTH(AP$4,0)),Assumptions!$F$4:$F$44))/NETWORKDAYS($K111,$L111,Assumptions!$F$4:$F$44))</f>
        <v>0</v>
      </c>
      <c r="AQ111" s="21" t="n">
        <f aca="false">IF($J111=0,0,MAX(0,NETWORKDAYS(MAX($K111,AQ$4),MIN($L111,EOMONTH(AQ$4,0)),Assumptions!$F$4:$F$44))/NETWORKDAYS($K111,$L111,Assumptions!$F$4:$F$44))</f>
        <v>0</v>
      </c>
      <c r="AR111" s="21" t="n">
        <f aca="false">IF($J111=0,0,MAX(0,NETWORKDAYS(MAX($K111,AR$4),MIN($L111,EOMONTH(AR$4,0)),Assumptions!$F$4:$F$44))/NETWORKDAYS($K111,$L111,Assumptions!$F$4:$F$44))</f>
        <v>0</v>
      </c>
      <c r="AS111" s="21" t="n">
        <f aca="false">IF($J111=0,0,MAX(0,NETWORKDAYS(MAX($K111,AS$4),MIN($L111,EOMONTH(AS$4,0)),Assumptions!$F$4:$F$44))/NETWORKDAYS($K111,$L111,Assumptions!$F$4:$F$44))</f>
        <v>0</v>
      </c>
      <c r="AT111" s="21" t="n">
        <f aca="false">IF($J111=0,0,MAX(0,NETWORKDAYS(MAX($K111,AT$4),MIN($L111,EOMONTH(AT$4,0)),Assumptions!$F$4:$F$44))/NETWORKDAYS($K111,$L111,Assumptions!$F$4:$F$44))</f>
        <v>0</v>
      </c>
      <c r="AU111" s="21" t="n">
        <f aca="false">IF($J111=0,0,MAX(0,NETWORKDAYS(MAX($K111,AU$4),MIN($L111,EOMONTH(AU$4,0)),Assumptions!$F$4:$F$44))/NETWORKDAYS($K111,$L111,Assumptions!$F$4:$F$44))</f>
        <v>0</v>
      </c>
      <c r="AV111" s="21" t="n">
        <f aca="false">IF($J111=0,0,MAX(0,NETWORKDAYS(MAX($K111,AV$4),MIN($L111,EOMONTH(AV$4,0)),Assumptions!$F$4:$F$44))/NETWORKDAYS($K111,$L111,Assumptions!$F$4:$F$44))</f>
        <v>0</v>
      </c>
      <c r="AW111" s="21" t="n">
        <f aca="false">IF($J111=0,0,MAX(0,NETWORKDAYS(MAX($K111,AW$4),MIN($L111,EOMONTH(AW$4,0)),Assumptions!$F$4:$F$44))/NETWORKDAYS($K111,$L111,Assumptions!$F$4:$F$44))</f>
        <v>0</v>
      </c>
      <c r="AX111" s="21" t="n">
        <f aca="false">IF($J111=0,0,MAX(0,NETWORKDAYS(MAX($K111,AX$4),MIN($L111,EOMONTH(AX$4,0)),Assumptions!$F$4:$F$44))/NETWORKDAYS($K111,$L111,Assumptions!$F$4:$F$44))</f>
        <v>0</v>
      </c>
      <c r="AY111" s="21" t="n">
        <f aca="false">IF($J111=0,0,MAX(0,NETWORKDAYS(MAX($K111,AY$4),MIN($L111,EOMONTH(AY$4,0)),Assumptions!$F$4:$F$44))/NETWORKDAYS($K111,$L111,Assumptions!$F$4:$F$44))</f>
        <v>0</v>
      </c>
      <c r="AZ111" s="21" t="n">
        <f aca="false">IF($J111=0,0,MAX(0,NETWORKDAYS(MAX($K111,AZ$4),MIN($L111,EOMONTH(AZ$4,0)),Assumptions!$F$4:$F$44))/NETWORKDAYS($K111,$L111,Assumptions!$F$4:$F$44))</f>
        <v>0</v>
      </c>
      <c r="BA111" s="21" t="n">
        <f aca="false">IF($J111=0,0,MAX(0,NETWORKDAYS(MAX($K111,BA$4),MIN($L111,EOMONTH(BA$4,0)),Assumptions!$F$4:$F$44))/NETWORKDAYS($K111,$L111,Assumptions!$F$4:$F$44))</f>
        <v>0</v>
      </c>
      <c r="BB111" s="21" t="n">
        <f aca="false">IF($J111=0,0,MAX(0,NETWORKDAYS(MAX($K111,BB$4),MIN($L111,EOMONTH(BB$4,0)),Assumptions!$F$4:$F$44))/NETWORKDAYS($K111,$L111,Assumptions!$F$4:$F$44))</f>
        <v>0</v>
      </c>
      <c r="BC111" s="21" t="n">
        <f aca="false">IF($J111=0,0,MAX(0,NETWORKDAYS(MAX($K111,BC$4),MIN($L111,EOMONTH(BC$4,0)),Assumptions!$F$4:$F$44))/NETWORKDAYS($K111,$L111,Assumptions!$F$4:$F$44))</f>
        <v>0</v>
      </c>
    </row>
    <row r="112" customFormat="false" ht="15" hidden="false" customHeight="false" outlineLevel="2" collapsed="false">
      <c r="A112" s="27" t="n">
        <v>108</v>
      </c>
      <c r="B112" s="27" t="s">
        <v>306</v>
      </c>
      <c r="C112" s="27" t="n">
        <v>3</v>
      </c>
      <c r="D112" s="27" t="s">
        <v>92</v>
      </c>
      <c r="E112" s="28" t="s">
        <v>307</v>
      </c>
      <c r="F112" s="27" t="s">
        <v>154</v>
      </c>
      <c r="G112" s="27" t="s">
        <v>289</v>
      </c>
      <c r="H112" s="27" t="s">
        <v>47</v>
      </c>
      <c r="I112" s="29" t="n">
        <v>54</v>
      </c>
      <c r="J112" s="29" t="n">
        <v>34</v>
      </c>
      <c r="K112" s="30" t="n">
        <f aca="false">WORKDAY(Assumptions!$C$4,I112,Assumptions!$F$4:$F$44)</f>
        <v>46402</v>
      </c>
      <c r="L112" s="30" t="n">
        <f aca="false">IF(J112=0,K112,WORKDAY(K112,J112-1,Assumptions!$F$4:$F$44))</f>
        <v>46449</v>
      </c>
      <c r="M112" s="29" t="s">
        <v>304</v>
      </c>
      <c r="N112" s="31" t="n">
        <v>0</v>
      </c>
      <c r="O112" s="31" t="n">
        <v>7</v>
      </c>
      <c r="P112" s="31" t="n">
        <v>0</v>
      </c>
      <c r="Q112" s="31" t="n">
        <v>18</v>
      </c>
      <c r="R112" s="31" t="n">
        <v>0</v>
      </c>
      <c r="S112" s="31" t="n">
        <v>0</v>
      </c>
      <c r="T112" s="31" t="n">
        <v>0</v>
      </c>
      <c r="U112" s="31" t="n">
        <v>0</v>
      </c>
      <c r="V112" s="31" t="n">
        <v>0</v>
      </c>
      <c r="W112" s="31" t="n">
        <v>0</v>
      </c>
      <c r="X112" s="31" t="n">
        <v>0</v>
      </c>
      <c r="Y112" s="32" t="n">
        <f aca="false">SUM(N112:X112)</f>
        <v>25</v>
      </c>
      <c r="Z112" s="32" t="n">
        <f aca="false">Y112*(1+Assumptions!$C$5)</f>
        <v>28.75</v>
      </c>
      <c r="AA112" s="27" t="s">
        <v>308</v>
      </c>
      <c r="AB112" s="27" t="s">
        <v>95</v>
      </c>
      <c r="AC112" s="27"/>
      <c r="AD112" s="33" t="n">
        <v>0</v>
      </c>
      <c r="AF112" s="21" t="n">
        <f aca="false">IF($J112=0,0,MAX(0,NETWORKDAYS(MAX($K112,AF$4),MIN($L112,EOMONTH(AF$4,0)),Assumptions!$F$4:$F$44))/NETWORKDAYS($K112,$L112,Assumptions!$F$4:$F$44))</f>
        <v>0</v>
      </c>
      <c r="AG112" s="21" t="n">
        <f aca="false">IF($J112=0,0,MAX(0,NETWORKDAYS(MAX($K112,AG$4),MIN($L112,EOMONTH(AG$4,0)),Assumptions!$F$4:$F$44))/NETWORKDAYS($K112,$L112,Assumptions!$F$4:$F$44))</f>
        <v>0</v>
      </c>
      <c r="AH112" s="21" t="n">
        <f aca="false">IF($J112=0,0,MAX(0,NETWORKDAYS(MAX($K112,AH$4),MIN($L112,EOMONTH(AH$4,0)),Assumptions!$F$4:$F$44))/NETWORKDAYS($K112,$L112,Assumptions!$F$4:$F$44))</f>
        <v>0.323529411764706</v>
      </c>
      <c r="AI112" s="21" t="n">
        <f aca="false">IF($J112=0,0,MAX(0,NETWORKDAYS(MAX($K112,AI$4),MIN($L112,EOMONTH(AI$4,0)),Assumptions!$F$4:$F$44))/NETWORKDAYS($K112,$L112,Assumptions!$F$4:$F$44))</f>
        <v>0.588235294117647</v>
      </c>
      <c r="AJ112" s="21" t="n">
        <f aca="false">IF($J112=0,0,MAX(0,NETWORKDAYS(MAX($K112,AJ$4),MIN($L112,EOMONTH(AJ$4,0)),Assumptions!$F$4:$F$44))/NETWORKDAYS($K112,$L112,Assumptions!$F$4:$F$44))</f>
        <v>0.0882352941176471</v>
      </c>
      <c r="AK112" s="21" t="n">
        <f aca="false">IF($J112=0,0,MAX(0,NETWORKDAYS(MAX($K112,AK$4),MIN($L112,EOMONTH(AK$4,0)),Assumptions!$F$4:$F$44))/NETWORKDAYS($K112,$L112,Assumptions!$F$4:$F$44))</f>
        <v>0</v>
      </c>
      <c r="AL112" s="21" t="n">
        <f aca="false">IF($J112=0,0,MAX(0,NETWORKDAYS(MAX($K112,AL$4),MIN($L112,EOMONTH(AL$4,0)),Assumptions!$F$4:$F$44))/NETWORKDAYS($K112,$L112,Assumptions!$F$4:$F$44))</f>
        <v>0</v>
      </c>
      <c r="AM112" s="21" t="n">
        <f aca="false">IF($J112=0,0,MAX(0,NETWORKDAYS(MAX($K112,AM$4),MIN($L112,EOMONTH(AM$4,0)),Assumptions!$F$4:$F$44))/NETWORKDAYS($K112,$L112,Assumptions!$F$4:$F$44))</f>
        <v>0</v>
      </c>
      <c r="AN112" s="21" t="n">
        <f aca="false">IF($J112=0,0,MAX(0,NETWORKDAYS(MAX($K112,AN$4),MIN($L112,EOMONTH(AN$4,0)),Assumptions!$F$4:$F$44))/NETWORKDAYS($K112,$L112,Assumptions!$F$4:$F$44))</f>
        <v>0</v>
      </c>
      <c r="AO112" s="21" t="n">
        <f aca="false">IF($J112=0,0,MAX(0,NETWORKDAYS(MAX($K112,AO$4),MIN($L112,EOMONTH(AO$4,0)),Assumptions!$F$4:$F$44))/NETWORKDAYS($K112,$L112,Assumptions!$F$4:$F$44))</f>
        <v>0</v>
      </c>
      <c r="AP112" s="21" t="n">
        <f aca="false">IF($J112=0,0,MAX(0,NETWORKDAYS(MAX($K112,AP$4),MIN($L112,EOMONTH(AP$4,0)),Assumptions!$F$4:$F$44))/NETWORKDAYS($K112,$L112,Assumptions!$F$4:$F$44))</f>
        <v>0</v>
      </c>
      <c r="AQ112" s="21" t="n">
        <f aca="false">IF($J112=0,0,MAX(0,NETWORKDAYS(MAX($K112,AQ$4),MIN($L112,EOMONTH(AQ$4,0)),Assumptions!$F$4:$F$44))/NETWORKDAYS($K112,$L112,Assumptions!$F$4:$F$44))</f>
        <v>0</v>
      </c>
      <c r="AR112" s="21" t="n">
        <f aca="false">IF($J112=0,0,MAX(0,NETWORKDAYS(MAX($K112,AR$4),MIN($L112,EOMONTH(AR$4,0)),Assumptions!$F$4:$F$44))/NETWORKDAYS($K112,$L112,Assumptions!$F$4:$F$44))</f>
        <v>0</v>
      </c>
      <c r="AS112" s="21" t="n">
        <f aca="false">IF($J112=0,0,MAX(0,NETWORKDAYS(MAX($K112,AS$4),MIN($L112,EOMONTH(AS$4,0)),Assumptions!$F$4:$F$44))/NETWORKDAYS($K112,$L112,Assumptions!$F$4:$F$44))</f>
        <v>0</v>
      </c>
      <c r="AT112" s="21" t="n">
        <f aca="false">IF($J112=0,0,MAX(0,NETWORKDAYS(MAX($K112,AT$4),MIN($L112,EOMONTH(AT$4,0)),Assumptions!$F$4:$F$44))/NETWORKDAYS($K112,$L112,Assumptions!$F$4:$F$44))</f>
        <v>0</v>
      </c>
      <c r="AU112" s="21" t="n">
        <f aca="false">IF($J112=0,0,MAX(0,NETWORKDAYS(MAX($K112,AU$4),MIN($L112,EOMONTH(AU$4,0)),Assumptions!$F$4:$F$44))/NETWORKDAYS($K112,$L112,Assumptions!$F$4:$F$44))</f>
        <v>0</v>
      </c>
      <c r="AV112" s="21" t="n">
        <f aca="false">IF($J112=0,0,MAX(0,NETWORKDAYS(MAX($K112,AV$4),MIN($L112,EOMONTH(AV$4,0)),Assumptions!$F$4:$F$44))/NETWORKDAYS($K112,$L112,Assumptions!$F$4:$F$44))</f>
        <v>0</v>
      </c>
      <c r="AW112" s="21" t="n">
        <f aca="false">IF($J112=0,0,MAX(0,NETWORKDAYS(MAX($K112,AW$4),MIN($L112,EOMONTH(AW$4,0)),Assumptions!$F$4:$F$44))/NETWORKDAYS($K112,$L112,Assumptions!$F$4:$F$44))</f>
        <v>0</v>
      </c>
      <c r="AX112" s="21" t="n">
        <f aca="false">IF($J112=0,0,MAX(0,NETWORKDAYS(MAX($K112,AX$4),MIN($L112,EOMONTH(AX$4,0)),Assumptions!$F$4:$F$44))/NETWORKDAYS($K112,$L112,Assumptions!$F$4:$F$44))</f>
        <v>0</v>
      </c>
      <c r="AY112" s="21" t="n">
        <f aca="false">IF($J112=0,0,MAX(0,NETWORKDAYS(MAX($K112,AY$4),MIN($L112,EOMONTH(AY$4,0)),Assumptions!$F$4:$F$44))/NETWORKDAYS($K112,$L112,Assumptions!$F$4:$F$44))</f>
        <v>0</v>
      </c>
      <c r="AZ112" s="21" t="n">
        <f aca="false">IF($J112=0,0,MAX(0,NETWORKDAYS(MAX($K112,AZ$4),MIN($L112,EOMONTH(AZ$4,0)),Assumptions!$F$4:$F$44))/NETWORKDAYS($K112,$L112,Assumptions!$F$4:$F$44))</f>
        <v>0</v>
      </c>
      <c r="BA112" s="21" t="n">
        <f aca="false">IF($J112=0,0,MAX(0,NETWORKDAYS(MAX($K112,BA$4),MIN($L112,EOMONTH(BA$4,0)),Assumptions!$F$4:$F$44))/NETWORKDAYS($K112,$L112,Assumptions!$F$4:$F$44))</f>
        <v>0</v>
      </c>
      <c r="BB112" s="21" t="n">
        <f aca="false">IF($J112=0,0,MAX(0,NETWORKDAYS(MAX($K112,BB$4),MIN($L112,EOMONTH(BB$4,0)),Assumptions!$F$4:$F$44))/NETWORKDAYS($K112,$L112,Assumptions!$F$4:$F$44))</f>
        <v>0</v>
      </c>
      <c r="BC112" s="21" t="n">
        <f aca="false">IF($J112=0,0,MAX(0,NETWORKDAYS(MAX($K112,BC$4),MIN($L112,EOMONTH(BC$4,0)),Assumptions!$F$4:$F$44))/NETWORKDAYS($K112,$L112,Assumptions!$F$4:$F$44))</f>
        <v>0</v>
      </c>
    </row>
    <row r="113" customFormat="false" ht="15" hidden="false" customHeight="false" outlineLevel="2" collapsed="false">
      <c r="A113" s="27" t="n">
        <v>109</v>
      </c>
      <c r="B113" s="27" t="s">
        <v>309</v>
      </c>
      <c r="C113" s="27" t="n">
        <v>3</v>
      </c>
      <c r="D113" s="27" t="s">
        <v>92</v>
      </c>
      <c r="E113" s="28" t="s">
        <v>310</v>
      </c>
      <c r="F113" s="27" t="s">
        <v>154</v>
      </c>
      <c r="G113" s="27" t="s">
        <v>289</v>
      </c>
      <c r="H113" s="27" t="s">
        <v>49</v>
      </c>
      <c r="I113" s="29" t="n">
        <v>48</v>
      </c>
      <c r="J113" s="29" t="n">
        <v>45</v>
      </c>
      <c r="K113" s="30" t="n">
        <f aca="false">WORKDAY(Assumptions!$C$4,I113,Assumptions!$F$4:$F$44)</f>
        <v>46394</v>
      </c>
      <c r="L113" s="30" t="n">
        <f aca="false">IF(J113=0,K113,WORKDAY(K113,J113-1,Assumptions!$F$4:$F$44))</f>
        <v>46456</v>
      </c>
      <c r="M113" s="29" t="s">
        <v>311</v>
      </c>
      <c r="N113" s="31" t="n">
        <v>0</v>
      </c>
      <c r="O113" s="31" t="n">
        <v>0</v>
      </c>
      <c r="P113" s="31" t="n">
        <v>0</v>
      </c>
      <c r="Q113" s="31" t="n">
        <v>0</v>
      </c>
      <c r="R113" s="31" t="n">
        <v>44</v>
      </c>
      <c r="S113" s="31" t="n">
        <v>0</v>
      </c>
      <c r="T113" s="31" t="n">
        <v>0</v>
      </c>
      <c r="U113" s="31" t="n">
        <v>0</v>
      </c>
      <c r="V113" s="31" t="n">
        <v>0</v>
      </c>
      <c r="W113" s="31" t="n">
        <v>0</v>
      </c>
      <c r="X113" s="31" t="n">
        <v>0</v>
      </c>
      <c r="Y113" s="32" t="n">
        <f aca="false">SUM(N113:X113)</f>
        <v>44</v>
      </c>
      <c r="Z113" s="32" t="n">
        <f aca="false">Y113*(1+Assumptions!$C$5)</f>
        <v>50.6</v>
      </c>
      <c r="AA113" s="27" t="s">
        <v>312</v>
      </c>
      <c r="AB113" s="27" t="s">
        <v>95</v>
      </c>
      <c r="AC113" s="27"/>
      <c r="AD113" s="33" t="n">
        <v>0</v>
      </c>
      <c r="AF113" s="21" t="n">
        <f aca="false">IF($J113=0,0,MAX(0,NETWORKDAYS(MAX($K113,AF$4),MIN($L113,EOMONTH(AF$4,0)),Assumptions!$F$4:$F$44))/NETWORKDAYS($K113,$L113,Assumptions!$F$4:$F$44))</f>
        <v>0</v>
      </c>
      <c r="AG113" s="21" t="n">
        <f aca="false">IF($J113=0,0,MAX(0,NETWORKDAYS(MAX($K113,AG$4),MIN($L113,EOMONTH(AG$4,0)),Assumptions!$F$4:$F$44))/NETWORKDAYS($K113,$L113,Assumptions!$F$4:$F$44))</f>
        <v>0</v>
      </c>
      <c r="AH113" s="21" t="n">
        <f aca="false">IF($J113=0,0,MAX(0,NETWORKDAYS(MAX($K113,AH$4),MIN($L113,EOMONTH(AH$4,0)),Assumptions!$F$4:$F$44))/NETWORKDAYS($K113,$L113,Assumptions!$F$4:$F$44))</f>
        <v>0.377777777777778</v>
      </c>
      <c r="AI113" s="21" t="n">
        <f aca="false">IF($J113=0,0,MAX(0,NETWORKDAYS(MAX($K113,AI$4),MIN($L113,EOMONTH(AI$4,0)),Assumptions!$F$4:$F$44))/NETWORKDAYS($K113,$L113,Assumptions!$F$4:$F$44))</f>
        <v>0.444444444444444</v>
      </c>
      <c r="AJ113" s="21" t="n">
        <f aca="false">IF($J113=0,0,MAX(0,NETWORKDAYS(MAX($K113,AJ$4),MIN($L113,EOMONTH(AJ$4,0)),Assumptions!$F$4:$F$44))/NETWORKDAYS($K113,$L113,Assumptions!$F$4:$F$44))</f>
        <v>0.177777777777778</v>
      </c>
      <c r="AK113" s="21" t="n">
        <f aca="false">IF($J113=0,0,MAX(0,NETWORKDAYS(MAX($K113,AK$4),MIN($L113,EOMONTH(AK$4,0)),Assumptions!$F$4:$F$44))/NETWORKDAYS($K113,$L113,Assumptions!$F$4:$F$44))</f>
        <v>0</v>
      </c>
      <c r="AL113" s="21" t="n">
        <f aca="false">IF($J113=0,0,MAX(0,NETWORKDAYS(MAX($K113,AL$4),MIN($L113,EOMONTH(AL$4,0)),Assumptions!$F$4:$F$44))/NETWORKDAYS($K113,$L113,Assumptions!$F$4:$F$44))</f>
        <v>0</v>
      </c>
      <c r="AM113" s="21" t="n">
        <f aca="false">IF($J113=0,0,MAX(0,NETWORKDAYS(MAX($K113,AM$4),MIN($L113,EOMONTH(AM$4,0)),Assumptions!$F$4:$F$44))/NETWORKDAYS($K113,$L113,Assumptions!$F$4:$F$44))</f>
        <v>0</v>
      </c>
      <c r="AN113" s="21" t="n">
        <f aca="false">IF($J113=0,0,MAX(0,NETWORKDAYS(MAX($K113,AN$4),MIN($L113,EOMONTH(AN$4,0)),Assumptions!$F$4:$F$44))/NETWORKDAYS($K113,$L113,Assumptions!$F$4:$F$44))</f>
        <v>0</v>
      </c>
      <c r="AO113" s="21" t="n">
        <f aca="false">IF($J113=0,0,MAX(0,NETWORKDAYS(MAX($K113,AO$4),MIN($L113,EOMONTH(AO$4,0)),Assumptions!$F$4:$F$44))/NETWORKDAYS($K113,$L113,Assumptions!$F$4:$F$44))</f>
        <v>0</v>
      </c>
      <c r="AP113" s="21" t="n">
        <f aca="false">IF($J113=0,0,MAX(0,NETWORKDAYS(MAX($K113,AP$4),MIN($L113,EOMONTH(AP$4,0)),Assumptions!$F$4:$F$44))/NETWORKDAYS($K113,$L113,Assumptions!$F$4:$F$44))</f>
        <v>0</v>
      </c>
      <c r="AQ113" s="21" t="n">
        <f aca="false">IF($J113=0,0,MAX(0,NETWORKDAYS(MAX($K113,AQ$4),MIN($L113,EOMONTH(AQ$4,0)),Assumptions!$F$4:$F$44))/NETWORKDAYS($K113,$L113,Assumptions!$F$4:$F$44))</f>
        <v>0</v>
      </c>
      <c r="AR113" s="21" t="n">
        <f aca="false">IF($J113=0,0,MAX(0,NETWORKDAYS(MAX($K113,AR$4),MIN($L113,EOMONTH(AR$4,0)),Assumptions!$F$4:$F$44))/NETWORKDAYS($K113,$L113,Assumptions!$F$4:$F$44))</f>
        <v>0</v>
      </c>
      <c r="AS113" s="21" t="n">
        <f aca="false">IF($J113=0,0,MAX(0,NETWORKDAYS(MAX($K113,AS$4),MIN($L113,EOMONTH(AS$4,0)),Assumptions!$F$4:$F$44))/NETWORKDAYS($K113,$L113,Assumptions!$F$4:$F$44))</f>
        <v>0</v>
      </c>
      <c r="AT113" s="21" t="n">
        <f aca="false">IF($J113=0,0,MAX(0,NETWORKDAYS(MAX($K113,AT$4),MIN($L113,EOMONTH(AT$4,0)),Assumptions!$F$4:$F$44))/NETWORKDAYS($K113,$L113,Assumptions!$F$4:$F$44))</f>
        <v>0</v>
      </c>
      <c r="AU113" s="21" t="n">
        <f aca="false">IF($J113=0,0,MAX(0,NETWORKDAYS(MAX($K113,AU$4),MIN($L113,EOMONTH(AU$4,0)),Assumptions!$F$4:$F$44))/NETWORKDAYS($K113,$L113,Assumptions!$F$4:$F$44))</f>
        <v>0</v>
      </c>
      <c r="AV113" s="21" t="n">
        <f aca="false">IF($J113=0,0,MAX(0,NETWORKDAYS(MAX($K113,AV$4),MIN($L113,EOMONTH(AV$4,0)),Assumptions!$F$4:$F$44))/NETWORKDAYS($K113,$L113,Assumptions!$F$4:$F$44))</f>
        <v>0</v>
      </c>
      <c r="AW113" s="21" t="n">
        <f aca="false">IF($J113=0,0,MAX(0,NETWORKDAYS(MAX($K113,AW$4),MIN($L113,EOMONTH(AW$4,0)),Assumptions!$F$4:$F$44))/NETWORKDAYS($K113,$L113,Assumptions!$F$4:$F$44))</f>
        <v>0</v>
      </c>
      <c r="AX113" s="21" t="n">
        <f aca="false">IF($J113=0,0,MAX(0,NETWORKDAYS(MAX($K113,AX$4),MIN($L113,EOMONTH(AX$4,0)),Assumptions!$F$4:$F$44))/NETWORKDAYS($K113,$L113,Assumptions!$F$4:$F$44))</f>
        <v>0</v>
      </c>
      <c r="AY113" s="21" t="n">
        <f aca="false">IF($J113=0,0,MAX(0,NETWORKDAYS(MAX($K113,AY$4),MIN($L113,EOMONTH(AY$4,0)),Assumptions!$F$4:$F$44))/NETWORKDAYS($K113,$L113,Assumptions!$F$4:$F$44))</f>
        <v>0</v>
      </c>
      <c r="AZ113" s="21" t="n">
        <f aca="false">IF($J113=0,0,MAX(0,NETWORKDAYS(MAX($K113,AZ$4),MIN($L113,EOMONTH(AZ$4,0)),Assumptions!$F$4:$F$44))/NETWORKDAYS($K113,$L113,Assumptions!$F$4:$F$44))</f>
        <v>0</v>
      </c>
      <c r="BA113" s="21" t="n">
        <f aca="false">IF($J113=0,0,MAX(0,NETWORKDAYS(MAX($K113,BA$4),MIN($L113,EOMONTH(BA$4,0)),Assumptions!$F$4:$F$44))/NETWORKDAYS($K113,$L113,Assumptions!$F$4:$F$44))</f>
        <v>0</v>
      </c>
      <c r="BB113" s="21" t="n">
        <f aca="false">IF($J113=0,0,MAX(0,NETWORKDAYS(MAX($K113,BB$4),MIN($L113,EOMONTH(BB$4,0)),Assumptions!$F$4:$F$44))/NETWORKDAYS($K113,$L113,Assumptions!$F$4:$F$44))</f>
        <v>0</v>
      </c>
      <c r="BC113" s="21" t="n">
        <f aca="false">IF($J113=0,0,MAX(0,NETWORKDAYS(MAX($K113,BC$4),MIN($L113,EOMONTH(BC$4,0)),Assumptions!$F$4:$F$44))/NETWORKDAYS($K113,$L113,Assumptions!$F$4:$F$44))</f>
        <v>0</v>
      </c>
    </row>
    <row r="114" customFormat="false" ht="15" hidden="false" customHeight="false" outlineLevel="2" collapsed="false">
      <c r="A114" s="27" t="n">
        <v>110</v>
      </c>
      <c r="B114" s="27" t="s">
        <v>313</v>
      </c>
      <c r="C114" s="27" t="n">
        <v>3</v>
      </c>
      <c r="D114" s="27" t="s">
        <v>92</v>
      </c>
      <c r="E114" s="28" t="s">
        <v>314</v>
      </c>
      <c r="F114" s="27" t="s">
        <v>154</v>
      </c>
      <c r="G114" s="27" t="s">
        <v>289</v>
      </c>
      <c r="H114" s="27" t="s">
        <v>49</v>
      </c>
      <c r="I114" s="29" t="n">
        <v>59</v>
      </c>
      <c r="J114" s="29" t="n">
        <v>34</v>
      </c>
      <c r="K114" s="30" t="n">
        <f aca="false">WORKDAY(Assumptions!$C$4,I114,Assumptions!$F$4:$F$44)</f>
        <v>46409</v>
      </c>
      <c r="L114" s="30" t="n">
        <f aca="false">IF(J114=0,K114,WORKDAY(K114,J114-1,Assumptions!$F$4:$F$44))</f>
        <v>46456</v>
      </c>
      <c r="M114" s="29" t="s">
        <v>311</v>
      </c>
      <c r="N114" s="31" t="n">
        <v>0</v>
      </c>
      <c r="O114" s="31" t="n">
        <v>0</v>
      </c>
      <c r="P114" s="31" t="n">
        <v>0</v>
      </c>
      <c r="Q114" s="31" t="n">
        <v>0</v>
      </c>
      <c r="R114" s="31" t="n">
        <v>21</v>
      </c>
      <c r="S114" s="31" t="n">
        <v>11</v>
      </c>
      <c r="T114" s="31" t="n">
        <v>0</v>
      </c>
      <c r="U114" s="31" t="n">
        <v>0</v>
      </c>
      <c r="V114" s="31" t="n">
        <v>0</v>
      </c>
      <c r="W114" s="31" t="n">
        <v>0</v>
      </c>
      <c r="X114" s="31" t="n">
        <v>0</v>
      </c>
      <c r="Y114" s="32" t="n">
        <f aca="false">SUM(N114:X114)</f>
        <v>32</v>
      </c>
      <c r="Z114" s="32" t="n">
        <f aca="false">Y114*(1+Assumptions!$C$5)</f>
        <v>36.8</v>
      </c>
      <c r="AA114" s="27" t="s">
        <v>315</v>
      </c>
      <c r="AB114" s="27" t="s">
        <v>95</v>
      </c>
      <c r="AC114" s="27"/>
      <c r="AD114" s="33" t="n">
        <v>0</v>
      </c>
      <c r="AF114" s="21" t="n">
        <f aca="false">IF($J114=0,0,MAX(0,NETWORKDAYS(MAX($K114,AF$4),MIN($L114,EOMONTH(AF$4,0)),Assumptions!$F$4:$F$44))/NETWORKDAYS($K114,$L114,Assumptions!$F$4:$F$44))</f>
        <v>0</v>
      </c>
      <c r="AG114" s="21" t="n">
        <f aca="false">IF($J114=0,0,MAX(0,NETWORKDAYS(MAX($K114,AG$4),MIN($L114,EOMONTH(AG$4,0)),Assumptions!$F$4:$F$44))/NETWORKDAYS($K114,$L114,Assumptions!$F$4:$F$44))</f>
        <v>0</v>
      </c>
      <c r="AH114" s="21" t="n">
        <f aca="false">IF($J114=0,0,MAX(0,NETWORKDAYS(MAX($K114,AH$4),MIN($L114,EOMONTH(AH$4,0)),Assumptions!$F$4:$F$44))/NETWORKDAYS($K114,$L114,Assumptions!$F$4:$F$44))</f>
        <v>0.176470588235294</v>
      </c>
      <c r="AI114" s="21" t="n">
        <f aca="false">IF($J114=0,0,MAX(0,NETWORKDAYS(MAX($K114,AI$4),MIN($L114,EOMONTH(AI$4,0)),Assumptions!$F$4:$F$44))/NETWORKDAYS($K114,$L114,Assumptions!$F$4:$F$44))</f>
        <v>0.588235294117647</v>
      </c>
      <c r="AJ114" s="21" t="n">
        <f aca="false">IF($J114=0,0,MAX(0,NETWORKDAYS(MAX($K114,AJ$4),MIN($L114,EOMONTH(AJ$4,0)),Assumptions!$F$4:$F$44))/NETWORKDAYS($K114,$L114,Assumptions!$F$4:$F$44))</f>
        <v>0.235294117647059</v>
      </c>
      <c r="AK114" s="21" t="n">
        <f aca="false">IF($J114=0,0,MAX(0,NETWORKDAYS(MAX($K114,AK$4),MIN($L114,EOMONTH(AK$4,0)),Assumptions!$F$4:$F$44))/NETWORKDAYS($K114,$L114,Assumptions!$F$4:$F$44))</f>
        <v>0</v>
      </c>
      <c r="AL114" s="21" t="n">
        <f aca="false">IF($J114=0,0,MAX(0,NETWORKDAYS(MAX($K114,AL$4),MIN($L114,EOMONTH(AL$4,0)),Assumptions!$F$4:$F$44))/NETWORKDAYS($K114,$L114,Assumptions!$F$4:$F$44))</f>
        <v>0</v>
      </c>
      <c r="AM114" s="21" t="n">
        <f aca="false">IF($J114=0,0,MAX(0,NETWORKDAYS(MAX($K114,AM$4),MIN($L114,EOMONTH(AM$4,0)),Assumptions!$F$4:$F$44))/NETWORKDAYS($K114,$L114,Assumptions!$F$4:$F$44))</f>
        <v>0</v>
      </c>
      <c r="AN114" s="21" t="n">
        <f aca="false">IF($J114=0,0,MAX(0,NETWORKDAYS(MAX($K114,AN$4),MIN($L114,EOMONTH(AN$4,0)),Assumptions!$F$4:$F$44))/NETWORKDAYS($K114,$L114,Assumptions!$F$4:$F$44))</f>
        <v>0</v>
      </c>
      <c r="AO114" s="21" t="n">
        <f aca="false">IF($J114=0,0,MAX(0,NETWORKDAYS(MAX($K114,AO$4),MIN($L114,EOMONTH(AO$4,0)),Assumptions!$F$4:$F$44))/NETWORKDAYS($K114,$L114,Assumptions!$F$4:$F$44))</f>
        <v>0</v>
      </c>
      <c r="AP114" s="21" t="n">
        <f aca="false">IF($J114=0,0,MAX(0,NETWORKDAYS(MAX($K114,AP$4),MIN($L114,EOMONTH(AP$4,0)),Assumptions!$F$4:$F$44))/NETWORKDAYS($K114,$L114,Assumptions!$F$4:$F$44))</f>
        <v>0</v>
      </c>
      <c r="AQ114" s="21" t="n">
        <f aca="false">IF($J114=0,0,MAX(0,NETWORKDAYS(MAX($K114,AQ$4),MIN($L114,EOMONTH(AQ$4,0)),Assumptions!$F$4:$F$44))/NETWORKDAYS($K114,$L114,Assumptions!$F$4:$F$44))</f>
        <v>0</v>
      </c>
      <c r="AR114" s="21" t="n">
        <f aca="false">IF($J114=0,0,MAX(0,NETWORKDAYS(MAX($K114,AR$4),MIN($L114,EOMONTH(AR$4,0)),Assumptions!$F$4:$F$44))/NETWORKDAYS($K114,$L114,Assumptions!$F$4:$F$44))</f>
        <v>0</v>
      </c>
      <c r="AS114" s="21" t="n">
        <f aca="false">IF($J114=0,0,MAX(0,NETWORKDAYS(MAX($K114,AS$4),MIN($L114,EOMONTH(AS$4,0)),Assumptions!$F$4:$F$44))/NETWORKDAYS($K114,$L114,Assumptions!$F$4:$F$44))</f>
        <v>0</v>
      </c>
      <c r="AT114" s="21" t="n">
        <f aca="false">IF($J114=0,0,MAX(0,NETWORKDAYS(MAX($K114,AT$4),MIN($L114,EOMONTH(AT$4,0)),Assumptions!$F$4:$F$44))/NETWORKDAYS($K114,$L114,Assumptions!$F$4:$F$44))</f>
        <v>0</v>
      </c>
      <c r="AU114" s="21" t="n">
        <f aca="false">IF($J114=0,0,MAX(0,NETWORKDAYS(MAX($K114,AU$4),MIN($L114,EOMONTH(AU$4,0)),Assumptions!$F$4:$F$44))/NETWORKDAYS($K114,$L114,Assumptions!$F$4:$F$44))</f>
        <v>0</v>
      </c>
      <c r="AV114" s="21" t="n">
        <f aca="false">IF($J114=0,0,MAX(0,NETWORKDAYS(MAX($K114,AV$4),MIN($L114,EOMONTH(AV$4,0)),Assumptions!$F$4:$F$44))/NETWORKDAYS($K114,$L114,Assumptions!$F$4:$F$44))</f>
        <v>0</v>
      </c>
      <c r="AW114" s="21" t="n">
        <f aca="false">IF($J114=0,0,MAX(0,NETWORKDAYS(MAX($K114,AW$4),MIN($L114,EOMONTH(AW$4,0)),Assumptions!$F$4:$F$44))/NETWORKDAYS($K114,$L114,Assumptions!$F$4:$F$44))</f>
        <v>0</v>
      </c>
      <c r="AX114" s="21" t="n">
        <f aca="false">IF($J114=0,0,MAX(0,NETWORKDAYS(MAX($K114,AX$4),MIN($L114,EOMONTH(AX$4,0)),Assumptions!$F$4:$F$44))/NETWORKDAYS($K114,$L114,Assumptions!$F$4:$F$44))</f>
        <v>0</v>
      </c>
      <c r="AY114" s="21" t="n">
        <f aca="false">IF($J114=0,0,MAX(0,NETWORKDAYS(MAX($K114,AY$4),MIN($L114,EOMONTH(AY$4,0)),Assumptions!$F$4:$F$44))/NETWORKDAYS($K114,$L114,Assumptions!$F$4:$F$44))</f>
        <v>0</v>
      </c>
      <c r="AZ114" s="21" t="n">
        <f aca="false">IF($J114=0,0,MAX(0,NETWORKDAYS(MAX($K114,AZ$4),MIN($L114,EOMONTH(AZ$4,0)),Assumptions!$F$4:$F$44))/NETWORKDAYS($K114,$L114,Assumptions!$F$4:$F$44))</f>
        <v>0</v>
      </c>
      <c r="BA114" s="21" t="n">
        <f aca="false">IF($J114=0,0,MAX(0,NETWORKDAYS(MAX($K114,BA$4),MIN($L114,EOMONTH(BA$4,0)),Assumptions!$F$4:$F$44))/NETWORKDAYS($K114,$L114,Assumptions!$F$4:$F$44))</f>
        <v>0</v>
      </c>
      <c r="BB114" s="21" t="n">
        <f aca="false">IF($J114=0,0,MAX(0,NETWORKDAYS(MAX($K114,BB$4),MIN($L114,EOMONTH(BB$4,0)),Assumptions!$F$4:$F$44))/NETWORKDAYS($K114,$L114,Assumptions!$F$4:$F$44))</f>
        <v>0</v>
      </c>
      <c r="BC114" s="21" t="n">
        <f aca="false">IF($J114=0,0,MAX(0,NETWORKDAYS(MAX($K114,BC$4),MIN($L114,EOMONTH(BC$4,0)),Assumptions!$F$4:$F$44))/NETWORKDAYS($K114,$L114,Assumptions!$F$4:$F$44))</f>
        <v>0</v>
      </c>
    </row>
    <row r="115" customFormat="false" ht="15" hidden="false" customHeight="false" outlineLevel="2" collapsed="false">
      <c r="A115" s="27" t="n">
        <v>111</v>
      </c>
      <c r="B115" s="27" t="s">
        <v>316</v>
      </c>
      <c r="C115" s="27" t="n">
        <v>3</v>
      </c>
      <c r="D115" s="27" t="s">
        <v>92</v>
      </c>
      <c r="E115" s="28" t="s">
        <v>317</v>
      </c>
      <c r="F115" s="27" t="s">
        <v>154</v>
      </c>
      <c r="G115" s="27" t="s">
        <v>289</v>
      </c>
      <c r="H115" s="27" t="s">
        <v>51</v>
      </c>
      <c r="I115" s="29" t="n">
        <v>59</v>
      </c>
      <c r="J115" s="29" t="n">
        <v>34</v>
      </c>
      <c r="K115" s="30" t="n">
        <f aca="false">WORKDAY(Assumptions!$C$4,I115,Assumptions!$F$4:$F$44)</f>
        <v>46409</v>
      </c>
      <c r="L115" s="30" t="n">
        <f aca="false">IF(J115=0,K115,WORKDAY(K115,J115-1,Assumptions!$F$4:$F$44))</f>
        <v>46456</v>
      </c>
      <c r="M115" s="29" t="s">
        <v>311</v>
      </c>
      <c r="N115" s="31" t="n">
        <v>0</v>
      </c>
      <c r="O115" s="31" t="n">
        <v>0</v>
      </c>
      <c r="P115" s="31" t="n">
        <v>0</v>
      </c>
      <c r="Q115" s="31" t="n">
        <v>0</v>
      </c>
      <c r="R115" s="31" t="n">
        <v>0</v>
      </c>
      <c r="S115" s="31" t="n">
        <v>21</v>
      </c>
      <c r="T115" s="31" t="n">
        <v>0</v>
      </c>
      <c r="U115" s="31" t="n">
        <v>0</v>
      </c>
      <c r="V115" s="31" t="n">
        <v>0</v>
      </c>
      <c r="W115" s="31" t="n">
        <v>0</v>
      </c>
      <c r="X115" s="31" t="n">
        <v>0</v>
      </c>
      <c r="Y115" s="32" t="n">
        <f aca="false">SUM(N115:X115)</f>
        <v>21</v>
      </c>
      <c r="Z115" s="32" t="n">
        <f aca="false">Y115*(1+Assumptions!$C$5)</f>
        <v>24.15</v>
      </c>
      <c r="AA115" s="27" t="s">
        <v>318</v>
      </c>
      <c r="AB115" s="27" t="s">
        <v>95</v>
      </c>
      <c r="AC115" s="27"/>
      <c r="AD115" s="33" t="n">
        <v>0</v>
      </c>
      <c r="AF115" s="21" t="n">
        <f aca="false">IF($J115=0,0,MAX(0,NETWORKDAYS(MAX($K115,AF$4),MIN($L115,EOMONTH(AF$4,0)),Assumptions!$F$4:$F$44))/NETWORKDAYS($K115,$L115,Assumptions!$F$4:$F$44))</f>
        <v>0</v>
      </c>
      <c r="AG115" s="21" t="n">
        <f aca="false">IF($J115=0,0,MAX(0,NETWORKDAYS(MAX($K115,AG$4),MIN($L115,EOMONTH(AG$4,0)),Assumptions!$F$4:$F$44))/NETWORKDAYS($K115,$L115,Assumptions!$F$4:$F$44))</f>
        <v>0</v>
      </c>
      <c r="AH115" s="21" t="n">
        <f aca="false">IF($J115=0,0,MAX(0,NETWORKDAYS(MAX($K115,AH$4),MIN($L115,EOMONTH(AH$4,0)),Assumptions!$F$4:$F$44))/NETWORKDAYS($K115,$L115,Assumptions!$F$4:$F$44))</f>
        <v>0.176470588235294</v>
      </c>
      <c r="AI115" s="21" t="n">
        <f aca="false">IF($J115=0,0,MAX(0,NETWORKDAYS(MAX($K115,AI$4),MIN($L115,EOMONTH(AI$4,0)),Assumptions!$F$4:$F$44))/NETWORKDAYS($K115,$L115,Assumptions!$F$4:$F$44))</f>
        <v>0.588235294117647</v>
      </c>
      <c r="AJ115" s="21" t="n">
        <f aca="false">IF($J115=0,0,MAX(0,NETWORKDAYS(MAX($K115,AJ$4),MIN($L115,EOMONTH(AJ$4,0)),Assumptions!$F$4:$F$44))/NETWORKDAYS($K115,$L115,Assumptions!$F$4:$F$44))</f>
        <v>0.235294117647059</v>
      </c>
      <c r="AK115" s="21" t="n">
        <f aca="false">IF($J115=0,0,MAX(0,NETWORKDAYS(MAX($K115,AK$4),MIN($L115,EOMONTH(AK$4,0)),Assumptions!$F$4:$F$44))/NETWORKDAYS($K115,$L115,Assumptions!$F$4:$F$44))</f>
        <v>0</v>
      </c>
      <c r="AL115" s="21" t="n">
        <f aca="false">IF($J115=0,0,MAX(0,NETWORKDAYS(MAX($K115,AL$4),MIN($L115,EOMONTH(AL$4,0)),Assumptions!$F$4:$F$44))/NETWORKDAYS($K115,$L115,Assumptions!$F$4:$F$44))</f>
        <v>0</v>
      </c>
      <c r="AM115" s="21" t="n">
        <f aca="false">IF($J115=0,0,MAX(0,NETWORKDAYS(MAX($K115,AM$4),MIN($L115,EOMONTH(AM$4,0)),Assumptions!$F$4:$F$44))/NETWORKDAYS($K115,$L115,Assumptions!$F$4:$F$44))</f>
        <v>0</v>
      </c>
      <c r="AN115" s="21" t="n">
        <f aca="false">IF($J115=0,0,MAX(0,NETWORKDAYS(MAX($K115,AN$4),MIN($L115,EOMONTH(AN$4,0)),Assumptions!$F$4:$F$44))/NETWORKDAYS($K115,$L115,Assumptions!$F$4:$F$44))</f>
        <v>0</v>
      </c>
      <c r="AO115" s="21" t="n">
        <f aca="false">IF($J115=0,0,MAX(0,NETWORKDAYS(MAX($K115,AO$4),MIN($L115,EOMONTH(AO$4,0)),Assumptions!$F$4:$F$44))/NETWORKDAYS($K115,$L115,Assumptions!$F$4:$F$44))</f>
        <v>0</v>
      </c>
      <c r="AP115" s="21" t="n">
        <f aca="false">IF($J115=0,0,MAX(0,NETWORKDAYS(MAX($K115,AP$4),MIN($L115,EOMONTH(AP$4,0)),Assumptions!$F$4:$F$44))/NETWORKDAYS($K115,$L115,Assumptions!$F$4:$F$44))</f>
        <v>0</v>
      </c>
      <c r="AQ115" s="21" t="n">
        <f aca="false">IF($J115=0,0,MAX(0,NETWORKDAYS(MAX($K115,AQ$4),MIN($L115,EOMONTH(AQ$4,0)),Assumptions!$F$4:$F$44))/NETWORKDAYS($K115,$L115,Assumptions!$F$4:$F$44))</f>
        <v>0</v>
      </c>
      <c r="AR115" s="21" t="n">
        <f aca="false">IF($J115=0,0,MAX(0,NETWORKDAYS(MAX($K115,AR$4),MIN($L115,EOMONTH(AR$4,0)),Assumptions!$F$4:$F$44))/NETWORKDAYS($K115,$L115,Assumptions!$F$4:$F$44))</f>
        <v>0</v>
      </c>
      <c r="AS115" s="21" t="n">
        <f aca="false">IF($J115=0,0,MAX(0,NETWORKDAYS(MAX($K115,AS$4),MIN($L115,EOMONTH(AS$4,0)),Assumptions!$F$4:$F$44))/NETWORKDAYS($K115,$L115,Assumptions!$F$4:$F$44))</f>
        <v>0</v>
      </c>
      <c r="AT115" s="21" t="n">
        <f aca="false">IF($J115=0,0,MAX(0,NETWORKDAYS(MAX($K115,AT$4),MIN($L115,EOMONTH(AT$4,0)),Assumptions!$F$4:$F$44))/NETWORKDAYS($K115,$L115,Assumptions!$F$4:$F$44))</f>
        <v>0</v>
      </c>
      <c r="AU115" s="21" t="n">
        <f aca="false">IF($J115=0,0,MAX(0,NETWORKDAYS(MAX($K115,AU$4),MIN($L115,EOMONTH(AU$4,0)),Assumptions!$F$4:$F$44))/NETWORKDAYS($K115,$L115,Assumptions!$F$4:$F$44))</f>
        <v>0</v>
      </c>
      <c r="AV115" s="21" t="n">
        <f aca="false">IF($J115=0,0,MAX(0,NETWORKDAYS(MAX($K115,AV$4),MIN($L115,EOMONTH(AV$4,0)),Assumptions!$F$4:$F$44))/NETWORKDAYS($K115,$L115,Assumptions!$F$4:$F$44))</f>
        <v>0</v>
      </c>
      <c r="AW115" s="21" t="n">
        <f aca="false">IF($J115=0,0,MAX(0,NETWORKDAYS(MAX($K115,AW$4),MIN($L115,EOMONTH(AW$4,0)),Assumptions!$F$4:$F$44))/NETWORKDAYS($K115,$L115,Assumptions!$F$4:$F$44))</f>
        <v>0</v>
      </c>
      <c r="AX115" s="21" t="n">
        <f aca="false">IF($J115=0,0,MAX(0,NETWORKDAYS(MAX($K115,AX$4),MIN($L115,EOMONTH(AX$4,0)),Assumptions!$F$4:$F$44))/NETWORKDAYS($K115,$L115,Assumptions!$F$4:$F$44))</f>
        <v>0</v>
      </c>
      <c r="AY115" s="21" t="n">
        <f aca="false">IF($J115=0,0,MAX(0,NETWORKDAYS(MAX($K115,AY$4),MIN($L115,EOMONTH(AY$4,0)),Assumptions!$F$4:$F$44))/NETWORKDAYS($K115,$L115,Assumptions!$F$4:$F$44))</f>
        <v>0</v>
      </c>
      <c r="AZ115" s="21" t="n">
        <f aca="false">IF($J115=0,0,MAX(0,NETWORKDAYS(MAX($K115,AZ$4),MIN($L115,EOMONTH(AZ$4,0)),Assumptions!$F$4:$F$44))/NETWORKDAYS($K115,$L115,Assumptions!$F$4:$F$44))</f>
        <v>0</v>
      </c>
      <c r="BA115" s="21" t="n">
        <f aca="false">IF($J115=0,0,MAX(0,NETWORKDAYS(MAX($K115,BA$4),MIN($L115,EOMONTH(BA$4,0)),Assumptions!$F$4:$F$44))/NETWORKDAYS($K115,$L115,Assumptions!$F$4:$F$44))</f>
        <v>0</v>
      </c>
      <c r="BB115" s="21" t="n">
        <f aca="false">IF($J115=0,0,MAX(0,NETWORKDAYS(MAX($K115,BB$4),MIN($L115,EOMONTH(BB$4,0)),Assumptions!$F$4:$F$44))/NETWORKDAYS($K115,$L115,Assumptions!$F$4:$F$44))</f>
        <v>0</v>
      </c>
      <c r="BC115" s="21" t="n">
        <f aca="false">IF($J115=0,0,MAX(0,NETWORKDAYS(MAX($K115,BC$4),MIN($L115,EOMONTH(BC$4,0)),Assumptions!$F$4:$F$44))/NETWORKDAYS($K115,$L115,Assumptions!$F$4:$F$44))</f>
        <v>0</v>
      </c>
    </row>
    <row r="116" customFormat="false" ht="15" hidden="false" customHeight="false" outlineLevel="2" collapsed="false">
      <c r="A116" s="27" t="n">
        <v>112</v>
      </c>
      <c r="B116" s="27" t="s">
        <v>319</v>
      </c>
      <c r="C116" s="27" t="n">
        <v>3</v>
      </c>
      <c r="D116" s="27" t="s">
        <v>92</v>
      </c>
      <c r="E116" s="28" t="s">
        <v>320</v>
      </c>
      <c r="F116" s="27" t="s">
        <v>154</v>
      </c>
      <c r="G116" s="27" t="s">
        <v>289</v>
      </c>
      <c r="H116" s="27" t="s">
        <v>53</v>
      </c>
      <c r="I116" s="29" t="n">
        <v>48</v>
      </c>
      <c r="J116" s="29" t="n">
        <v>39</v>
      </c>
      <c r="K116" s="30" t="n">
        <f aca="false">WORKDAY(Assumptions!$C$4,I116,Assumptions!$F$4:$F$44)</f>
        <v>46394</v>
      </c>
      <c r="L116" s="30" t="n">
        <f aca="false">IF(J116=0,K116,WORKDAY(K116,J116-1,Assumptions!$F$4:$F$44))</f>
        <v>46448</v>
      </c>
      <c r="M116" s="29" t="s">
        <v>304</v>
      </c>
      <c r="N116" s="31" t="n">
        <v>0</v>
      </c>
      <c r="O116" s="31" t="n">
        <v>0</v>
      </c>
      <c r="P116" s="31" t="n">
        <v>0</v>
      </c>
      <c r="Q116" s="31" t="n">
        <v>0</v>
      </c>
      <c r="R116" s="31" t="n">
        <v>0</v>
      </c>
      <c r="S116" s="31" t="n">
        <v>0</v>
      </c>
      <c r="T116" s="31" t="n">
        <v>18</v>
      </c>
      <c r="U116" s="31" t="n">
        <v>0</v>
      </c>
      <c r="V116" s="31" t="n">
        <v>0</v>
      </c>
      <c r="W116" s="31" t="n">
        <v>0</v>
      </c>
      <c r="X116" s="31" t="n">
        <v>0</v>
      </c>
      <c r="Y116" s="32" t="n">
        <f aca="false">SUM(N116:X116)</f>
        <v>18</v>
      </c>
      <c r="Z116" s="32" t="n">
        <f aca="false">Y116*(1+Assumptions!$C$5)</f>
        <v>20.7</v>
      </c>
      <c r="AA116" s="27" t="s">
        <v>321</v>
      </c>
      <c r="AB116" s="27" t="s">
        <v>95</v>
      </c>
      <c r="AC116" s="27"/>
      <c r="AD116" s="33" t="n">
        <v>0</v>
      </c>
      <c r="AF116" s="21" t="n">
        <f aca="false">IF($J116=0,0,MAX(0,NETWORKDAYS(MAX($K116,AF$4),MIN($L116,EOMONTH(AF$4,0)),Assumptions!$F$4:$F$44))/NETWORKDAYS($K116,$L116,Assumptions!$F$4:$F$44))</f>
        <v>0</v>
      </c>
      <c r="AG116" s="21" t="n">
        <f aca="false">IF($J116=0,0,MAX(0,NETWORKDAYS(MAX($K116,AG$4),MIN($L116,EOMONTH(AG$4,0)),Assumptions!$F$4:$F$44))/NETWORKDAYS($K116,$L116,Assumptions!$F$4:$F$44))</f>
        <v>0</v>
      </c>
      <c r="AH116" s="21" t="n">
        <f aca="false">IF($J116=0,0,MAX(0,NETWORKDAYS(MAX($K116,AH$4),MIN($L116,EOMONTH(AH$4,0)),Assumptions!$F$4:$F$44))/NETWORKDAYS($K116,$L116,Assumptions!$F$4:$F$44))</f>
        <v>0.435897435897436</v>
      </c>
      <c r="AI116" s="21" t="n">
        <f aca="false">IF($J116=0,0,MAX(0,NETWORKDAYS(MAX($K116,AI$4),MIN($L116,EOMONTH(AI$4,0)),Assumptions!$F$4:$F$44))/NETWORKDAYS($K116,$L116,Assumptions!$F$4:$F$44))</f>
        <v>0.512820512820513</v>
      </c>
      <c r="AJ116" s="21" t="n">
        <f aca="false">IF($J116=0,0,MAX(0,NETWORKDAYS(MAX($K116,AJ$4),MIN($L116,EOMONTH(AJ$4,0)),Assumptions!$F$4:$F$44))/NETWORKDAYS($K116,$L116,Assumptions!$F$4:$F$44))</f>
        <v>0.0512820512820513</v>
      </c>
      <c r="AK116" s="21" t="n">
        <f aca="false">IF($J116=0,0,MAX(0,NETWORKDAYS(MAX($K116,AK$4),MIN($L116,EOMONTH(AK$4,0)),Assumptions!$F$4:$F$44))/NETWORKDAYS($K116,$L116,Assumptions!$F$4:$F$44))</f>
        <v>0</v>
      </c>
      <c r="AL116" s="21" t="n">
        <f aca="false">IF($J116=0,0,MAX(0,NETWORKDAYS(MAX($K116,AL$4),MIN($L116,EOMONTH(AL$4,0)),Assumptions!$F$4:$F$44))/NETWORKDAYS($K116,$L116,Assumptions!$F$4:$F$44))</f>
        <v>0</v>
      </c>
      <c r="AM116" s="21" t="n">
        <f aca="false">IF($J116=0,0,MAX(0,NETWORKDAYS(MAX($K116,AM$4),MIN($L116,EOMONTH(AM$4,0)),Assumptions!$F$4:$F$44))/NETWORKDAYS($K116,$L116,Assumptions!$F$4:$F$44))</f>
        <v>0</v>
      </c>
      <c r="AN116" s="21" t="n">
        <f aca="false">IF($J116=0,0,MAX(0,NETWORKDAYS(MAX($K116,AN$4),MIN($L116,EOMONTH(AN$4,0)),Assumptions!$F$4:$F$44))/NETWORKDAYS($K116,$L116,Assumptions!$F$4:$F$44))</f>
        <v>0</v>
      </c>
      <c r="AO116" s="21" t="n">
        <f aca="false">IF($J116=0,0,MAX(0,NETWORKDAYS(MAX($K116,AO$4),MIN($L116,EOMONTH(AO$4,0)),Assumptions!$F$4:$F$44))/NETWORKDAYS($K116,$L116,Assumptions!$F$4:$F$44))</f>
        <v>0</v>
      </c>
      <c r="AP116" s="21" t="n">
        <f aca="false">IF($J116=0,0,MAX(0,NETWORKDAYS(MAX($K116,AP$4),MIN($L116,EOMONTH(AP$4,0)),Assumptions!$F$4:$F$44))/NETWORKDAYS($K116,$L116,Assumptions!$F$4:$F$44))</f>
        <v>0</v>
      </c>
      <c r="AQ116" s="21" t="n">
        <f aca="false">IF($J116=0,0,MAX(0,NETWORKDAYS(MAX($K116,AQ$4),MIN($L116,EOMONTH(AQ$4,0)),Assumptions!$F$4:$F$44))/NETWORKDAYS($K116,$L116,Assumptions!$F$4:$F$44))</f>
        <v>0</v>
      </c>
      <c r="AR116" s="21" t="n">
        <f aca="false">IF($J116=0,0,MAX(0,NETWORKDAYS(MAX($K116,AR$4),MIN($L116,EOMONTH(AR$4,0)),Assumptions!$F$4:$F$44))/NETWORKDAYS($K116,$L116,Assumptions!$F$4:$F$44))</f>
        <v>0</v>
      </c>
      <c r="AS116" s="21" t="n">
        <f aca="false">IF($J116=0,0,MAX(0,NETWORKDAYS(MAX($K116,AS$4),MIN($L116,EOMONTH(AS$4,0)),Assumptions!$F$4:$F$44))/NETWORKDAYS($K116,$L116,Assumptions!$F$4:$F$44))</f>
        <v>0</v>
      </c>
      <c r="AT116" s="21" t="n">
        <f aca="false">IF($J116=0,0,MAX(0,NETWORKDAYS(MAX($K116,AT$4),MIN($L116,EOMONTH(AT$4,0)),Assumptions!$F$4:$F$44))/NETWORKDAYS($K116,$L116,Assumptions!$F$4:$F$44))</f>
        <v>0</v>
      </c>
      <c r="AU116" s="21" t="n">
        <f aca="false">IF($J116=0,0,MAX(0,NETWORKDAYS(MAX($K116,AU$4),MIN($L116,EOMONTH(AU$4,0)),Assumptions!$F$4:$F$44))/NETWORKDAYS($K116,$L116,Assumptions!$F$4:$F$44))</f>
        <v>0</v>
      </c>
      <c r="AV116" s="21" t="n">
        <f aca="false">IF($J116=0,0,MAX(0,NETWORKDAYS(MAX($K116,AV$4),MIN($L116,EOMONTH(AV$4,0)),Assumptions!$F$4:$F$44))/NETWORKDAYS($K116,$L116,Assumptions!$F$4:$F$44))</f>
        <v>0</v>
      </c>
      <c r="AW116" s="21" t="n">
        <f aca="false">IF($J116=0,0,MAX(0,NETWORKDAYS(MAX($K116,AW$4),MIN($L116,EOMONTH(AW$4,0)),Assumptions!$F$4:$F$44))/NETWORKDAYS($K116,$L116,Assumptions!$F$4:$F$44))</f>
        <v>0</v>
      </c>
      <c r="AX116" s="21" t="n">
        <f aca="false">IF($J116=0,0,MAX(0,NETWORKDAYS(MAX($K116,AX$4),MIN($L116,EOMONTH(AX$4,0)),Assumptions!$F$4:$F$44))/NETWORKDAYS($K116,$L116,Assumptions!$F$4:$F$44))</f>
        <v>0</v>
      </c>
      <c r="AY116" s="21" t="n">
        <f aca="false">IF($J116=0,0,MAX(0,NETWORKDAYS(MAX($K116,AY$4),MIN($L116,EOMONTH(AY$4,0)),Assumptions!$F$4:$F$44))/NETWORKDAYS($K116,$L116,Assumptions!$F$4:$F$44))</f>
        <v>0</v>
      </c>
      <c r="AZ116" s="21" t="n">
        <f aca="false">IF($J116=0,0,MAX(0,NETWORKDAYS(MAX($K116,AZ$4),MIN($L116,EOMONTH(AZ$4,0)),Assumptions!$F$4:$F$44))/NETWORKDAYS($K116,$L116,Assumptions!$F$4:$F$44))</f>
        <v>0</v>
      </c>
      <c r="BA116" s="21" t="n">
        <f aca="false">IF($J116=0,0,MAX(0,NETWORKDAYS(MAX($K116,BA$4),MIN($L116,EOMONTH(BA$4,0)),Assumptions!$F$4:$F$44))/NETWORKDAYS($K116,$L116,Assumptions!$F$4:$F$44))</f>
        <v>0</v>
      </c>
      <c r="BB116" s="21" t="n">
        <f aca="false">IF($J116=0,0,MAX(0,NETWORKDAYS(MAX($K116,BB$4),MIN($L116,EOMONTH(BB$4,0)),Assumptions!$F$4:$F$44))/NETWORKDAYS($K116,$L116,Assumptions!$F$4:$F$44))</f>
        <v>0</v>
      </c>
      <c r="BC116" s="21" t="n">
        <f aca="false">IF($J116=0,0,MAX(0,NETWORKDAYS(MAX($K116,BC$4),MIN($L116,EOMONTH(BC$4,0)),Assumptions!$F$4:$F$44))/NETWORKDAYS($K116,$L116,Assumptions!$F$4:$F$44))</f>
        <v>0</v>
      </c>
    </row>
    <row r="117" customFormat="false" ht="15" hidden="false" customHeight="false" outlineLevel="2" collapsed="false">
      <c r="A117" s="27" t="n">
        <v>113</v>
      </c>
      <c r="B117" s="27" t="s">
        <v>322</v>
      </c>
      <c r="C117" s="27" t="n">
        <v>3</v>
      </c>
      <c r="D117" s="27" t="s">
        <v>92</v>
      </c>
      <c r="E117" s="28" t="s">
        <v>323</v>
      </c>
      <c r="F117" s="27" t="s">
        <v>154</v>
      </c>
      <c r="G117" s="27" t="s">
        <v>289</v>
      </c>
      <c r="H117" s="27" t="s">
        <v>47</v>
      </c>
      <c r="I117" s="29" t="n">
        <v>65</v>
      </c>
      <c r="J117" s="29" t="n">
        <v>31</v>
      </c>
      <c r="K117" s="30" t="n">
        <f aca="false">WORKDAY(Assumptions!$C$4,I117,Assumptions!$F$4:$F$44)</f>
        <v>46419</v>
      </c>
      <c r="L117" s="30" t="n">
        <f aca="false">IF(J117=0,K117,WORKDAY(K117,J117-1,Assumptions!$F$4:$F$44))</f>
        <v>46461</v>
      </c>
      <c r="M117" s="29" t="s">
        <v>324</v>
      </c>
      <c r="N117" s="31" t="n">
        <v>0</v>
      </c>
      <c r="O117" s="31" t="n">
        <v>0</v>
      </c>
      <c r="P117" s="31" t="n">
        <v>0</v>
      </c>
      <c r="Q117" s="31" t="n">
        <v>24</v>
      </c>
      <c r="R117" s="31" t="n">
        <v>0</v>
      </c>
      <c r="S117" s="31" t="n">
        <v>0</v>
      </c>
      <c r="T117" s="31" t="n">
        <v>0</v>
      </c>
      <c r="U117" s="31" t="n">
        <v>0</v>
      </c>
      <c r="V117" s="31" t="n">
        <v>0</v>
      </c>
      <c r="W117" s="31" t="n">
        <v>0</v>
      </c>
      <c r="X117" s="31" t="n">
        <v>0</v>
      </c>
      <c r="Y117" s="32" t="n">
        <f aca="false">SUM(N117:X117)</f>
        <v>24</v>
      </c>
      <c r="Z117" s="32" t="n">
        <f aca="false">Y117*(1+Assumptions!$C$5)</f>
        <v>27.6</v>
      </c>
      <c r="AA117" s="27" t="s">
        <v>325</v>
      </c>
      <c r="AB117" s="27" t="s">
        <v>95</v>
      </c>
      <c r="AC117" s="27"/>
      <c r="AD117" s="33" t="n">
        <v>0</v>
      </c>
      <c r="AF117" s="21" t="n">
        <f aca="false">IF($J117=0,0,MAX(0,NETWORKDAYS(MAX($K117,AF$4),MIN($L117,EOMONTH(AF$4,0)),Assumptions!$F$4:$F$44))/NETWORKDAYS($K117,$L117,Assumptions!$F$4:$F$44))</f>
        <v>0</v>
      </c>
      <c r="AG117" s="21" t="n">
        <f aca="false">IF($J117=0,0,MAX(0,NETWORKDAYS(MAX($K117,AG$4),MIN($L117,EOMONTH(AG$4,0)),Assumptions!$F$4:$F$44))/NETWORKDAYS($K117,$L117,Assumptions!$F$4:$F$44))</f>
        <v>0</v>
      </c>
      <c r="AH117" s="21" t="n">
        <f aca="false">IF($J117=0,0,MAX(0,NETWORKDAYS(MAX($K117,AH$4),MIN($L117,EOMONTH(AH$4,0)),Assumptions!$F$4:$F$44))/NETWORKDAYS($K117,$L117,Assumptions!$F$4:$F$44))</f>
        <v>0</v>
      </c>
      <c r="AI117" s="21" t="n">
        <f aca="false">IF($J117=0,0,MAX(0,NETWORKDAYS(MAX($K117,AI$4),MIN($L117,EOMONTH(AI$4,0)),Assumptions!$F$4:$F$44))/NETWORKDAYS($K117,$L117,Assumptions!$F$4:$F$44))</f>
        <v>0.645161290322581</v>
      </c>
      <c r="AJ117" s="21" t="n">
        <f aca="false">IF($J117=0,0,MAX(0,NETWORKDAYS(MAX($K117,AJ$4),MIN($L117,EOMONTH(AJ$4,0)),Assumptions!$F$4:$F$44))/NETWORKDAYS($K117,$L117,Assumptions!$F$4:$F$44))</f>
        <v>0.354838709677419</v>
      </c>
      <c r="AK117" s="21" t="n">
        <f aca="false">IF($J117=0,0,MAX(0,NETWORKDAYS(MAX($K117,AK$4),MIN($L117,EOMONTH(AK$4,0)),Assumptions!$F$4:$F$44))/NETWORKDAYS($K117,$L117,Assumptions!$F$4:$F$44))</f>
        <v>0</v>
      </c>
      <c r="AL117" s="21" t="n">
        <f aca="false">IF($J117=0,0,MAX(0,NETWORKDAYS(MAX($K117,AL$4),MIN($L117,EOMONTH(AL$4,0)),Assumptions!$F$4:$F$44))/NETWORKDAYS($K117,$L117,Assumptions!$F$4:$F$44))</f>
        <v>0</v>
      </c>
      <c r="AM117" s="21" t="n">
        <f aca="false">IF($J117=0,0,MAX(0,NETWORKDAYS(MAX($K117,AM$4),MIN($L117,EOMONTH(AM$4,0)),Assumptions!$F$4:$F$44))/NETWORKDAYS($K117,$L117,Assumptions!$F$4:$F$44))</f>
        <v>0</v>
      </c>
      <c r="AN117" s="21" t="n">
        <f aca="false">IF($J117=0,0,MAX(0,NETWORKDAYS(MAX($K117,AN$4),MIN($L117,EOMONTH(AN$4,0)),Assumptions!$F$4:$F$44))/NETWORKDAYS($K117,$L117,Assumptions!$F$4:$F$44))</f>
        <v>0</v>
      </c>
      <c r="AO117" s="21" t="n">
        <f aca="false">IF($J117=0,0,MAX(0,NETWORKDAYS(MAX($K117,AO$4),MIN($L117,EOMONTH(AO$4,0)),Assumptions!$F$4:$F$44))/NETWORKDAYS($K117,$L117,Assumptions!$F$4:$F$44))</f>
        <v>0</v>
      </c>
      <c r="AP117" s="21" t="n">
        <f aca="false">IF($J117=0,0,MAX(0,NETWORKDAYS(MAX($K117,AP$4),MIN($L117,EOMONTH(AP$4,0)),Assumptions!$F$4:$F$44))/NETWORKDAYS($K117,$L117,Assumptions!$F$4:$F$44))</f>
        <v>0</v>
      </c>
      <c r="AQ117" s="21" t="n">
        <f aca="false">IF($J117=0,0,MAX(0,NETWORKDAYS(MAX($K117,AQ$4),MIN($L117,EOMONTH(AQ$4,0)),Assumptions!$F$4:$F$44))/NETWORKDAYS($K117,$L117,Assumptions!$F$4:$F$44))</f>
        <v>0</v>
      </c>
      <c r="AR117" s="21" t="n">
        <f aca="false">IF($J117=0,0,MAX(0,NETWORKDAYS(MAX($K117,AR$4),MIN($L117,EOMONTH(AR$4,0)),Assumptions!$F$4:$F$44))/NETWORKDAYS($K117,$L117,Assumptions!$F$4:$F$44))</f>
        <v>0</v>
      </c>
      <c r="AS117" s="21" t="n">
        <f aca="false">IF($J117=0,0,MAX(0,NETWORKDAYS(MAX($K117,AS$4),MIN($L117,EOMONTH(AS$4,0)),Assumptions!$F$4:$F$44))/NETWORKDAYS($K117,$L117,Assumptions!$F$4:$F$44))</f>
        <v>0</v>
      </c>
      <c r="AT117" s="21" t="n">
        <f aca="false">IF($J117=0,0,MAX(0,NETWORKDAYS(MAX($K117,AT$4),MIN($L117,EOMONTH(AT$4,0)),Assumptions!$F$4:$F$44))/NETWORKDAYS($K117,$L117,Assumptions!$F$4:$F$44))</f>
        <v>0</v>
      </c>
      <c r="AU117" s="21" t="n">
        <f aca="false">IF($J117=0,0,MAX(0,NETWORKDAYS(MAX($K117,AU$4),MIN($L117,EOMONTH(AU$4,0)),Assumptions!$F$4:$F$44))/NETWORKDAYS($K117,$L117,Assumptions!$F$4:$F$44))</f>
        <v>0</v>
      </c>
      <c r="AV117" s="21" t="n">
        <f aca="false">IF($J117=0,0,MAX(0,NETWORKDAYS(MAX($K117,AV$4),MIN($L117,EOMONTH(AV$4,0)),Assumptions!$F$4:$F$44))/NETWORKDAYS($K117,$L117,Assumptions!$F$4:$F$44))</f>
        <v>0</v>
      </c>
      <c r="AW117" s="21" t="n">
        <f aca="false">IF($J117=0,0,MAX(0,NETWORKDAYS(MAX($K117,AW$4),MIN($L117,EOMONTH(AW$4,0)),Assumptions!$F$4:$F$44))/NETWORKDAYS($K117,$L117,Assumptions!$F$4:$F$44))</f>
        <v>0</v>
      </c>
      <c r="AX117" s="21" t="n">
        <f aca="false">IF($J117=0,0,MAX(0,NETWORKDAYS(MAX($K117,AX$4),MIN($L117,EOMONTH(AX$4,0)),Assumptions!$F$4:$F$44))/NETWORKDAYS($K117,$L117,Assumptions!$F$4:$F$44))</f>
        <v>0</v>
      </c>
      <c r="AY117" s="21" t="n">
        <f aca="false">IF($J117=0,0,MAX(0,NETWORKDAYS(MAX($K117,AY$4),MIN($L117,EOMONTH(AY$4,0)),Assumptions!$F$4:$F$44))/NETWORKDAYS($K117,$L117,Assumptions!$F$4:$F$44))</f>
        <v>0</v>
      </c>
      <c r="AZ117" s="21" t="n">
        <f aca="false">IF($J117=0,0,MAX(0,NETWORKDAYS(MAX($K117,AZ$4),MIN($L117,EOMONTH(AZ$4,0)),Assumptions!$F$4:$F$44))/NETWORKDAYS($K117,$L117,Assumptions!$F$4:$F$44))</f>
        <v>0</v>
      </c>
      <c r="BA117" s="21" t="n">
        <f aca="false">IF($J117=0,0,MAX(0,NETWORKDAYS(MAX($K117,BA$4),MIN($L117,EOMONTH(BA$4,0)),Assumptions!$F$4:$F$44))/NETWORKDAYS($K117,$L117,Assumptions!$F$4:$F$44))</f>
        <v>0</v>
      </c>
      <c r="BB117" s="21" t="n">
        <f aca="false">IF($J117=0,0,MAX(0,NETWORKDAYS(MAX($K117,BB$4),MIN($L117,EOMONTH(BB$4,0)),Assumptions!$F$4:$F$44))/NETWORKDAYS($K117,$L117,Assumptions!$F$4:$F$44))</f>
        <v>0</v>
      </c>
      <c r="BC117" s="21" t="n">
        <f aca="false">IF($J117=0,0,MAX(0,NETWORKDAYS(MAX($K117,BC$4),MIN($L117,EOMONTH(BC$4,0)),Assumptions!$F$4:$F$44))/NETWORKDAYS($K117,$L117,Assumptions!$F$4:$F$44))</f>
        <v>0</v>
      </c>
    </row>
    <row r="118" customFormat="false" ht="15" hidden="false" customHeight="false" outlineLevel="2" collapsed="false">
      <c r="A118" s="27" t="n">
        <v>114</v>
      </c>
      <c r="B118" s="27" t="s">
        <v>326</v>
      </c>
      <c r="C118" s="27" t="n">
        <v>3</v>
      </c>
      <c r="D118" s="27" t="s">
        <v>92</v>
      </c>
      <c r="E118" s="28" t="s">
        <v>327</v>
      </c>
      <c r="F118" s="27" t="s">
        <v>154</v>
      </c>
      <c r="G118" s="27" t="s">
        <v>289</v>
      </c>
      <c r="H118" s="27" t="s">
        <v>47</v>
      </c>
      <c r="I118" s="29" t="n">
        <v>59</v>
      </c>
      <c r="J118" s="29" t="n">
        <v>37</v>
      </c>
      <c r="K118" s="30" t="n">
        <f aca="false">WORKDAY(Assumptions!$C$4,I118,Assumptions!$F$4:$F$44)</f>
        <v>46409</v>
      </c>
      <c r="L118" s="30" t="n">
        <f aca="false">IF(J118=0,K118,WORKDAY(K118,J118-1,Assumptions!$F$4:$F$44))</f>
        <v>46461</v>
      </c>
      <c r="M118" s="29" t="s">
        <v>304</v>
      </c>
      <c r="N118" s="31" t="n">
        <v>0</v>
      </c>
      <c r="O118" s="31" t="n">
        <v>0</v>
      </c>
      <c r="P118" s="31" t="n">
        <v>0</v>
      </c>
      <c r="Q118" s="31" t="n">
        <v>35</v>
      </c>
      <c r="R118" s="31" t="n">
        <v>0</v>
      </c>
      <c r="S118" s="31" t="n">
        <v>0</v>
      </c>
      <c r="T118" s="31" t="n">
        <v>0</v>
      </c>
      <c r="U118" s="31" t="n">
        <v>0</v>
      </c>
      <c r="V118" s="31" t="n">
        <v>7</v>
      </c>
      <c r="W118" s="31" t="n">
        <v>0</v>
      </c>
      <c r="X118" s="31" t="n">
        <v>0</v>
      </c>
      <c r="Y118" s="32" t="n">
        <f aca="false">SUM(N118:X118)</f>
        <v>42</v>
      </c>
      <c r="Z118" s="32" t="n">
        <f aca="false">Y118*(1+Assumptions!$C$5)</f>
        <v>48.3</v>
      </c>
      <c r="AA118" s="27" t="s">
        <v>328</v>
      </c>
      <c r="AB118" s="27" t="s">
        <v>95</v>
      </c>
      <c r="AC118" s="27"/>
      <c r="AD118" s="33" t="n">
        <v>0</v>
      </c>
      <c r="AF118" s="21" t="n">
        <f aca="false">IF($J118=0,0,MAX(0,NETWORKDAYS(MAX($K118,AF$4),MIN($L118,EOMONTH(AF$4,0)),Assumptions!$F$4:$F$44))/NETWORKDAYS($K118,$L118,Assumptions!$F$4:$F$44))</f>
        <v>0</v>
      </c>
      <c r="AG118" s="21" t="n">
        <f aca="false">IF($J118=0,0,MAX(0,NETWORKDAYS(MAX($K118,AG$4),MIN($L118,EOMONTH(AG$4,0)),Assumptions!$F$4:$F$44))/NETWORKDAYS($K118,$L118,Assumptions!$F$4:$F$44))</f>
        <v>0</v>
      </c>
      <c r="AH118" s="21" t="n">
        <f aca="false">IF($J118=0,0,MAX(0,NETWORKDAYS(MAX($K118,AH$4),MIN($L118,EOMONTH(AH$4,0)),Assumptions!$F$4:$F$44))/NETWORKDAYS($K118,$L118,Assumptions!$F$4:$F$44))</f>
        <v>0.162162162162162</v>
      </c>
      <c r="AI118" s="21" t="n">
        <f aca="false">IF($J118=0,0,MAX(0,NETWORKDAYS(MAX($K118,AI$4),MIN($L118,EOMONTH(AI$4,0)),Assumptions!$F$4:$F$44))/NETWORKDAYS($K118,$L118,Assumptions!$F$4:$F$44))</f>
        <v>0.540540540540541</v>
      </c>
      <c r="AJ118" s="21" t="n">
        <f aca="false">IF($J118=0,0,MAX(0,NETWORKDAYS(MAX($K118,AJ$4),MIN($L118,EOMONTH(AJ$4,0)),Assumptions!$F$4:$F$44))/NETWORKDAYS($K118,$L118,Assumptions!$F$4:$F$44))</f>
        <v>0.297297297297297</v>
      </c>
      <c r="AK118" s="21" t="n">
        <f aca="false">IF($J118=0,0,MAX(0,NETWORKDAYS(MAX($K118,AK$4),MIN($L118,EOMONTH(AK$4,0)),Assumptions!$F$4:$F$44))/NETWORKDAYS($K118,$L118,Assumptions!$F$4:$F$44))</f>
        <v>0</v>
      </c>
      <c r="AL118" s="21" t="n">
        <f aca="false">IF($J118=0,0,MAX(0,NETWORKDAYS(MAX($K118,AL$4),MIN($L118,EOMONTH(AL$4,0)),Assumptions!$F$4:$F$44))/NETWORKDAYS($K118,$L118,Assumptions!$F$4:$F$44))</f>
        <v>0</v>
      </c>
      <c r="AM118" s="21" t="n">
        <f aca="false">IF($J118=0,0,MAX(0,NETWORKDAYS(MAX($K118,AM$4),MIN($L118,EOMONTH(AM$4,0)),Assumptions!$F$4:$F$44))/NETWORKDAYS($K118,$L118,Assumptions!$F$4:$F$44))</f>
        <v>0</v>
      </c>
      <c r="AN118" s="21" t="n">
        <f aca="false">IF($J118=0,0,MAX(0,NETWORKDAYS(MAX($K118,AN$4),MIN($L118,EOMONTH(AN$4,0)),Assumptions!$F$4:$F$44))/NETWORKDAYS($K118,$L118,Assumptions!$F$4:$F$44))</f>
        <v>0</v>
      </c>
      <c r="AO118" s="21" t="n">
        <f aca="false">IF($J118=0,0,MAX(0,NETWORKDAYS(MAX($K118,AO$4),MIN($L118,EOMONTH(AO$4,0)),Assumptions!$F$4:$F$44))/NETWORKDAYS($K118,$L118,Assumptions!$F$4:$F$44))</f>
        <v>0</v>
      </c>
      <c r="AP118" s="21" t="n">
        <f aca="false">IF($J118=0,0,MAX(0,NETWORKDAYS(MAX($K118,AP$4),MIN($L118,EOMONTH(AP$4,0)),Assumptions!$F$4:$F$44))/NETWORKDAYS($K118,$L118,Assumptions!$F$4:$F$44))</f>
        <v>0</v>
      </c>
      <c r="AQ118" s="21" t="n">
        <f aca="false">IF($J118=0,0,MAX(0,NETWORKDAYS(MAX($K118,AQ$4),MIN($L118,EOMONTH(AQ$4,0)),Assumptions!$F$4:$F$44))/NETWORKDAYS($K118,$L118,Assumptions!$F$4:$F$44))</f>
        <v>0</v>
      </c>
      <c r="AR118" s="21" t="n">
        <f aca="false">IF($J118=0,0,MAX(0,NETWORKDAYS(MAX($K118,AR$4),MIN($L118,EOMONTH(AR$4,0)),Assumptions!$F$4:$F$44))/NETWORKDAYS($K118,$L118,Assumptions!$F$4:$F$44))</f>
        <v>0</v>
      </c>
      <c r="AS118" s="21" t="n">
        <f aca="false">IF($J118=0,0,MAX(0,NETWORKDAYS(MAX($K118,AS$4),MIN($L118,EOMONTH(AS$4,0)),Assumptions!$F$4:$F$44))/NETWORKDAYS($K118,$L118,Assumptions!$F$4:$F$44))</f>
        <v>0</v>
      </c>
      <c r="AT118" s="21" t="n">
        <f aca="false">IF($J118=0,0,MAX(0,NETWORKDAYS(MAX($K118,AT$4),MIN($L118,EOMONTH(AT$4,0)),Assumptions!$F$4:$F$44))/NETWORKDAYS($K118,$L118,Assumptions!$F$4:$F$44))</f>
        <v>0</v>
      </c>
      <c r="AU118" s="21" t="n">
        <f aca="false">IF($J118=0,0,MAX(0,NETWORKDAYS(MAX($K118,AU$4),MIN($L118,EOMONTH(AU$4,0)),Assumptions!$F$4:$F$44))/NETWORKDAYS($K118,$L118,Assumptions!$F$4:$F$44))</f>
        <v>0</v>
      </c>
      <c r="AV118" s="21" t="n">
        <f aca="false">IF($J118=0,0,MAX(0,NETWORKDAYS(MAX($K118,AV$4),MIN($L118,EOMONTH(AV$4,0)),Assumptions!$F$4:$F$44))/NETWORKDAYS($K118,$L118,Assumptions!$F$4:$F$44))</f>
        <v>0</v>
      </c>
      <c r="AW118" s="21" t="n">
        <f aca="false">IF($J118=0,0,MAX(0,NETWORKDAYS(MAX($K118,AW$4),MIN($L118,EOMONTH(AW$4,0)),Assumptions!$F$4:$F$44))/NETWORKDAYS($K118,$L118,Assumptions!$F$4:$F$44))</f>
        <v>0</v>
      </c>
      <c r="AX118" s="21" t="n">
        <f aca="false">IF($J118=0,0,MAX(0,NETWORKDAYS(MAX($K118,AX$4),MIN($L118,EOMONTH(AX$4,0)),Assumptions!$F$4:$F$44))/NETWORKDAYS($K118,$L118,Assumptions!$F$4:$F$44))</f>
        <v>0</v>
      </c>
      <c r="AY118" s="21" t="n">
        <f aca="false">IF($J118=0,0,MAX(0,NETWORKDAYS(MAX($K118,AY$4),MIN($L118,EOMONTH(AY$4,0)),Assumptions!$F$4:$F$44))/NETWORKDAYS($K118,$L118,Assumptions!$F$4:$F$44))</f>
        <v>0</v>
      </c>
      <c r="AZ118" s="21" t="n">
        <f aca="false">IF($J118=0,0,MAX(0,NETWORKDAYS(MAX($K118,AZ$4),MIN($L118,EOMONTH(AZ$4,0)),Assumptions!$F$4:$F$44))/NETWORKDAYS($K118,$L118,Assumptions!$F$4:$F$44))</f>
        <v>0</v>
      </c>
      <c r="BA118" s="21" t="n">
        <f aca="false">IF($J118=0,0,MAX(0,NETWORKDAYS(MAX($K118,BA$4),MIN($L118,EOMONTH(BA$4,0)),Assumptions!$F$4:$F$44))/NETWORKDAYS($K118,$L118,Assumptions!$F$4:$F$44))</f>
        <v>0</v>
      </c>
      <c r="BB118" s="21" t="n">
        <f aca="false">IF($J118=0,0,MAX(0,NETWORKDAYS(MAX($K118,BB$4),MIN($L118,EOMONTH(BB$4,0)),Assumptions!$F$4:$F$44))/NETWORKDAYS($K118,$L118,Assumptions!$F$4:$F$44))</f>
        <v>0</v>
      </c>
      <c r="BC118" s="21" t="n">
        <f aca="false">IF($J118=0,0,MAX(0,NETWORKDAYS(MAX($K118,BC$4),MIN($L118,EOMONTH(BC$4,0)),Assumptions!$F$4:$F$44))/NETWORKDAYS($K118,$L118,Assumptions!$F$4:$F$44))</f>
        <v>0</v>
      </c>
    </row>
    <row r="119" customFormat="false" ht="15" hidden="false" customHeight="false" outlineLevel="2" collapsed="false">
      <c r="A119" s="27" t="n">
        <v>115</v>
      </c>
      <c r="B119" s="27" t="s">
        <v>329</v>
      </c>
      <c r="C119" s="27" t="n">
        <v>3</v>
      </c>
      <c r="D119" s="27" t="s">
        <v>92</v>
      </c>
      <c r="E119" s="28" t="s">
        <v>330</v>
      </c>
      <c r="F119" s="27" t="s">
        <v>154</v>
      </c>
      <c r="G119" s="27" t="s">
        <v>289</v>
      </c>
      <c r="H119" s="27" t="s">
        <v>47</v>
      </c>
      <c r="I119" s="29" t="n">
        <v>76</v>
      </c>
      <c r="J119" s="29" t="n">
        <v>22</v>
      </c>
      <c r="K119" s="30" t="n">
        <f aca="false">WORKDAY(Assumptions!$C$4,I119,Assumptions!$F$4:$F$44)</f>
        <v>46434</v>
      </c>
      <c r="L119" s="30" t="n">
        <f aca="false">IF(J119=0,K119,WORKDAY(K119,J119-1,Assumptions!$F$4:$F$44))</f>
        <v>46463</v>
      </c>
      <c r="M119" s="29" t="s">
        <v>324</v>
      </c>
      <c r="N119" s="31" t="n">
        <v>0</v>
      </c>
      <c r="O119" s="31" t="n">
        <v>4</v>
      </c>
      <c r="P119" s="31" t="n">
        <v>0</v>
      </c>
      <c r="Q119" s="31" t="n">
        <v>7</v>
      </c>
      <c r="R119" s="31" t="n">
        <v>7</v>
      </c>
      <c r="S119" s="31" t="n">
        <v>0</v>
      </c>
      <c r="T119" s="31" t="n">
        <v>0</v>
      </c>
      <c r="U119" s="31" t="n">
        <v>0</v>
      </c>
      <c r="V119" s="31" t="n">
        <v>0</v>
      </c>
      <c r="W119" s="31" t="n">
        <v>0</v>
      </c>
      <c r="X119" s="31" t="n">
        <v>0</v>
      </c>
      <c r="Y119" s="32" t="n">
        <f aca="false">SUM(N119:X119)</f>
        <v>18</v>
      </c>
      <c r="Z119" s="32" t="n">
        <f aca="false">Y119*(1+Assumptions!$C$5)</f>
        <v>20.7</v>
      </c>
      <c r="AA119" s="27" t="s">
        <v>331</v>
      </c>
      <c r="AB119" s="27" t="s">
        <v>95</v>
      </c>
      <c r="AC119" s="27"/>
      <c r="AD119" s="33" t="n">
        <v>0</v>
      </c>
      <c r="AF119" s="21" t="n">
        <f aca="false">IF($J119=0,0,MAX(0,NETWORKDAYS(MAX($K119,AF$4),MIN($L119,EOMONTH(AF$4,0)),Assumptions!$F$4:$F$44))/NETWORKDAYS($K119,$L119,Assumptions!$F$4:$F$44))</f>
        <v>0</v>
      </c>
      <c r="AG119" s="21" t="n">
        <f aca="false">IF($J119=0,0,MAX(0,NETWORKDAYS(MAX($K119,AG$4),MIN($L119,EOMONTH(AG$4,0)),Assumptions!$F$4:$F$44))/NETWORKDAYS($K119,$L119,Assumptions!$F$4:$F$44))</f>
        <v>0</v>
      </c>
      <c r="AH119" s="21" t="n">
        <f aca="false">IF($J119=0,0,MAX(0,NETWORKDAYS(MAX($K119,AH$4),MIN($L119,EOMONTH(AH$4,0)),Assumptions!$F$4:$F$44))/NETWORKDAYS($K119,$L119,Assumptions!$F$4:$F$44))</f>
        <v>0</v>
      </c>
      <c r="AI119" s="21" t="n">
        <f aca="false">IF($J119=0,0,MAX(0,NETWORKDAYS(MAX($K119,AI$4),MIN($L119,EOMONTH(AI$4,0)),Assumptions!$F$4:$F$44))/NETWORKDAYS($K119,$L119,Assumptions!$F$4:$F$44))</f>
        <v>0.409090909090909</v>
      </c>
      <c r="AJ119" s="21" t="n">
        <f aca="false">IF($J119=0,0,MAX(0,NETWORKDAYS(MAX($K119,AJ$4),MIN($L119,EOMONTH(AJ$4,0)),Assumptions!$F$4:$F$44))/NETWORKDAYS($K119,$L119,Assumptions!$F$4:$F$44))</f>
        <v>0.590909090909091</v>
      </c>
      <c r="AK119" s="21" t="n">
        <f aca="false">IF($J119=0,0,MAX(0,NETWORKDAYS(MAX($K119,AK$4),MIN($L119,EOMONTH(AK$4,0)),Assumptions!$F$4:$F$44))/NETWORKDAYS($K119,$L119,Assumptions!$F$4:$F$44))</f>
        <v>0</v>
      </c>
      <c r="AL119" s="21" t="n">
        <f aca="false">IF($J119=0,0,MAX(0,NETWORKDAYS(MAX($K119,AL$4),MIN($L119,EOMONTH(AL$4,0)),Assumptions!$F$4:$F$44))/NETWORKDAYS($K119,$L119,Assumptions!$F$4:$F$44))</f>
        <v>0</v>
      </c>
      <c r="AM119" s="21" t="n">
        <f aca="false">IF($J119=0,0,MAX(0,NETWORKDAYS(MAX($K119,AM$4),MIN($L119,EOMONTH(AM$4,0)),Assumptions!$F$4:$F$44))/NETWORKDAYS($K119,$L119,Assumptions!$F$4:$F$44))</f>
        <v>0</v>
      </c>
      <c r="AN119" s="21" t="n">
        <f aca="false">IF($J119=0,0,MAX(0,NETWORKDAYS(MAX($K119,AN$4),MIN($L119,EOMONTH(AN$4,0)),Assumptions!$F$4:$F$44))/NETWORKDAYS($K119,$L119,Assumptions!$F$4:$F$44))</f>
        <v>0</v>
      </c>
      <c r="AO119" s="21" t="n">
        <f aca="false">IF($J119=0,0,MAX(0,NETWORKDAYS(MAX($K119,AO$4),MIN($L119,EOMONTH(AO$4,0)),Assumptions!$F$4:$F$44))/NETWORKDAYS($K119,$L119,Assumptions!$F$4:$F$44))</f>
        <v>0</v>
      </c>
      <c r="AP119" s="21" t="n">
        <f aca="false">IF($J119=0,0,MAX(0,NETWORKDAYS(MAX($K119,AP$4),MIN($L119,EOMONTH(AP$4,0)),Assumptions!$F$4:$F$44))/NETWORKDAYS($K119,$L119,Assumptions!$F$4:$F$44))</f>
        <v>0</v>
      </c>
      <c r="AQ119" s="21" t="n">
        <f aca="false">IF($J119=0,0,MAX(0,NETWORKDAYS(MAX($K119,AQ$4),MIN($L119,EOMONTH(AQ$4,0)),Assumptions!$F$4:$F$44))/NETWORKDAYS($K119,$L119,Assumptions!$F$4:$F$44))</f>
        <v>0</v>
      </c>
      <c r="AR119" s="21" t="n">
        <f aca="false">IF($J119=0,0,MAX(0,NETWORKDAYS(MAX($K119,AR$4),MIN($L119,EOMONTH(AR$4,0)),Assumptions!$F$4:$F$44))/NETWORKDAYS($K119,$L119,Assumptions!$F$4:$F$44))</f>
        <v>0</v>
      </c>
      <c r="AS119" s="21" t="n">
        <f aca="false">IF($J119=0,0,MAX(0,NETWORKDAYS(MAX($K119,AS$4),MIN($L119,EOMONTH(AS$4,0)),Assumptions!$F$4:$F$44))/NETWORKDAYS($K119,$L119,Assumptions!$F$4:$F$44))</f>
        <v>0</v>
      </c>
      <c r="AT119" s="21" t="n">
        <f aca="false">IF($J119=0,0,MAX(0,NETWORKDAYS(MAX($K119,AT$4),MIN($L119,EOMONTH(AT$4,0)),Assumptions!$F$4:$F$44))/NETWORKDAYS($K119,$L119,Assumptions!$F$4:$F$44))</f>
        <v>0</v>
      </c>
      <c r="AU119" s="21" t="n">
        <f aca="false">IF($J119=0,0,MAX(0,NETWORKDAYS(MAX($K119,AU$4),MIN($L119,EOMONTH(AU$4,0)),Assumptions!$F$4:$F$44))/NETWORKDAYS($K119,$L119,Assumptions!$F$4:$F$44))</f>
        <v>0</v>
      </c>
      <c r="AV119" s="21" t="n">
        <f aca="false">IF($J119=0,0,MAX(0,NETWORKDAYS(MAX($K119,AV$4),MIN($L119,EOMONTH(AV$4,0)),Assumptions!$F$4:$F$44))/NETWORKDAYS($K119,$L119,Assumptions!$F$4:$F$44))</f>
        <v>0</v>
      </c>
      <c r="AW119" s="21" t="n">
        <f aca="false">IF($J119=0,0,MAX(0,NETWORKDAYS(MAX($K119,AW$4),MIN($L119,EOMONTH(AW$4,0)),Assumptions!$F$4:$F$44))/NETWORKDAYS($K119,$L119,Assumptions!$F$4:$F$44))</f>
        <v>0</v>
      </c>
      <c r="AX119" s="21" t="n">
        <f aca="false">IF($J119=0,0,MAX(0,NETWORKDAYS(MAX($K119,AX$4),MIN($L119,EOMONTH(AX$4,0)),Assumptions!$F$4:$F$44))/NETWORKDAYS($K119,$L119,Assumptions!$F$4:$F$44))</f>
        <v>0</v>
      </c>
      <c r="AY119" s="21" t="n">
        <f aca="false">IF($J119=0,0,MAX(0,NETWORKDAYS(MAX($K119,AY$4),MIN($L119,EOMONTH(AY$4,0)),Assumptions!$F$4:$F$44))/NETWORKDAYS($K119,$L119,Assumptions!$F$4:$F$44))</f>
        <v>0</v>
      </c>
      <c r="AZ119" s="21" t="n">
        <f aca="false">IF($J119=0,0,MAX(0,NETWORKDAYS(MAX($K119,AZ$4),MIN($L119,EOMONTH(AZ$4,0)),Assumptions!$F$4:$F$44))/NETWORKDAYS($K119,$L119,Assumptions!$F$4:$F$44))</f>
        <v>0</v>
      </c>
      <c r="BA119" s="21" t="n">
        <f aca="false">IF($J119=0,0,MAX(0,NETWORKDAYS(MAX($K119,BA$4),MIN($L119,EOMONTH(BA$4,0)),Assumptions!$F$4:$F$44))/NETWORKDAYS($K119,$L119,Assumptions!$F$4:$F$44))</f>
        <v>0</v>
      </c>
      <c r="BB119" s="21" t="n">
        <f aca="false">IF($J119=0,0,MAX(0,NETWORKDAYS(MAX($K119,BB$4),MIN($L119,EOMONTH(BB$4,0)),Assumptions!$F$4:$F$44))/NETWORKDAYS($K119,$L119,Assumptions!$F$4:$F$44))</f>
        <v>0</v>
      </c>
      <c r="BC119" s="21" t="n">
        <f aca="false">IF($J119=0,0,MAX(0,NETWORKDAYS(MAX($K119,BC$4),MIN($L119,EOMONTH(BC$4,0)),Assumptions!$F$4:$F$44))/NETWORKDAYS($K119,$L119,Assumptions!$F$4:$F$44))</f>
        <v>0</v>
      </c>
    </row>
    <row r="120" customFormat="false" ht="15" hidden="false" customHeight="false" outlineLevel="2" collapsed="false">
      <c r="A120" s="27" t="n">
        <v>116</v>
      </c>
      <c r="B120" s="27" t="s">
        <v>332</v>
      </c>
      <c r="C120" s="27" t="n">
        <v>3</v>
      </c>
      <c r="D120" s="27" t="s">
        <v>92</v>
      </c>
      <c r="E120" s="28" t="s">
        <v>333</v>
      </c>
      <c r="F120" s="27" t="s">
        <v>154</v>
      </c>
      <c r="G120" s="27" t="s">
        <v>289</v>
      </c>
      <c r="H120" s="27" t="s">
        <v>59</v>
      </c>
      <c r="I120" s="29" t="n">
        <v>54</v>
      </c>
      <c r="J120" s="29" t="n">
        <v>50</v>
      </c>
      <c r="K120" s="30" t="n">
        <f aca="false">WORKDAY(Assumptions!$C$4,I120,Assumptions!$F$4:$F$44)</f>
        <v>46402</v>
      </c>
      <c r="L120" s="30" t="n">
        <f aca="false">IF(J120=0,K120,WORKDAY(K120,J120-1,Assumptions!$F$4:$F$44))</f>
        <v>46471</v>
      </c>
      <c r="M120" s="29" t="s">
        <v>304</v>
      </c>
      <c r="N120" s="31" t="n">
        <v>0</v>
      </c>
      <c r="O120" s="31" t="n">
        <v>4</v>
      </c>
      <c r="P120" s="31" t="n">
        <v>0</v>
      </c>
      <c r="Q120" s="31" t="n">
        <v>0</v>
      </c>
      <c r="R120" s="31" t="n">
        <v>0</v>
      </c>
      <c r="S120" s="31" t="n">
        <v>0</v>
      </c>
      <c r="T120" s="31" t="n">
        <v>0</v>
      </c>
      <c r="U120" s="31" t="n">
        <v>0</v>
      </c>
      <c r="V120" s="31" t="n">
        <v>0</v>
      </c>
      <c r="W120" s="31" t="n">
        <v>21</v>
      </c>
      <c r="X120" s="31" t="n">
        <v>0</v>
      </c>
      <c r="Y120" s="32" t="n">
        <f aca="false">SUM(N120:X120)</f>
        <v>25</v>
      </c>
      <c r="Z120" s="32" t="n">
        <f aca="false">Y120*(1+Assumptions!$C$5)</f>
        <v>28.75</v>
      </c>
      <c r="AA120" s="27" t="s">
        <v>334</v>
      </c>
      <c r="AB120" s="27" t="s">
        <v>95</v>
      </c>
      <c r="AC120" s="27"/>
      <c r="AD120" s="33" t="n">
        <v>0</v>
      </c>
      <c r="AF120" s="21" t="n">
        <f aca="false">IF($J120=0,0,MAX(0,NETWORKDAYS(MAX($K120,AF$4),MIN($L120,EOMONTH(AF$4,0)),Assumptions!$F$4:$F$44))/NETWORKDAYS($K120,$L120,Assumptions!$F$4:$F$44))</f>
        <v>0</v>
      </c>
      <c r="AG120" s="21" t="n">
        <f aca="false">IF($J120=0,0,MAX(0,NETWORKDAYS(MAX($K120,AG$4),MIN($L120,EOMONTH(AG$4,0)),Assumptions!$F$4:$F$44))/NETWORKDAYS($K120,$L120,Assumptions!$F$4:$F$44))</f>
        <v>0</v>
      </c>
      <c r="AH120" s="21" t="n">
        <f aca="false">IF($J120=0,0,MAX(0,NETWORKDAYS(MAX($K120,AH$4),MIN($L120,EOMONTH(AH$4,0)),Assumptions!$F$4:$F$44))/NETWORKDAYS($K120,$L120,Assumptions!$F$4:$F$44))</f>
        <v>0.22</v>
      </c>
      <c r="AI120" s="21" t="n">
        <f aca="false">IF($J120=0,0,MAX(0,NETWORKDAYS(MAX($K120,AI$4),MIN($L120,EOMONTH(AI$4,0)),Assumptions!$F$4:$F$44))/NETWORKDAYS($K120,$L120,Assumptions!$F$4:$F$44))</f>
        <v>0.4</v>
      </c>
      <c r="AJ120" s="21" t="n">
        <f aca="false">IF($J120=0,0,MAX(0,NETWORKDAYS(MAX($K120,AJ$4),MIN($L120,EOMONTH(AJ$4,0)),Assumptions!$F$4:$F$44))/NETWORKDAYS($K120,$L120,Assumptions!$F$4:$F$44))</f>
        <v>0.38</v>
      </c>
      <c r="AK120" s="21" t="n">
        <f aca="false">IF($J120=0,0,MAX(0,NETWORKDAYS(MAX($K120,AK$4),MIN($L120,EOMONTH(AK$4,0)),Assumptions!$F$4:$F$44))/NETWORKDAYS($K120,$L120,Assumptions!$F$4:$F$44))</f>
        <v>0</v>
      </c>
      <c r="AL120" s="21" t="n">
        <f aca="false">IF($J120=0,0,MAX(0,NETWORKDAYS(MAX($K120,AL$4),MIN($L120,EOMONTH(AL$4,0)),Assumptions!$F$4:$F$44))/NETWORKDAYS($K120,$L120,Assumptions!$F$4:$F$44))</f>
        <v>0</v>
      </c>
      <c r="AM120" s="21" t="n">
        <f aca="false">IF($J120=0,0,MAX(0,NETWORKDAYS(MAX($K120,AM$4),MIN($L120,EOMONTH(AM$4,0)),Assumptions!$F$4:$F$44))/NETWORKDAYS($K120,$L120,Assumptions!$F$4:$F$44))</f>
        <v>0</v>
      </c>
      <c r="AN120" s="21" t="n">
        <f aca="false">IF($J120=0,0,MAX(0,NETWORKDAYS(MAX($K120,AN$4),MIN($L120,EOMONTH(AN$4,0)),Assumptions!$F$4:$F$44))/NETWORKDAYS($K120,$L120,Assumptions!$F$4:$F$44))</f>
        <v>0</v>
      </c>
      <c r="AO120" s="21" t="n">
        <f aca="false">IF($J120=0,0,MAX(0,NETWORKDAYS(MAX($K120,AO$4),MIN($L120,EOMONTH(AO$4,0)),Assumptions!$F$4:$F$44))/NETWORKDAYS($K120,$L120,Assumptions!$F$4:$F$44))</f>
        <v>0</v>
      </c>
      <c r="AP120" s="21" t="n">
        <f aca="false">IF($J120=0,0,MAX(0,NETWORKDAYS(MAX($K120,AP$4),MIN($L120,EOMONTH(AP$4,0)),Assumptions!$F$4:$F$44))/NETWORKDAYS($K120,$L120,Assumptions!$F$4:$F$44))</f>
        <v>0</v>
      </c>
      <c r="AQ120" s="21" t="n">
        <f aca="false">IF($J120=0,0,MAX(0,NETWORKDAYS(MAX($K120,AQ$4),MIN($L120,EOMONTH(AQ$4,0)),Assumptions!$F$4:$F$44))/NETWORKDAYS($K120,$L120,Assumptions!$F$4:$F$44))</f>
        <v>0</v>
      </c>
      <c r="AR120" s="21" t="n">
        <f aca="false">IF($J120=0,0,MAX(0,NETWORKDAYS(MAX($K120,AR$4),MIN($L120,EOMONTH(AR$4,0)),Assumptions!$F$4:$F$44))/NETWORKDAYS($K120,$L120,Assumptions!$F$4:$F$44))</f>
        <v>0</v>
      </c>
      <c r="AS120" s="21" t="n">
        <f aca="false">IF($J120=0,0,MAX(0,NETWORKDAYS(MAX($K120,AS$4),MIN($L120,EOMONTH(AS$4,0)),Assumptions!$F$4:$F$44))/NETWORKDAYS($K120,$L120,Assumptions!$F$4:$F$44))</f>
        <v>0</v>
      </c>
      <c r="AT120" s="21" t="n">
        <f aca="false">IF($J120=0,0,MAX(0,NETWORKDAYS(MAX($K120,AT$4),MIN($L120,EOMONTH(AT$4,0)),Assumptions!$F$4:$F$44))/NETWORKDAYS($K120,$L120,Assumptions!$F$4:$F$44))</f>
        <v>0</v>
      </c>
      <c r="AU120" s="21" t="n">
        <f aca="false">IF($J120=0,0,MAX(0,NETWORKDAYS(MAX($K120,AU$4),MIN($L120,EOMONTH(AU$4,0)),Assumptions!$F$4:$F$44))/NETWORKDAYS($K120,$L120,Assumptions!$F$4:$F$44))</f>
        <v>0</v>
      </c>
      <c r="AV120" s="21" t="n">
        <f aca="false">IF($J120=0,0,MAX(0,NETWORKDAYS(MAX($K120,AV$4),MIN($L120,EOMONTH(AV$4,0)),Assumptions!$F$4:$F$44))/NETWORKDAYS($K120,$L120,Assumptions!$F$4:$F$44))</f>
        <v>0</v>
      </c>
      <c r="AW120" s="21" t="n">
        <f aca="false">IF($J120=0,0,MAX(0,NETWORKDAYS(MAX($K120,AW$4),MIN($L120,EOMONTH(AW$4,0)),Assumptions!$F$4:$F$44))/NETWORKDAYS($K120,$L120,Assumptions!$F$4:$F$44))</f>
        <v>0</v>
      </c>
      <c r="AX120" s="21" t="n">
        <f aca="false">IF($J120=0,0,MAX(0,NETWORKDAYS(MAX($K120,AX$4),MIN($L120,EOMONTH(AX$4,0)),Assumptions!$F$4:$F$44))/NETWORKDAYS($K120,$L120,Assumptions!$F$4:$F$44))</f>
        <v>0</v>
      </c>
      <c r="AY120" s="21" t="n">
        <f aca="false">IF($J120=0,0,MAX(0,NETWORKDAYS(MAX($K120,AY$4),MIN($L120,EOMONTH(AY$4,0)),Assumptions!$F$4:$F$44))/NETWORKDAYS($K120,$L120,Assumptions!$F$4:$F$44))</f>
        <v>0</v>
      </c>
      <c r="AZ120" s="21" t="n">
        <f aca="false">IF($J120=0,0,MAX(0,NETWORKDAYS(MAX($K120,AZ$4),MIN($L120,EOMONTH(AZ$4,0)),Assumptions!$F$4:$F$44))/NETWORKDAYS($K120,$L120,Assumptions!$F$4:$F$44))</f>
        <v>0</v>
      </c>
      <c r="BA120" s="21" t="n">
        <f aca="false">IF($J120=0,0,MAX(0,NETWORKDAYS(MAX($K120,BA$4),MIN($L120,EOMONTH(BA$4,0)),Assumptions!$F$4:$F$44))/NETWORKDAYS($K120,$L120,Assumptions!$F$4:$F$44))</f>
        <v>0</v>
      </c>
      <c r="BB120" s="21" t="n">
        <f aca="false">IF($J120=0,0,MAX(0,NETWORKDAYS(MAX($K120,BB$4),MIN($L120,EOMONTH(BB$4,0)),Assumptions!$F$4:$F$44))/NETWORKDAYS($K120,$L120,Assumptions!$F$4:$F$44))</f>
        <v>0</v>
      </c>
      <c r="BC120" s="21" t="n">
        <f aca="false">IF($J120=0,0,MAX(0,NETWORKDAYS(MAX($K120,BC$4),MIN($L120,EOMONTH(BC$4,0)),Assumptions!$F$4:$F$44))/NETWORKDAYS($K120,$L120,Assumptions!$F$4:$F$44))</f>
        <v>0</v>
      </c>
    </row>
    <row r="121" customFormat="false" ht="15" hidden="false" customHeight="false" outlineLevel="2" collapsed="false">
      <c r="A121" s="27" t="n">
        <v>117</v>
      </c>
      <c r="B121" s="27" t="s">
        <v>335</v>
      </c>
      <c r="C121" s="27" t="n">
        <v>3</v>
      </c>
      <c r="D121" s="27" t="s">
        <v>92</v>
      </c>
      <c r="E121" s="28" t="s">
        <v>336</v>
      </c>
      <c r="F121" s="27" t="s">
        <v>154</v>
      </c>
      <c r="G121" s="27" t="s">
        <v>289</v>
      </c>
      <c r="H121" s="27" t="s">
        <v>57</v>
      </c>
      <c r="I121" s="29" t="n">
        <v>89</v>
      </c>
      <c r="J121" s="29" t="n">
        <v>18</v>
      </c>
      <c r="K121" s="30" t="n">
        <f aca="false">WORKDAY(Assumptions!$C$4,I121,Assumptions!$F$4:$F$44)</f>
        <v>46451</v>
      </c>
      <c r="L121" s="30" t="n">
        <f aca="false">IF(J121=0,K121,WORKDAY(K121,J121-1,Assumptions!$F$4:$F$44))</f>
        <v>46476</v>
      </c>
      <c r="M121" s="29" t="s">
        <v>337</v>
      </c>
      <c r="N121" s="31" t="n">
        <v>0</v>
      </c>
      <c r="O121" s="31" t="n">
        <v>0</v>
      </c>
      <c r="P121" s="31" t="n">
        <v>0</v>
      </c>
      <c r="Q121" s="31" t="n">
        <v>0</v>
      </c>
      <c r="R121" s="31" t="n">
        <v>0</v>
      </c>
      <c r="S121" s="31" t="n">
        <v>0</v>
      </c>
      <c r="T121" s="31" t="n">
        <v>0</v>
      </c>
      <c r="U121" s="31" t="n">
        <v>0</v>
      </c>
      <c r="V121" s="31" t="n">
        <v>36</v>
      </c>
      <c r="W121" s="31" t="n">
        <v>0</v>
      </c>
      <c r="X121" s="31" t="n">
        <v>0</v>
      </c>
      <c r="Y121" s="32" t="n">
        <f aca="false">SUM(N121:X121)</f>
        <v>36</v>
      </c>
      <c r="Z121" s="32" t="n">
        <f aca="false">Y121*(1+Assumptions!$C$5)</f>
        <v>41.4</v>
      </c>
      <c r="AA121" s="27" t="s">
        <v>338</v>
      </c>
      <c r="AB121" s="27" t="s">
        <v>95</v>
      </c>
      <c r="AC121" s="27"/>
      <c r="AD121" s="33" t="n">
        <v>0</v>
      </c>
      <c r="AF121" s="21" t="n">
        <f aca="false">IF($J121=0,0,MAX(0,NETWORKDAYS(MAX($K121,AF$4),MIN($L121,EOMONTH(AF$4,0)),Assumptions!$F$4:$F$44))/NETWORKDAYS($K121,$L121,Assumptions!$F$4:$F$44))</f>
        <v>0</v>
      </c>
      <c r="AG121" s="21" t="n">
        <f aca="false">IF($J121=0,0,MAX(0,NETWORKDAYS(MAX($K121,AG$4),MIN($L121,EOMONTH(AG$4,0)),Assumptions!$F$4:$F$44))/NETWORKDAYS($K121,$L121,Assumptions!$F$4:$F$44))</f>
        <v>0</v>
      </c>
      <c r="AH121" s="21" t="n">
        <f aca="false">IF($J121=0,0,MAX(0,NETWORKDAYS(MAX($K121,AH$4),MIN($L121,EOMONTH(AH$4,0)),Assumptions!$F$4:$F$44))/NETWORKDAYS($K121,$L121,Assumptions!$F$4:$F$44))</f>
        <v>0</v>
      </c>
      <c r="AI121" s="21" t="n">
        <f aca="false">IF($J121=0,0,MAX(0,NETWORKDAYS(MAX($K121,AI$4),MIN($L121,EOMONTH(AI$4,0)),Assumptions!$F$4:$F$44))/NETWORKDAYS($K121,$L121,Assumptions!$F$4:$F$44))</f>
        <v>0</v>
      </c>
      <c r="AJ121" s="21" t="n">
        <f aca="false">IF($J121=0,0,MAX(0,NETWORKDAYS(MAX($K121,AJ$4),MIN($L121,EOMONTH(AJ$4,0)),Assumptions!$F$4:$F$44))/NETWORKDAYS($K121,$L121,Assumptions!$F$4:$F$44))</f>
        <v>1</v>
      </c>
      <c r="AK121" s="21" t="n">
        <f aca="false">IF($J121=0,0,MAX(0,NETWORKDAYS(MAX($K121,AK$4),MIN($L121,EOMONTH(AK$4,0)),Assumptions!$F$4:$F$44))/NETWORKDAYS($K121,$L121,Assumptions!$F$4:$F$44))</f>
        <v>0</v>
      </c>
      <c r="AL121" s="21" t="n">
        <f aca="false">IF($J121=0,0,MAX(0,NETWORKDAYS(MAX($K121,AL$4),MIN($L121,EOMONTH(AL$4,0)),Assumptions!$F$4:$F$44))/NETWORKDAYS($K121,$L121,Assumptions!$F$4:$F$44))</f>
        <v>0</v>
      </c>
      <c r="AM121" s="21" t="n">
        <f aca="false">IF($J121=0,0,MAX(0,NETWORKDAYS(MAX($K121,AM$4),MIN($L121,EOMONTH(AM$4,0)),Assumptions!$F$4:$F$44))/NETWORKDAYS($K121,$L121,Assumptions!$F$4:$F$44))</f>
        <v>0</v>
      </c>
      <c r="AN121" s="21" t="n">
        <f aca="false">IF($J121=0,0,MAX(0,NETWORKDAYS(MAX($K121,AN$4),MIN($L121,EOMONTH(AN$4,0)),Assumptions!$F$4:$F$44))/NETWORKDAYS($K121,$L121,Assumptions!$F$4:$F$44))</f>
        <v>0</v>
      </c>
      <c r="AO121" s="21" t="n">
        <f aca="false">IF($J121=0,0,MAX(0,NETWORKDAYS(MAX($K121,AO$4),MIN($L121,EOMONTH(AO$4,0)),Assumptions!$F$4:$F$44))/NETWORKDAYS($K121,$L121,Assumptions!$F$4:$F$44))</f>
        <v>0</v>
      </c>
      <c r="AP121" s="21" t="n">
        <f aca="false">IF($J121=0,0,MAX(0,NETWORKDAYS(MAX($K121,AP$4),MIN($L121,EOMONTH(AP$4,0)),Assumptions!$F$4:$F$44))/NETWORKDAYS($K121,$L121,Assumptions!$F$4:$F$44))</f>
        <v>0</v>
      </c>
      <c r="AQ121" s="21" t="n">
        <f aca="false">IF($J121=0,0,MAX(0,NETWORKDAYS(MAX($K121,AQ$4),MIN($L121,EOMONTH(AQ$4,0)),Assumptions!$F$4:$F$44))/NETWORKDAYS($K121,$L121,Assumptions!$F$4:$F$44))</f>
        <v>0</v>
      </c>
      <c r="AR121" s="21" t="n">
        <f aca="false">IF($J121=0,0,MAX(0,NETWORKDAYS(MAX($K121,AR$4),MIN($L121,EOMONTH(AR$4,0)),Assumptions!$F$4:$F$44))/NETWORKDAYS($K121,$L121,Assumptions!$F$4:$F$44))</f>
        <v>0</v>
      </c>
      <c r="AS121" s="21" t="n">
        <f aca="false">IF($J121=0,0,MAX(0,NETWORKDAYS(MAX($K121,AS$4),MIN($L121,EOMONTH(AS$4,0)),Assumptions!$F$4:$F$44))/NETWORKDAYS($K121,$L121,Assumptions!$F$4:$F$44))</f>
        <v>0</v>
      </c>
      <c r="AT121" s="21" t="n">
        <f aca="false">IF($J121=0,0,MAX(0,NETWORKDAYS(MAX($K121,AT$4),MIN($L121,EOMONTH(AT$4,0)),Assumptions!$F$4:$F$44))/NETWORKDAYS($K121,$L121,Assumptions!$F$4:$F$44))</f>
        <v>0</v>
      </c>
      <c r="AU121" s="21" t="n">
        <f aca="false">IF($J121=0,0,MAX(0,NETWORKDAYS(MAX($K121,AU$4),MIN($L121,EOMONTH(AU$4,0)),Assumptions!$F$4:$F$44))/NETWORKDAYS($K121,$L121,Assumptions!$F$4:$F$44))</f>
        <v>0</v>
      </c>
      <c r="AV121" s="21" t="n">
        <f aca="false">IF($J121=0,0,MAX(0,NETWORKDAYS(MAX($K121,AV$4),MIN($L121,EOMONTH(AV$4,0)),Assumptions!$F$4:$F$44))/NETWORKDAYS($K121,$L121,Assumptions!$F$4:$F$44))</f>
        <v>0</v>
      </c>
      <c r="AW121" s="21" t="n">
        <f aca="false">IF($J121=0,0,MAX(0,NETWORKDAYS(MAX($K121,AW$4),MIN($L121,EOMONTH(AW$4,0)),Assumptions!$F$4:$F$44))/NETWORKDAYS($K121,$L121,Assumptions!$F$4:$F$44))</f>
        <v>0</v>
      </c>
      <c r="AX121" s="21" t="n">
        <f aca="false">IF($J121=0,0,MAX(0,NETWORKDAYS(MAX($K121,AX$4),MIN($L121,EOMONTH(AX$4,0)),Assumptions!$F$4:$F$44))/NETWORKDAYS($K121,$L121,Assumptions!$F$4:$F$44))</f>
        <v>0</v>
      </c>
      <c r="AY121" s="21" t="n">
        <f aca="false">IF($J121=0,0,MAX(0,NETWORKDAYS(MAX($K121,AY$4),MIN($L121,EOMONTH(AY$4,0)),Assumptions!$F$4:$F$44))/NETWORKDAYS($K121,$L121,Assumptions!$F$4:$F$44))</f>
        <v>0</v>
      </c>
      <c r="AZ121" s="21" t="n">
        <f aca="false">IF($J121=0,0,MAX(0,NETWORKDAYS(MAX($K121,AZ$4),MIN($L121,EOMONTH(AZ$4,0)),Assumptions!$F$4:$F$44))/NETWORKDAYS($K121,$L121,Assumptions!$F$4:$F$44))</f>
        <v>0</v>
      </c>
      <c r="BA121" s="21" t="n">
        <f aca="false">IF($J121=0,0,MAX(0,NETWORKDAYS(MAX($K121,BA$4),MIN($L121,EOMONTH(BA$4,0)),Assumptions!$F$4:$F$44))/NETWORKDAYS($K121,$L121,Assumptions!$F$4:$F$44))</f>
        <v>0</v>
      </c>
      <c r="BB121" s="21" t="n">
        <f aca="false">IF($J121=0,0,MAX(0,NETWORKDAYS(MAX($K121,BB$4),MIN($L121,EOMONTH(BB$4,0)),Assumptions!$F$4:$F$44))/NETWORKDAYS($K121,$L121,Assumptions!$F$4:$F$44))</f>
        <v>0</v>
      </c>
      <c r="BC121" s="21" t="n">
        <f aca="false">IF($J121=0,0,MAX(0,NETWORKDAYS(MAX($K121,BC$4),MIN($L121,EOMONTH(BC$4,0)),Assumptions!$F$4:$F$44))/NETWORKDAYS($K121,$L121,Assumptions!$F$4:$F$44))</f>
        <v>0</v>
      </c>
    </row>
    <row r="122" customFormat="false" ht="15" hidden="false" customHeight="false" outlineLevel="2" collapsed="false">
      <c r="A122" s="27" t="n">
        <v>118</v>
      </c>
      <c r="B122" s="27" t="s">
        <v>339</v>
      </c>
      <c r="C122" s="27" t="n">
        <v>3</v>
      </c>
      <c r="D122" s="27" t="s">
        <v>92</v>
      </c>
      <c r="E122" s="28" t="s">
        <v>340</v>
      </c>
      <c r="F122" s="27" t="s">
        <v>154</v>
      </c>
      <c r="G122" s="27" t="s">
        <v>289</v>
      </c>
      <c r="H122" s="27" t="s">
        <v>47</v>
      </c>
      <c r="I122" s="29" t="n">
        <v>93</v>
      </c>
      <c r="J122" s="29" t="n">
        <v>22</v>
      </c>
      <c r="K122" s="30" t="n">
        <f aca="false">WORKDAY(Assumptions!$C$4,I122,Assumptions!$F$4:$F$44)</f>
        <v>46457</v>
      </c>
      <c r="L122" s="30" t="n">
        <f aca="false">IF(J122=0,K122,WORKDAY(K122,J122-1,Assumptions!$F$4:$F$44))</f>
        <v>46486</v>
      </c>
      <c r="M122" s="29" t="s">
        <v>341</v>
      </c>
      <c r="N122" s="31" t="n">
        <v>0</v>
      </c>
      <c r="O122" s="31" t="n">
        <v>0</v>
      </c>
      <c r="P122" s="31" t="n">
        <v>0</v>
      </c>
      <c r="Q122" s="31" t="n">
        <v>14</v>
      </c>
      <c r="R122" s="31" t="n">
        <v>9</v>
      </c>
      <c r="S122" s="31" t="n">
        <v>0</v>
      </c>
      <c r="T122" s="31" t="n">
        <v>0</v>
      </c>
      <c r="U122" s="31" t="n">
        <v>0</v>
      </c>
      <c r="V122" s="31" t="n">
        <v>7</v>
      </c>
      <c r="W122" s="31" t="n">
        <v>0</v>
      </c>
      <c r="X122" s="31" t="n">
        <v>0</v>
      </c>
      <c r="Y122" s="32" t="n">
        <f aca="false">SUM(N122:X122)</f>
        <v>30</v>
      </c>
      <c r="Z122" s="32" t="n">
        <f aca="false">Y122*(1+Assumptions!$C$5)</f>
        <v>34.5</v>
      </c>
      <c r="AA122" s="27" t="s">
        <v>342</v>
      </c>
      <c r="AB122" s="27" t="s">
        <v>95</v>
      </c>
      <c r="AC122" s="27"/>
      <c r="AD122" s="33" t="n">
        <v>0</v>
      </c>
      <c r="AF122" s="21" t="n">
        <f aca="false">IF($J122=0,0,MAX(0,NETWORKDAYS(MAX($K122,AF$4),MIN($L122,EOMONTH(AF$4,0)),Assumptions!$F$4:$F$44))/NETWORKDAYS($K122,$L122,Assumptions!$F$4:$F$44))</f>
        <v>0</v>
      </c>
      <c r="AG122" s="21" t="n">
        <f aca="false">IF($J122=0,0,MAX(0,NETWORKDAYS(MAX($K122,AG$4),MIN($L122,EOMONTH(AG$4,0)),Assumptions!$F$4:$F$44))/NETWORKDAYS($K122,$L122,Assumptions!$F$4:$F$44))</f>
        <v>0</v>
      </c>
      <c r="AH122" s="21" t="n">
        <f aca="false">IF($J122=0,0,MAX(0,NETWORKDAYS(MAX($K122,AH$4),MIN($L122,EOMONTH(AH$4,0)),Assumptions!$F$4:$F$44))/NETWORKDAYS($K122,$L122,Assumptions!$F$4:$F$44))</f>
        <v>0</v>
      </c>
      <c r="AI122" s="21" t="n">
        <f aca="false">IF($J122=0,0,MAX(0,NETWORKDAYS(MAX($K122,AI$4),MIN($L122,EOMONTH(AI$4,0)),Assumptions!$F$4:$F$44))/NETWORKDAYS($K122,$L122,Assumptions!$F$4:$F$44))</f>
        <v>0</v>
      </c>
      <c r="AJ122" s="21" t="n">
        <f aca="false">IF($J122=0,0,MAX(0,NETWORKDAYS(MAX($K122,AJ$4),MIN($L122,EOMONTH(AJ$4,0)),Assumptions!$F$4:$F$44))/NETWORKDAYS($K122,$L122,Assumptions!$F$4:$F$44))</f>
        <v>0.681818181818182</v>
      </c>
      <c r="AK122" s="21" t="n">
        <f aca="false">IF($J122=0,0,MAX(0,NETWORKDAYS(MAX($K122,AK$4),MIN($L122,EOMONTH(AK$4,0)),Assumptions!$F$4:$F$44))/NETWORKDAYS($K122,$L122,Assumptions!$F$4:$F$44))</f>
        <v>0.318181818181818</v>
      </c>
      <c r="AL122" s="21" t="n">
        <f aca="false">IF($J122=0,0,MAX(0,NETWORKDAYS(MAX($K122,AL$4),MIN($L122,EOMONTH(AL$4,0)),Assumptions!$F$4:$F$44))/NETWORKDAYS($K122,$L122,Assumptions!$F$4:$F$44))</f>
        <v>0</v>
      </c>
      <c r="AM122" s="21" t="n">
        <f aca="false">IF($J122=0,0,MAX(0,NETWORKDAYS(MAX($K122,AM$4),MIN($L122,EOMONTH(AM$4,0)),Assumptions!$F$4:$F$44))/NETWORKDAYS($K122,$L122,Assumptions!$F$4:$F$44))</f>
        <v>0</v>
      </c>
      <c r="AN122" s="21" t="n">
        <f aca="false">IF($J122=0,0,MAX(0,NETWORKDAYS(MAX($K122,AN$4),MIN($L122,EOMONTH(AN$4,0)),Assumptions!$F$4:$F$44))/NETWORKDAYS($K122,$L122,Assumptions!$F$4:$F$44))</f>
        <v>0</v>
      </c>
      <c r="AO122" s="21" t="n">
        <f aca="false">IF($J122=0,0,MAX(0,NETWORKDAYS(MAX($K122,AO$4),MIN($L122,EOMONTH(AO$4,0)),Assumptions!$F$4:$F$44))/NETWORKDAYS($K122,$L122,Assumptions!$F$4:$F$44))</f>
        <v>0</v>
      </c>
      <c r="AP122" s="21" t="n">
        <f aca="false">IF($J122=0,0,MAX(0,NETWORKDAYS(MAX($K122,AP$4),MIN($L122,EOMONTH(AP$4,0)),Assumptions!$F$4:$F$44))/NETWORKDAYS($K122,$L122,Assumptions!$F$4:$F$44))</f>
        <v>0</v>
      </c>
      <c r="AQ122" s="21" t="n">
        <f aca="false">IF($J122=0,0,MAX(0,NETWORKDAYS(MAX($K122,AQ$4),MIN($L122,EOMONTH(AQ$4,0)),Assumptions!$F$4:$F$44))/NETWORKDAYS($K122,$L122,Assumptions!$F$4:$F$44))</f>
        <v>0</v>
      </c>
      <c r="AR122" s="21" t="n">
        <f aca="false">IF($J122=0,0,MAX(0,NETWORKDAYS(MAX($K122,AR$4),MIN($L122,EOMONTH(AR$4,0)),Assumptions!$F$4:$F$44))/NETWORKDAYS($K122,$L122,Assumptions!$F$4:$F$44))</f>
        <v>0</v>
      </c>
      <c r="AS122" s="21" t="n">
        <f aca="false">IF($J122=0,0,MAX(0,NETWORKDAYS(MAX($K122,AS$4),MIN($L122,EOMONTH(AS$4,0)),Assumptions!$F$4:$F$44))/NETWORKDAYS($K122,$L122,Assumptions!$F$4:$F$44))</f>
        <v>0</v>
      </c>
      <c r="AT122" s="21" t="n">
        <f aca="false">IF($J122=0,0,MAX(0,NETWORKDAYS(MAX($K122,AT$4),MIN($L122,EOMONTH(AT$4,0)),Assumptions!$F$4:$F$44))/NETWORKDAYS($K122,$L122,Assumptions!$F$4:$F$44))</f>
        <v>0</v>
      </c>
      <c r="AU122" s="21" t="n">
        <f aca="false">IF($J122=0,0,MAX(0,NETWORKDAYS(MAX($K122,AU$4),MIN($L122,EOMONTH(AU$4,0)),Assumptions!$F$4:$F$44))/NETWORKDAYS($K122,$L122,Assumptions!$F$4:$F$44))</f>
        <v>0</v>
      </c>
      <c r="AV122" s="21" t="n">
        <f aca="false">IF($J122=0,0,MAX(0,NETWORKDAYS(MAX($K122,AV$4),MIN($L122,EOMONTH(AV$4,0)),Assumptions!$F$4:$F$44))/NETWORKDAYS($K122,$L122,Assumptions!$F$4:$F$44))</f>
        <v>0</v>
      </c>
      <c r="AW122" s="21" t="n">
        <f aca="false">IF($J122=0,0,MAX(0,NETWORKDAYS(MAX($K122,AW$4),MIN($L122,EOMONTH(AW$4,0)),Assumptions!$F$4:$F$44))/NETWORKDAYS($K122,$L122,Assumptions!$F$4:$F$44))</f>
        <v>0</v>
      </c>
      <c r="AX122" s="21" t="n">
        <f aca="false">IF($J122=0,0,MAX(0,NETWORKDAYS(MAX($K122,AX$4),MIN($L122,EOMONTH(AX$4,0)),Assumptions!$F$4:$F$44))/NETWORKDAYS($K122,$L122,Assumptions!$F$4:$F$44))</f>
        <v>0</v>
      </c>
      <c r="AY122" s="21" t="n">
        <f aca="false">IF($J122=0,0,MAX(0,NETWORKDAYS(MAX($K122,AY$4),MIN($L122,EOMONTH(AY$4,0)),Assumptions!$F$4:$F$44))/NETWORKDAYS($K122,$L122,Assumptions!$F$4:$F$44))</f>
        <v>0</v>
      </c>
      <c r="AZ122" s="21" t="n">
        <f aca="false">IF($J122=0,0,MAX(0,NETWORKDAYS(MAX($K122,AZ$4),MIN($L122,EOMONTH(AZ$4,0)),Assumptions!$F$4:$F$44))/NETWORKDAYS($K122,$L122,Assumptions!$F$4:$F$44))</f>
        <v>0</v>
      </c>
      <c r="BA122" s="21" t="n">
        <f aca="false">IF($J122=0,0,MAX(0,NETWORKDAYS(MAX($K122,BA$4),MIN($L122,EOMONTH(BA$4,0)),Assumptions!$F$4:$F$44))/NETWORKDAYS($K122,$L122,Assumptions!$F$4:$F$44))</f>
        <v>0</v>
      </c>
      <c r="BB122" s="21" t="n">
        <f aca="false">IF($J122=0,0,MAX(0,NETWORKDAYS(MAX($K122,BB$4),MIN($L122,EOMONTH(BB$4,0)),Assumptions!$F$4:$F$44))/NETWORKDAYS($K122,$L122,Assumptions!$F$4:$F$44))</f>
        <v>0</v>
      </c>
      <c r="BC122" s="21" t="n">
        <f aca="false">IF($J122=0,0,MAX(0,NETWORKDAYS(MAX($K122,BC$4),MIN($L122,EOMONTH(BC$4,0)),Assumptions!$F$4:$F$44))/NETWORKDAYS($K122,$L122,Assumptions!$F$4:$F$44))</f>
        <v>0</v>
      </c>
    </row>
    <row r="123" customFormat="false" ht="15" hidden="false" customHeight="false" outlineLevel="2" collapsed="false">
      <c r="A123" s="27" t="n">
        <v>119</v>
      </c>
      <c r="B123" s="27" t="s">
        <v>343</v>
      </c>
      <c r="C123" s="27" t="n">
        <v>3</v>
      </c>
      <c r="D123" s="27" t="s">
        <v>92</v>
      </c>
      <c r="E123" s="28" t="s">
        <v>344</v>
      </c>
      <c r="F123" s="27" t="s">
        <v>154</v>
      </c>
      <c r="G123" s="27" t="s">
        <v>289</v>
      </c>
      <c r="H123" s="27" t="s">
        <v>43</v>
      </c>
      <c r="I123" s="29" t="n">
        <v>107</v>
      </c>
      <c r="J123" s="29" t="n">
        <v>11</v>
      </c>
      <c r="K123" s="30" t="n">
        <f aca="false">WORKDAY(Assumptions!$C$4,I123,Assumptions!$F$4:$F$44)</f>
        <v>46477</v>
      </c>
      <c r="L123" s="30" t="n">
        <f aca="false">IF(J123=0,K123,WORKDAY(K123,J123-1,Assumptions!$F$4:$F$44))</f>
        <v>46491</v>
      </c>
      <c r="M123" s="29" t="s">
        <v>341</v>
      </c>
      <c r="N123" s="31" t="n">
        <v>0</v>
      </c>
      <c r="O123" s="31" t="n">
        <v>9</v>
      </c>
      <c r="P123" s="31" t="n">
        <v>0</v>
      </c>
      <c r="Q123" s="31" t="n">
        <v>0</v>
      </c>
      <c r="R123" s="31" t="n">
        <v>0</v>
      </c>
      <c r="S123" s="31" t="n">
        <v>0</v>
      </c>
      <c r="T123" s="31" t="n">
        <v>0</v>
      </c>
      <c r="U123" s="31" t="n">
        <v>0</v>
      </c>
      <c r="V123" s="31" t="n">
        <v>9</v>
      </c>
      <c r="W123" s="31" t="n">
        <v>0</v>
      </c>
      <c r="X123" s="31" t="n">
        <v>0</v>
      </c>
      <c r="Y123" s="32" t="n">
        <f aca="false">SUM(N123:X123)</f>
        <v>18</v>
      </c>
      <c r="Z123" s="32" t="n">
        <f aca="false">Y123*(1+Assumptions!$C$5)</f>
        <v>20.7</v>
      </c>
      <c r="AA123" s="27" t="s">
        <v>345</v>
      </c>
      <c r="AB123" s="27" t="s">
        <v>95</v>
      </c>
      <c r="AC123" s="27"/>
      <c r="AD123" s="33" t="n">
        <v>0</v>
      </c>
      <c r="AF123" s="21" t="n">
        <f aca="false">IF($J123=0,0,MAX(0,NETWORKDAYS(MAX($K123,AF$4),MIN($L123,EOMONTH(AF$4,0)),Assumptions!$F$4:$F$44))/NETWORKDAYS($K123,$L123,Assumptions!$F$4:$F$44))</f>
        <v>0</v>
      </c>
      <c r="AG123" s="21" t="n">
        <f aca="false">IF($J123=0,0,MAX(0,NETWORKDAYS(MAX($K123,AG$4),MIN($L123,EOMONTH(AG$4,0)),Assumptions!$F$4:$F$44))/NETWORKDAYS($K123,$L123,Assumptions!$F$4:$F$44))</f>
        <v>0</v>
      </c>
      <c r="AH123" s="21" t="n">
        <f aca="false">IF($J123=0,0,MAX(0,NETWORKDAYS(MAX($K123,AH$4),MIN($L123,EOMONTH(AH$4,0)),Assumptions!$F$4:$F$44))/NETWORKDAYS($K123,$L123,Assumptions!$F$4:$F$44))</f>
        <v>0</v>
      </c>
      <c r="AI123" s="21" t="n">
        <f aca="false">IF($J123=0,0,MAX(0,NETWORKDAYS(MAX($K123,AI$4),MIN($L123,EOMONTH(AI$4,0)),Assumptions!$F$4:$F$44))/NETWORKDAYS($K123,$L123,Assumptions!$F$4:$F$44))</f>
        <v>0</v>
      </c>
      <c r="AJ123" s="21" t="n">
        <f aca="false">IF($J123=0,0,MAX(0,NETWORKDAYS(MAX($K123,AJ$4),MIN($L123,EOMONTH(AJ$4,0)),Assumptions!$F$4:$F$44))/NETWORKDAYS($K123,$L123,Assumptions!$F$4:$F$44))</f>
        <v>0.0909090909090909</v>
      </c>
      <c r="AK123" s="21" t="n">
        <f aca="false">IF($J123=0,0,MAX(0,NETWORKDAYS(MAX($K123,AK$4),MIN($L123,EOMONTH(AK$4,0)),Assumptions!$F$4:$F$44))/NETWORKDAYS($K123,$L123,Assumptions!$F$4:$F$44))</f>
        <v>0.909090909090909</v>
      </c>
      <c r="AL123" s="21" t="n">
        <f aca="false">IF($J123=0,0,MAX(0,NETWORKDAYS(MAX($K123,AL$4),MIN($L123,EOMONTH(AL$4,0)),Assumptions!$F$4:$F$44))/NETWORKDAYS($K123,$L123,Assumptions!$F$4:$F$44))</f>
        <v>0</v>
      </c>
      <c r="AM123" s="21" t="n">
        <f aca="false">IF($J123=0,0,MAX(0,NETWORKDAYS(MAX($K123,AM$4),MIN($L123,EOMONTH(AM$4,0)),Assumptions!$F$4:$F$44))/NETWORKDAYS($K123,$L123,Assumptions!$F$4:$F$44))</f>
        <v>0</v>
      </c>
      <c r="AN123" s="21" t="n">
        <f aca="false">IF($J123=0,0,MAX(0,NETWORKDAYS(MAX($K123,AN$4),MIN($L123,EOMONTH(AN$4,0)),Assumptions!$F$4:$F$44))/NETWORKDAYS($K123,$L123,Assumptions!$F$4:$F$44))</f>
        <v>0</v>
      </c>
      <c r="AO123" s="21" t="n">
        <f aca="false">IF($J123=0,0,MAX(0,NETWORKDAYS(MAX($K123,AO$4),MIN($L123,EOMONTH(AO$4,0)),Assumptions!$F$4:$F$44))/NETWORKDAYS($K123,$L123,Assumptions!$F$4:$F$44))</f>
        <v>0</v>
      </c>
      <c r="AP123" s="21" t="n">
        <f aca="false">IF($J123=0,0,MAX(0,NETWORKDAYS(MAX($K123,AP$4),MIN($L123,EOMONTH(AP$4,0)),Assumptions!$F$4:$F$44))/NETWORKDAYS($K123,$L123,Assumptions!$F$4:$F$44))</f>
        <v>0</v>
      </c>
      <c r="AQ123" s="21" t="n">
        <f aca="false">IF($J123=0,0,MAX(0,NETWORKDAYS(MAX($K123,AQ$4),MIN($L123,EOMONTH(AQ$4,0)),Assumptions!$F$4:$F$44))/NETWORKDAYS($K123,$L123,Assumptions!$F$4:$F$44))</f>
        <v>0</v>
      </c>
      <c r="AR123" s="21" t="n">
        <f aca="false">IF($J123=0,0,MAX(0,NETWORKDAYS(MAX($K123,AR$4),MIN($L123,EOMONTH(AR$4,0)),Assumptions!$F$4:$F$44))/NETWORKDAYS($K123,$L123,Assumptions!$F$4:$F$44))</f>
        <v>0</v>
      </c>
      <c r="AS123" s="21" t="n">
        <f aca="false">IF($J123=0,0,MAX(0,NETWORKDAYS(MAX($K123,AS$4),MIN($L123,EOMONTH(AS$4,0)),Assumptions!$F$4:$F$44))/NETWORKDAYS($K123,$L123,Assumptions!$F$4:$F$44))</f>
        <v>0</v>
      </c>
      <c r="AT123" s="21" t="n">
        <f aca="false">IF($J123=0,0,MAX(0,NETWORKDAYS(MAX($K123,AT$4),MIN($L123,EOMONTH(AT$4,0)),Assumptions!$F$4:$F$44))/NETWORKDAYS($K123,$L123,Assumptions!$F$4:$F$44))</f>
        <v>0</v>
      </c>
      <c r="AU123" s="21" t="n">
        <f aca="false">IF($J123=0,0,MAX(0,NETWORKDAYS(MAX($K123,AU$4),MIN($L123,EOMONTH(AU$4,0)),Assumptions!$F$4:$F$44))/NETWORKDAYS($K123,$L123,Assumptions!$F$4:$F$44))</f>
        <v>0</v>
      </c>
      <c r="AV123" s="21" t="n">
        <f aca="false">IF($J123=0,0,MAX(0,NETWORKDAYS(MAX($K123,AV$4),MIN($L123,EOMONTH(AV$4,0)),Assumptions!$F$4:$F$44))/NETWORKDAYS($K123,$L123,Assumptions!$F$4:$F$44))</f>
        <v>0</v>
      </c>
      <c r="AW123" s="21" t="n">
        <f aca="false">IF($J123=0,0,MAX(0,NETWORKDAYS(MAX($K123,AW$4),MIN($L123,EOMONTH(AW$4,0)),Assumptions!$F$4:$F$44))/NETWORKDAYS($K123,$L123,Assumptions!$F$4:$F$44))</f>
        <v>0</v>
      </c>
      <c r="AX123" s="21" t="n">
        <f aca="false">IF($J123=0,0,MAX(0,NETWORKDAYS(MAX($K123,AX$4),MIN($L123,EOMONTH(AX$4,0)),Assumptions!$F$4:$F$44))/NETWORKDAYS($K123,$L123,Assumptions!$F$4:$F$44))</f>
        <v>0</v>
      </c>
      <c r="AY123" s="21" t="n">
        <f aca="false">IF($J123=0,0,MAX(0,NETWORKDAYS(MAX($K123,AY$4),MIN($L123,EOMONTH(AY$4,0)),Assumptions!$F$4:$F$44))/NETWORKDAYS($K123,$L123,Assumptions!$F$4:$F$44))</f>
        <v>0</v>
      </c>
      <c r="AZ123" s="21" t="n">
        <f aca="false">IF($J123=0,0,MAX(0,NETWORKDAYS(MAX($K123,AZ$4),MIN($L123,EOMONTH(AZ$4,0)),Assumptions!$F$4:$F$44))/NETWORKDAYS($K123,$L123,Assumptions!$F$4:$F$44))</f>
        <v>0</v>
      </c>
      <c r="BA123" s="21" t="n">
        <f aca="false">IF($J123=0,0,MAX(0,NETWORKDAYS(MAX($K123,BA$4),MIN($L123,EOMONTH(BA$4,0)),Assumptions!$F$4:$F$44))/NETWORKDAYS($K123,$L123,Assumptions!$F$4:$F$44))</f>
        <v>0</v>
      </c>
      <c r="BB123" s="21" t="n">
        <f aca="false">IF($J123=0,0,MAX(0,NETWORKDAYS(MAX($K123,BB$4),MIN($L123,EOMONTH(BB$4,0)),Assumptions!$F$4:$F$44))/NETWORKDAYS($K123,$L123,Assumptions!$F$4:$F$44))</f>
        <v>0</v>
      </c>
      <c r="BC123" s="21" t="n">
        <f aca="false">IF($J123=0,0,MAX(0,NETWORKDAYS(MAX($K123,BC$4),MIN($L123,EOMONTH(BC$4,0)),Assumptions!$F$4:$F$44))/NETWORKDAYS($K123,$L123,Assumptions!$F$4:$F$44))</f>
        <v>0</v>
      </c>
    </row>
    <row r="124" customFormat="false" ht="15" hidden="false" customHeight="false" outlineLevel="2" collapsed="false">
      <c r="A124" s="27" t="n">
        <v>120</v>
      </c>
      <c r="B124" s="27" t="s">
        <v>346</v>
      </c>
      <c r="C124" s="27" t="n">
        <v>3</v>
      </c>
      <c r="D124" s="27" t="s">
        <v>92</v>
      </c>
      <c r="E124" s="28" t="s">
        <v>347</v>
      </c>
      <c r="F124" s="27" t="s">
        <v>154</v>
      </c>
      <c r="G124" s="27" t="s">
        <v>289</v>
      </c>
      <c r="H124" s="27" t="s">
        <v>61</v>
      </c>
      <c r="I124" s="29" t="n">
        <v>110</v>
      </c>
      <c r="J124" s="29" t="n">
        <v>11</v>
      </c>
      <c r="K124" s="30" t="n">
        <f aca="false">WORKDAY(Assumptions!$C$4,I124,Assumptions!$F$4:$F$44)</f>
        <v>46482</v>
      </c>
      <c r="L124" s="30" t="n">
        <f aca="false">IF(J124=0,K124,WORKDAY(K124,J124-1,Assumptions!$F$4:$F$44))</f>
        <v>46496</v>
      </c>
      <c r="M124" s="29" t="s">
        <v>348</v>
      </c>
      <c r="N124" s="31" t="n">
        <v>0</v>
      </c>
      <c r="O124" s="31" t="n">
        <v>4</v>
      </c>
      <c r="P124" s="31" t="n">
        <v>0</v>
      </c>
      <c r="Q124" s="31" t="n">
        <v>0</v>
      </c>
      <c r="R124" s="31" t="n">
        <v>0</v>
      </c>
      <c r="S124" s="31" t="n">
        <v>0</v>
      </c>
      <c r="T124" s="31" t="n">
        <v>0</v>
      </c>
      <c r="U124" s="31" t="n">
        <v>0</v>
      </c>
      <c r="V124" s="31" t="n">
        <v>0</v>
      </c>
      <c r="W124" s="31" t="n">
        <v>0</v>
      </c>
      <c r="X124" s="31" t="n">
        <v>11</v>
      </c>
      <c r="Y124" s="32" t="n">
        <f aca="false">SUM(N124:X124)</f>
        <v>15</v>
      </c>
      <c r="Z124" s="32" t="n">
        <f aca="false">Y124*(1+Assumptions!$C$5)</f>
        <v>17.25</v>
      </c>
      <c r="AA124" s="27" t="s">
        <v>349</v>
      </c>
      <c r="AB124" s="27" t="s">
        <v>95</v>
      </c>
      <c r="AC124" s="27"/>
      <c r="AD124" s="33" t="n">
        <v>0</v>
      </c>
      <c r="AF124" s="21" t="n">
        <f aca="false">IF($J124=0,0,MAX(0,NETWORKDAYS(MAX($K124,AF$4),MIN($L124,EOMONTH(AF$4,0)),Assumptions!$F$4:$F$44))/NETWORKDAYS($K124,$L124,Assumptions!$F$4:$F$44))</f>
        <v>0</v>
      </c>
      <c r="AG124" s="21" t="n">
        <f aca="false">IF($J124=0,0,MAX(0,NETWORKDAYS(MAX($K124,AG$4),MIN($L124,EOMONTH(AG$4,0)),Assumptions!$F$4:$F$44))/NETWORKDAYS($K124,$L124,Assumptions!$F$4:$F$44))</f>
        <v>0</v>
      </c>
      <c r="AH124" s="21" t="n">
        <f aca="false">IF($J124=0,0,MAX(0,NETWORKDAYS(MAX($K124,AH$4),MIN($L124,EOMONTH(AH$4,0)),Assumptions!$F$4:$F$44))/NETWORKDAYS($K124,$L124,Assumptions!$F$4:$F$44))</f>
        <v>0</v>
      </c>
      <c r="AI124" s="21" t="n">
        <f aca="false">IF($J124=0,0,MAX(0,NETWORKDAYS(MAX($K124,AI$4),MIN($L124,EOMONTH(AI$4,0)),Assumptions!$F$4:$F$44))/NETWORKDAYS($K124,$L124,Assumptions!$F$4:$F$44))</f>
        <v>0</v>
      </c>
      <c r="AJ124" s="21" t="n">
        <f aca="false">IF($J124=0,0,MAX(0,NETWORKDAYS(MAX($K124,AJ$4),MIN($L124,EOMONTH(AJ$4,0)),Assumptions!$F$4:$F$44))/NETWORKDAYS($K124,$L124,Assumptions!$F$4:$F$44))</f>
        <v>0</v>
      </c>
      <c r="AK124" s="21" t="n">
        <f aca="false">IF($J124=0,0,MAX(0,NETWORKDAYS(MAX($K124,AK$4),MIN($L124,EOMONTH(AK$4,0)),Assumptions!$F$4:$F$44))/NETWORKDAYS($K124,$L124,Assumptions!$F$4:$F$44))</f>
        <v>1</v>
      </c>
      <c r="AL124" s="21" t="n">
        <f aca="false">IF($J124=0,0,MAX(0,NETWORKDAYS(MAX($K124,AL$4),MIN($L124,EOMONTH(AL$4,0)),Assumptions!$F$4:$F$44))/NETWORKDAYS($K124,$L124,Assumptions!$F$4:$F$44))</f>
        <v>0</v>
      </c>
      <c r="AM124" s="21" t="n">
        <f aca="false">IF($J124=0,0,MAX(0,NETWORKDAYS(MAX($K124,AM$4),MIN($L124,EOMONTH(AM$4,0)),Assumptions!$F$4:$F$44))/NETWORKDAYS($K124,$L124,Assumptions!$F$4:$F$44))</f>
        <v>0</v>
      </c>
      <c r="AN124" s="21" t="n">
        <f aca="false">IF($J124=0,0,MAX(0,NETWORKDAYS(MAX($K124,AN$4),MIN($L124,EOMONTH(AN$4,0)),Assumptions!$F$4:$F$44))/NETWORKDAYS($K124,$L124,Assumptions!$F$4:$F$44))</f>
        <v>0</v>
      </c>
      <c r="AO124" s="21" t="n">
        <f aca="false">IF($J124=0,0,MAX(0,NETWORKDAYS(MAX($K124,AO$4),MIN($L124,EOMONTH(AO$4,0)),Assumptions!$F$4:$F$44))/NETWORKDAYS($K124,$L124,Assumptions!$F$4:$F$44))</f>
        <v>0</v>
      </c>
      <c r="AP124" s="21" t="n">
        <f aca="false">IF($J124=0,0,MAX(0,NETWORKDAYS(MAX($K124,AP$4),MIN($L124,EOMONTH(AP$4,0)),Assumptions!$F$4:$F$44))/NETWORKDAYS($K124,$L124,Assumptions!$F$4:$F$44))</f>
        <v>0</v>
      </c>
      <c r="AQ124" s="21" t="n">
        <f aca="false">IF($J124=0,0,MAX(0,NETWORKDAYS(MAX($K124,AQ$4),MIN($L124,EOMONTH(AQ$4,0)),Assumptions!$F$4:$F$44))/NETWORKDAYS($K124,$L124,Assumptions!$F$4:$F$44))</f>
        <v>0</v>
      </c>
      <c r="AR124" s="21" t="n">
        <f aca="false">IF($J124=0,0,MAX(0,NETWORKDAYS(MAX($K124,AR$4),MIN($L124,EOMONTH(AR$4,0)),Assumptions!$F$4:$F$44))/NETWORKDAYS($K124,$L124,Assumptions!$F$4:$F$44))</f>
        <v>0</v>
      </c>
      <c r="AS124" s="21" t="n">
        <f aca="false">IF($J124=0,0,MAX(0,NETWORKDAYS(MAX($K124,AS$4),MIN($L124,EOMONTH(AS$4,0)),Assumptions!$F$4:$F$44))/NETWORKDAYS($K124,$L124,Assumptions!$F$4:$F$44))</f>
        <v>0</v>
      </c>
      <c r="AT124" s="21" t="n">
        <f aca="false">IF($J124=0,0,MAX(0,NETWORKDAYS(MAX($K124,AT$4),MIN($L124,EOMONTH(AT$4,0)),Assumptions!$F$4:$F$44))/NETWORKDAYS($K124,$L124,Assumptions!$F$4:$F$44))</f>
        <v>0</v>
      </c>
      <c r="AU124" s="21" t="n">
        <f aca="false">IF($J124=0,0,MAX(0,NETWORKDAYS(MAX($K124,AU$4),MIN($L124,EOMONTH(AU$4,0)),Assumptions!$F$4:$F$44))/NETWORKDAYS($K124,$L124,Assumptions!$F$4:$F$44))</f>
        <v>0</v>
      </c>
      <c r="AV124" s="21" t="n">
        <f aca="false">IF($J124=0,0,MAX(0,NETWORKDAYS(MAX($K124,AV$4),MIN($L124,EOMONTH(AV$4,0)),Assumptions!$F$4:$F$44))/NETWORKDAYS($K124,$L124,Assumptions!$F$4:$F$44))</f>
        <v>0</v>
      </c>
      <c r="AW124" s="21" t="n">
        <f aca="false">IF($J124=0,0,MAX(0,NETWORKDAYS(MAX($K124,AW$4),MIN($L124,EOMONTH(AW$4,0)),Assumptions!$F$4:$F$44))/NETWORKDAYS($K124,$L124,Assumptions!$F$4:$F$44))</f>
        <v>0</v>
      </c>
      <c r="AX124" s="21" t="n">
        <f aca="false">IF($J124=0,0,MAX(0,NETWORKDAYS(MAX($K124,AX$4),MIN($L124,EOMONTH(AX$4,0)),Assumptions!$F$4:$F$44))/NETWORKDAYS($K124,$L124,Assumptions!$F$4:$F$44))</f>
        <v>0</v>
      </c>
      <c r="AY124" s="21" t="n">
        <f aca="false">IF($J124=0,0,MAX(0,NETWORKDAYS(MAX($K124,AY$4),MIN($L124,EOMONTH(AY$4,0)),Assumptions!$F$4:$F$44))/NETWORKDAYS($K124,$L124,Assumptions!$F$4:$F$44))</f>
        <v>0</v>
      </c>
      <c r="AZ124" s="21" t="n">
        <f aca="false">IF($J124=0,0,MAX(0,NETWORKDAYS(MAX($K124,AZ$4),MIN($L124,EOMONTH(AZ$4,0)),Assumptions!$F$4:$F$44))/NETWORKDAYS($K124,$L124,Assumptions!$F$4:$F$44))</f>
        <v>0</v>
      </c>
      <c r="BA124" s="21" t="n">
        <f aca="false">IF($J124=0,0,MAX(0,NETWORKDAYS(MAX($K124,BA$4),MIN($L124,EOMONTH(BA$4,0)),Assumptions!$F$4:$F$44))/NETWORKDAYS($K124,$L124,Assumptions!$F$4:$F$44))</f>
        <v>0</v>
      </c>
      <c r="BB124" s="21" t="n">
        <f aca="false">IF($J124=0,0,MAX(0,NETWORKDAYS(MAX($K124,BB$4),MIN($L124,EOMONTH(BB$4,0)),Assumptions!$F$4:$F$44))/NETWORKDAYS($K124,$L124,Assumptions!$F$4:$F$44))</f>
        <v>0</v>
      </c>
      <c r="BC124" s="21" t="n">
        <f aca="false">IF($J124=0,0,MAX(0,NETWORKDAYS(MAX($K124,BC$4),MIN($L124,EOMONTH(BC$4,0)),Assumptions!$F$4:$F$44))/NETWORKDAYS($K124,$L124,Assumptions!$F$4:$F$44))</f>
        <v>0</v>
      </c>
    </row>
    <row r="125" customFormat="false" ht="15" hidden="false" customHeight="false" outlineLevel="1" collapsed="false">
      <c r="A125" s="22" t="n">
        <v>121</v>
      </c>
      <c r="B125" s="22" t="s">
        <v>350</v>
      </c>
      <c r="C125" s="22" t="n">
        <v>2</v>
      </c>
      <c r="D125" s="22" t="s">
        <v>89</v>
      </c>
      <c r="E125" s="23" t="s">
        <v>351</v>
      </c>
      <c r="F125" s="22" t="s">
        <v>154</v>
      </c>
      <c r="G125" s="22" t="s">
        <v>352</v>
      </c>
      <c r="H125" s="22"/>
      <c r="I125" s="22"/>
      <c r="J125" s="22" t="n">
        <f aca="false">NETWORKDAYS(K125,L125,Assumptions!$F$4:$F$44)</f>
        <v>101</v>
      </c>
      <c r="K125" s="24" t="n">
        <f aca="false">MIN(K126:K142)</f>
        <v>46356</v>
      </c>
      <c r="L125" s="24" t="n">
        <f aca="false">MAX(L126:L142)</f>
        <v>46496</v>
      </c>
      <c r="M125" s="22"/>
      <c r="N125" s="25" t="n">
        <f aca="false">SUMPRODUCT(($C$126:$C$142=3)*(N126:N142))</f>
        <v>1</v>
      </c>
      <c r="O125" s="25" t="n">
        <f aca="false">SUMPRODUCT(($C$126:$C$142=3)*(O126:O142))</f>
        <v>40</v>
      </c>
      <c r="P125" s="25" t="n">
        <f aca="false">SUMPRODUCT(($C$126:$C$142=3)*(P126:P142))</f>
        <v>11</v>
      </c>
      <c r="Q125" s="25" t="n">
        <f aca="false">SUMPRODUCT(($C$126:$C$142=3)*(Q126:Q142))</f>
        <v>131</v>
      </c>
      <c r="R125" s="25" t="n">
        <f aca="false">SUMPRODUCT(($C$126:$C$142=3)*(R126:R142))</f>
        <v>87</v>
      </c>
      <c r="S125" s="25" t="n">
        <f aca="false">SUMPRODUCT(($C$126:$C$142=3)*(S126:S142))</f>
        <v>30</v>
      </c>
      <c r="T125" s="25" t="n">
        <f aca="false">SUMPRODUCT(($C$126:$C$142=3)*(T126:T142))</f>
        <v>17</v>
      </c>
      <c r="U125" s="25" t="n">
        <f aca="false">SUMPRODUCT(($C$126:$C$142=3)*(U126:U142))</f>
        <v>0</v>
      </c>
      <c r="V125" s="25" t="n">
        <f aca="false">SUMPRODUCT(($C$126:$C$142=3)*(V126:V142))</f>
        <v>51</v>
      </c>
      <c r="W125" s="25" t="n">
        <f aca="false">SUMPRODUCT(($C$126:$C$142=3)*(W126:W142))</f>
        <v>20</v>
      </c>
      <c r="X125" s="25" t="n">
        <f aca="false">SUMPRODUCT(($C$126:$C$142=3)*(X126:X142))</f>
        <v>10</v>
      </c>
      <c r="Y125" s="25" t="n">
        <f aca="false">SUM(N125:X125)</f>
        <v>398</v>
      </c>
      <c r="Z125" s="25" t="n">
        <f aca="false">Y125*(1+Assumptions!$C$5)</f>
        <v>457.7</v>
      </c>
      <c r="AA125" s="22" t="s">
        <v>353</v>
      </c>
      <c r="AB125" s="22"/>
      <c r="AC125" s="22"/>
      <c r="AD125" s="26"/>
      <c r="AF125" s="21" t="n">
        <v>0</v>
      </c>
      <c r="AG125" s="21" t="n">
        <v>0</v>
      </c>
      <c r="AH125" s="21" t="n">
        <v>0</v>
      </c>
      <c r="AI125" s="21" t="n">
        <v>0</v>
      </c>
      <c r="AJ125" s="21" t="n">
        <v>0</v>
      </c>
      <c r="AK125" s="21" t="n">
        <v>0</v>
      </c>
      <c r="AL125" s="21" t="n">
        <v>0</v>
      </c>
      <c r="AM125" s="21" t="n">
        <v>0</v>
      </c>
      <c r="AN125" s="21" t="n">
        <v>0</v>
      </c>
      <c r="AO125" s="21" t="n">
        <v>0</v>
      </c>
      <c r="AP125" s="21" t="n">
        <v>0</v>
      </c>
      <c r="AQ125" s="21" t="n">
        <v>0</v>
      </c>
      <c r="AR125" s="21" t="n">
        <v>0</v>
      </c>
      <c r="AS125" s="21" t="n">
        <v>0</v>
      </c>
      <c r="AT125" s="21" t="n">
        <v>0</v>
      </c>
      <c r="AU125" s="21" t="n">
        <v>0</v>
      </c>
      <c r="AV125" s="21" t="n">
        <v>0</v>
      </c>
      <c r="AW125" s="21" t="n">
        <v>0</v>
      </c>
      <c r="AX125" s="21" t="n">
        <v>0</v>
      </c>
      <c r="AY125" s="21" t="n">
        <v>0</v>
      </c>
      <c r="AZ125" s="21" t="n">
        <v>0</v>
      </c>
      <c r="BA125" s="21" t="n">
        <v>0</v>
      </c>
      <c r="BB125" s="21" t="n">
        <v>0</v>
      </c>
      <c r="BC125" s="21" t="n">
        <v>0</v>
      </c>
    </row>
    <row r="126" customFormat="false" ht="15" hidden="false" customHeight="false" outlineLevel="2" collapsed="false">
      <c r="A126" s="27" t="n">
        <v>122</v>
      </c>
      <c r="B126" s="27" t="s">
        <v>354</v>
      </c>
      <c r="C126" s="27" t="n">
        <v>3</v>
      </c>
      <c r="D126" s="27" t="s">
        <v>92</v>
      </c>
      <c r="E126" s="28" t="s">
        <v>292</v>
      </c>
      <c r="F126" s="27" t="s">
        <v>154</v>
      </c>
      <c r="G126" s="27" t="s">
        <v>352</v>
      </c>
      <c r="H126" s="27" t="s">
        <v>43</v>
      </c>
      <c r="I126" s="29" t="n">
        <v>20</v>
      </c>
      <c r="J126" s="29" t="n">
        <v>13</v>
      </c>
      <c r="K126" s="30" t="n">
        <f aca="false">WORKDAY(Assumptions!$C$4,I126,Assumptions!$F$4:$F$44)</f>
        <v>46356</v>
      </c>
      <c r="L126" s="30" t="n">
        <f aca="false">IF(J126=0,K126,WORKDAY(K126,J126-1,Assumptions!$F$4:$F$44))</f>
        <v>46372</v>
      </c>
      <c r="M126" s="29" t="s">
        <v>293</v>
      </c>
      <c r="N126" s="31" t="n">
        <v>1</v>
      </c>
      <c r="O126" s="31" t="n">
        <v>13</v>
      </c>
      <c r="P126" s="31" t="n">
        <v>3</v>
      </c>
      <c r="Q126" s="31" t="n">
        <v>0</v>
      </c>
      <c r="R126" s="31" t="n">
        <v>0</v>
      </c>
      <c r="S126" s="31" t="n">
        <v>0</v>
      </c>
      <c r="T126" s="31" t="n">
        <v>0</v>
      </c>
      <c r="U126" s="31" t="n">
        <v>0</v>
      </c>
      <c r="V126" s="31" t="n">
        <v>0</v>
      </c>
      <c r="W126" s="31" t="n">
        <v>0</v>
      </c>
      <c r="X126" s="31" t="n">
        <v>0</v>
      </c>
      <c r="Y126" s="32" t="n">
        <f aca="false">SUM(N126:X126)</f>
        <v>17</v>
      </c>
      <c r="Z126" s="32" t="n">
        <f aca="false">Y126*(1+Assumptions!$C$5)</f>
        <v>19.55</v>
      </c>
      <c r="AA126" s="27" t="s">
        <v>294</v>
      </c>
      <c r="AB126" s="27" t="s">
        <v>95</v>
      </c>
      <c r="AC126" s="27"/>
      <c r="AD126" s="33" t="n">
        <v>0</v>
      </c>
      <c r="AF126" s="21" t="n">
        <f aca="false">IF($J126=0,0,MAX(0,NETWORKDAYS(MAX($K126,AF$4),MIN($L126,EOMONTH(AF$4,0)),Assumptions!$F$4:$F$44))/NETWORKDAYS($K126,$L126,Assumptions!$F$4:$F$44))</f>
        <v>0.0769230769230769</v>
      </c>
      <c r="AG126" s="21" t="n">
        <f aca="false">IF($J126=0,0,MAX(0,NETWORKDAYS(MAX($K126,AG$4),MIN($L126,EOMONTH(AG$4,0)),Assumptions!$F$4:$F$44))/NETWORKDAYS($K126,$L126,Assumptions!$F$4:$F$44))</f>
        <v>0.923076923076923</v>
      </c>
      <c r="AH126" s="21" t="n">
        <f aca="false">IF($J126=0,0,MAX(0,NETWORKDAYS(MAX($K126,AH$4),MIN($L126,EOMONTH(AH$4,0)),Assumptions!$F$4:$F$44))/NETWORKDAYS($K126,$L126,Assumptions!$F$4:$F$44))</f>
        <v>0</v>
      </c>
      <c r="AI126" s="21" t="n">
        <f aca="false">IF($J126=0,0,MAX(0,NETWORKDAYS(MAX($K126,AI$4),MIN($L126,EOMONTH(AI$4,0)),Assumptions!$F$4:$F$44))/NETWORKDAYS($K126,$L126,Assumptions!$F$4:$F$44))</f>
        <v>0</v>
      </c>
      <c r="AJ126" s="21" t="n">
        <f aca="false">IF($J126=0,0,MAX(0,NETWORKDAYS(MAX($K126,AJ$4),MIN($L126,EOMONTH(AJ$4,0)),Assumptions!$F$4:$F$44))/NETWORKDAYS($K126,$L126,Assumptions!$F$4:$F$44))</f>
        <v>0</v>
      </c>
      <c r="AK126" s="21" t="n">
        <f aca="false">IF($J126=0,0,MAX(0,NETWORKDAYS(MAX($K126,AK$4),MIN($L126,EOMONTH(AK$4,0)),Assumptions!$F$4:$F$44))/NETWORKDAYS($K126,$L126,Assumptions!$F$4:$F$44))</f>
        <v>0</v>
      </c>
      <c r="AL126" s="21" t="n">
        <f aca="false">IF($J126=0,0,MAX(0,NETWORKDAYS(MAX($K126,AL$4),MIN($L126,EOMONTH(AL$4,0)),Assumptions!$F$4:$F$44))/NETWORKDAYS($K126,$L126,Assumptions!$F$4:$F$44))</f>
        <v>0</v>
      </c>
      <c r="AM126" s="21" t="n">
        <f aca="false">IF($J126=0,0,MAX(0,NETWORKDAYS(MAX($K126,AM$4),MIN($L126,EOMONTH(AM$4,0)),Assumptions!$F$4:$F$44))/NETWORKDAYS($K126,$L126,Assumptions!$F$4:$F$44))</f>
        <v>0</v>
      </c>
      <c r="AN126" s="21" t="n">
        <f aca="false">IF($J126=0,0,MAX(0,NETWORKDAYS(MAX($K126,AN$4),MIN($L126,EOMONTH(AN$4,0)),Assumptions!$F$4:$F$44))/NETWORKDAYS($K126,$L126,Assumptions!$F$4:$F$44))</f>
        <v>0</v>
      </c>
      <c r="AO126" s="21" t="n">
        <f aca="false">IF($J126=0,0,MAX(0,NETWORKDAYS(MAX($K126,AO$4),MIN($L126,EOMONTH(AO$4,0)),Assumptions!$F$4:$F$44))/NETWORKDAYS($K126,$L126,Assumptions!$F$4:$F$44))</f>
        <v>0</v>
      </c>
      <c r="AP126" s="21" t="n">
        <f aca="false">IF($J126=0,0,MAX(0,NETWORKDAYS(MAX($K126,AP$4),MIN($L126,EOMONTH(AP$4,0)),Assumptions!$F$4:$F$44))/NETWORKDAYS($K126,$L126,Assumptions!$F$4:$F$44))</f>
        <v>0</v>
      </c>
      <c r="AQ126" s="21" t="n">
        <f aca="false">IF($J126=0,0,MAX(0,NETWORKDAYS(MAX($K126,AQ$4),MIN($L126,EOMONTH(AQ$4,0)),Assumptions!$F$4:$F$44))/NETWORKDAYS($K126,$L126,Assumptions!$F$4:$F$44))</f>
        <v>0</v>
      </c>
      <c r="AR126" s="21" t="n">
        <f aca="false">IF($J126=0,0,MAX(0,NETWORKDAYS(MAX($K126,AR$4),MIN($L126,EOMONTH(AR$4,0)),Assumptions!$F$4:$F$44))/NETWORKDAYS($K126,$L126,Assumptions!$F$4:$F$44))</f>
        <v>0</v>
      </c>
      <c r="AS126" s="21" t="n">
        <f aca="false">IF($J126=0,0,MAX(0,NETWORKDAYS(MAX($K126,AS$4),MIN($L126,EOMONTH(AS$4,0)),Assumptions!$F$4:$F$44))/NETWORKDAYS($K126,$L126,Assumptions!$F$4:$F$44))</f>
        <v>0</v>
      </c>
      <c r="AT126" s="21" t="n">
        <f aca="false">IF($J126=0,0,MAX(0,NETWORKDAYS(MAX($K126,AT$4),MIN($L126,EOMONTH(AT$4,0)),Assumptions!$F$4:$F$44))/NETWORKDAYS($K126,$L126,Assumptions!$F$4:$F$44))</f>
        <v>0</v>
      </c>
      <c r="AU126" s="21" t="n">
        <f aca="false">IF($J126=0,0,MAX(0,NETWORKDAYS(MAX($K126,AU$4),MIN($L126,EOMONTH(AU$4,0)),Assumptions!$F$4:$F$44))/NETWORKDAYS($K126,$L126,Assumptions!$F$4:$F$44))</f>
        <v>0</v>
      </c>
      <c r="AV126" s="21" t="n">
        <f aca="false">IF($J126=0,0,MAX(0,NETWORKDAYS(MAX($K126,AV$4),MIN($L126,EOMONTH(AV$4,0)),Assumptions!$F$4:$F$44))/NETWORKDAYS($K126,$L126,Assumptions!$F$4:$F$44))</f>
        <v>0</v>
      </c>
      <c r="AW126" s="21" t="n">
        <f aca="false">IF($J126=0,0,MAX(0,NETWORKDAYS(MAX($K126,AW$4),MIN($L126,EOMONTH(AW$4,0)),Assumptions!$F$4:$F$44))/NETWORKDAYS($K126,$L126,Assumptions!$F$4:$F$44))</f>
        <v>0</v>
      </c>
      <c r="AX126" s="21" t="n">
        <f aca="false">IF($J126=0,0,MAX(0,NETWORKDAYS(MAX($K126,AX$4),MIN($L126,EOMONTH(AX$4,0)),Assumptions!$F$4:$F$44))/NETWORKDAYS($K126,$L126,Assumptions!$F$4:$F$44))</f>
        <v>0</v>
      </c>
      <c r="AY126" s="21" t="n">
        <f aca="false">IF($J126=0,0,MAX(0,NETWORKDAYS(MAX($K126,AY$4),MIN($L126,EOMONTH(AY$4,0)),Assumptions!$F$4:$F$44))/NETWORKDAYS($K126,$L126,Assumptions!$F$4:$F$44))</f>
        <v>0</v>
      </c>
      <c r="AZ126" s="21" t="n">
        <f aca="false">IF($J126=0,0,MAX(0,NETWORKDAYS(MAX($K126,AZ$4),MIN($L126,EOMONTH(AZ$4,0)),Assumptions!$F$4:$F$44))/NETWORKDAYS($K126,$L126,Assumptions!$F$4:$F$44))</f>
        <v>0</v>
      </c>
      <c r="BA126" s="21" t="n">
        <f aca="false">IF($J126=0,0,MAX(0,NETWORKDAYS(MAX($K126,BA$4),MIN($L126,EOMONTH(BA$4,0)),Assumptions!$F$4:$F$44))/NETWORKDAYS($K126,$L126,Assumptions!$F$4:$F$44))</f>
        <v>0</v>
      </c>
      <c r="BB126" s="21" t="n">
        <f aca="false">IF($J126=0,0,MAX(0,NETWORKDAYS(MAX($K126,BB$4),MIN($L126,EOMONTH(BB$4,0)),Assumptions!$F$4:$F$44))/NETWORKDAYS($K126,$L126,Assumptions!$F$4:$F$44))</f>
        <v>0</v>
      </c>
      <c r="BC126" s="21" t="n">
        <f aca="false">IF($J126=0,0,MAX(0,NETWORKDAYS(MAX($K126,BC$4),MIN($L126,EOMONTH(BC$4,0)),Assumptions!$F$4:$F$44))/NETWORKDAYS($K126,$L126,Assumptions!$F$4:$F$44))</f>
        <v>0</v>
      </c>
    </row>
    <row r="127" customFormat="false" ht="15" hidden="false" customHeight="false" outlineLevel="2" collapsed="false">
      <c r="A127" s="27" t="n">
        <v>123</v>
      </c>
      <c r="B127" s="27" t="s">
        <v>355</v>
      </c>
      <c r="C127" s="27" t="n">
        <v>3</v>
      </c>
      <c r="D127" s="27" t="s">
        <v>92</v>
      </c>
      <c r="E127" s="28" t="s">
        <v>296</v>
      </c>
      <c r="F127" s="27" t="s">
        <v>154</v>
      </c>
      <c r="G127" s="27" t="s">
        <v>352</v>
      </c>
      <c r="H127" s="27" t="s">
        <v>45</v>
      </c>
      <c r="I127" s="29" t="n">
        <v>29</v>
      </c>
      <c r="J127" s="29" t="n">
        <v>13</v>
      </c>
      <c r="K127" s="30" t="n">
        <f aca="false">WORKDAY(Assumptions!$C$4,I127,Assumptions!$F$4:$F$44)</f>
        <v>46367</v>
      </c>
      <c r="L127" s="30" t="n">
        <f aca="false">IF(J127=0,K127,WORKDAY(K127,J127-1,Assumptions!$F$4:$F$44))</f>
        <v>46385</v>
      </c>
      <c r="M127" s="29" t="s">
        <v>356</v>
      </c>
      <c r="N127" s="31" t="n">
        <v>0</v>
      </c>
      <c r="O127" s="31" t="n">
        <v>0</v>
      </c>
      <c r="P127" s="31" t="n">
        <v>8</v>
      </c>
      <c r="Q127" s="31" t="n">
        <v>8</v>
      </c>
      <c r="R127" s="31" t="n">
        <v>0</v>
      </c>
      <c r="S127" s="31" t="n">
        <v>0</v>
      </c>
      <c r="T127" s="31" t="n">
        <v>0</v>
      </c>
      <c r="U127" s="31" t="n">
        <v>0</v>
      </c>
      <c r="V127" s="31" t="n">
        <v>0</v>
      </c>
      <c r="W127" s="31" t="n">
        <v>0</v>
      </c>
      <c r="X127" s="31" t="n">
        <v>0</v>
      </c>
      <c r="Y127" s="32" t="n">
        <f aca="false">SUM(N127:X127)</f>
        <v>16</v>
      </c>
      <c r="Z127" s="32" t="n">
        <f aca="false">Y127*(1+Assumptions!$C$5)</f>
        <v>18.4</v>
      </c>
      <c r="AA127" s="27" t="s">
        <v>298</v>
      </c>
      <c r="AB127" s="27" t="s">
        <v>95</v>
      </c>
      <c r="AC127" s="27"/>
      <c r="AD127" s="33" t="n">
        <v>0</v>
      </c>
      <c r="AF127" s="21" t="n">
        <f aca="false">IF($J127=0,0,MAX(0,NETWORKDAYS(MAX($K127,AF$4),MIN($L127,EOMONTH(AF$4,0)),Assumptions!$F$4:$F$44))/NETWORKDAYS($K127,$L127,Assumptions!$F$4:$F$44))</f>
        <v>0</v>
      </c>
      <c r="AG127" s="21" t="n">
        <f aca="false">IF($J127=0,0,MAX(0,NETWORKDAYS(MAX($K127,AG$4),MIN($L127,EOMONTH(AG$4,0)),Assumptions!$F$4:$F$44))/NETWORKDAYS($K127,$L127,Assumptions!$F$4:$F$44))</f>
        <v>1</v>
      </c>
      <c r="AH127" s="21" t="n">
        <f aca="false">IF($J127=0,0,MAX(0,NETWORKDAYS(MAX($K127,AH$4),MIN($L127,EOMONTH(AH$4,0)),Assumptions!$F$4:$F$44))/NETWORKDAYS($K127,$L127,Assumptions!$F$4:$F$44))</f>
        <v>0</v>
      </c>
      <c r="AI127" s="21" t="n">
        <f aca="false">IF($J127=0,0,MAX(0,NETWORKDAYS(MAX($K127,AI$4),MIN($L127,EOMONTH(AI$4,0)),Assumptions!$F$4:$F$44))/NETWORKDAYS($K127,$L127,Assumptions!$F$4:$F$44))</f>
        <v>0</v>
      </c>
      <c r="AJ127" s="21" t="n">
        <f aca="false">IF($J127=0,0,MAX(0,NETWORKDAYS(MAX($K127,AJ$4),MIN($L127,EOMONTH(AJ$4,0)),Assumptions!$F$4:$F$44))/NETWORKDAYS($K127,$L127,Assumptions!$F$4:$F$44))</f>
        <v>0</v>
      </c>
      <c r="AK127" s="21" t="n">
        <f aca="false">IF($J127=0,0,MAX(0,NETWORKDAYS(MAX($K127,AK$4),MIN($L127,EOMONTH(AK$4,0)),Assumptions!$F$4:$F$44))/NETWORKDAYS($K127,$L127,Assumptions!$F$4:$F$44))</f>
        <v>0</v>
      </c>
      <c r="AL127" s="21" t="n">
        <f aca="false">IF($J127=0,0,MAX(0,NETWORKDAYS(MAX($K127,AL$4),MIN($L127,EOMONTH(AL$4,0)),Assumptions!$F$4:$F$44))/NETWORKDAYS($K127,$L127,Assumptions!$F$4:$F$44))</f>
        <v>0</v>
      </c>
      <c r="AM127" s="21" t="n">
        <f aca="false">IF($J127=0,0,MAX(0,NETWORKDAYS(MAX($K127,AM$4),MIN($L127,EOMONTH(AM$4,0)),Assumptions!$F$4:$F$44))/NETWORKDAYS($K127,$L127,Assumptions!$F$4:$F$44))</f>
        <v>0</v>
      </c>
      <c r="AN127" s="21" t="n">
        <f aca="false">IF($J127=0,0,MAX(0,NETWORKDAYS(MAX($K127,AN$4),MIN($L127,EOMONTH(AN$4,0)),Assumptions!$F$4:$F$44))/NETWORKDAYS($K127,$L127,Assumptions!$F$4:$F$44))</f>
        <v>0</v>
      </c>
      <c r="AO127" s="21" t="n">
        <f aca="false">IF($J127=0,0,MAX(0,NETWORKDAYS(MAX($K127,AO$4),MIN($L127,EOMONTH(AO$4,0)),Assumptions!$F$4:$F$44))/NETWORKDAYS($K127,$L127,Assumptions!$F$4:$F$44))</f>
        <v>0</v>
      </c>
      <c r="AP127" s="21" t="n">
        <f aca="false">IF($J127=0,0,MAX(0,NETWORKDAYS(MAX($K127,AP$4),MIN($L127,EOMONTH(AP$4,0)),Assumptions!$F$4:$F$44))/NETWORKDAYS($K127,$L127,Assumptions!$F$4:$F$44))</f>
        <v>0</v>
      </c>
      <c r="AQ127" s="21" t="n">
        <f aca="false">IF($J127=0,0,MAX(0,NETWORKDAYS(MAX($K127,AQ$4),MIN($L127,EOMONTH(AQ$4,0)),Assumptions!$F$4:$F$44))/NETWORKDAYS($K127,$L127,Assumptions!$F$4:$F$44))</f>
        <v>0</v>
      </c>
      <c r="AR127" s="21" t="n">
        <f aca="false">IF($J127=0,0,MAX(0,NETWORKDAYS(MAX($K127,AR$4),MIN($L127,EOMONTH(AR$4,0)),Assumptions!$F$4:$F$44))/NETWORKDAYS($K127,$L127,Assumptions!$F$4:$F$44))</f>
        <v>0</v>
      </c>
      <c r="AS127" s="21" t="n">
        <f aca="false">IF($J127=0,0,MAX(0,NETWORKDAYS(MAX($K127,AS$4),MIN($L127,EOMONTH(AS$4,0)),Assumptions!$F$4:$F$44))/NETWORKDAYS($K127,$L127,Assumptions!$F$4:$F$44))</f>
        <v>0</v>
      </c>
      <c r="AT127" s="21" t="n">
        <f aca="false">IF($J127=0,0,MAX(0,NETWORKDAYS(MAX($K127,AT$4),MIN($L127,EOMONTH(AT$4,0)),Assumptions!$F$4:$F$44))/NETWORKDAYS($K127,$L127,Assumptions!$F$4:$F$44))</f>
        <v>0</v>
      </c>
      <c r="AU127" s="21" t="n">
        <f aca="false">IF($J127=0,0,MAX(0,NETWORKDAYS(MAX($K127,AU$4),MIN($L127,EOMONTH(AU$4,0)),Assumptions!$F$4:$F$44))/NETWORKDAYS($K127,$L127,Assumptions!$F$4:$F$44))</f>
        <v>0</v>
      </c>
      <c r="AV127" s="21" t="n">
        <f aca="false">IF($J127=0,0,MAX(0,NETWORKDAYS(MAX($K127,AV$4),MIN($L127,EOMONTH(AV$4,0)),Assumptions!$F$4:$F$44))/NETWORKDAYS($K127,$L127,Assumptions!$F$4:$F$44))</f>
        <v>0</v>
      </c>
      <c r="AW127" s="21" t="n">
        <f aca="false">IF($J127=0,0,MAX(0,NETWORKDAYS(MAX($K127,AW$4),MIN($L127,EOMONTH(AW$4,0)),Assumptions!$F$4:$F$44))/NETWORKDAYS($K127,$L127,Assumptions!$F$4:$F$44))</f>
        <v>0</v>
      </c>
      <c r="AX127" s="21" t="n">
        <f aca="false">IF($J127=0,0,MAX(0,NETWORKDAYS(MAX($K127,AX$4),MIN($L127,EOMONTH(AX$4,0)),Assumptions!$F$4:$F$44))/NETWORKDAYS($K127,$L127,Assumptions!$F$4:$F$44))</f>
        <v>0</v>
      </c>
      <c r="AY127" s="21" t="n">
        <f aca="false">IF($J127=0,0,MAX(0,NETWORKDAYS(MAX($K127,AY$4),MIN($L127,EOMONTH(AY$4,0)),Assumptions!$F$4:$F$44))/NETWORKDAYS($K127,$L127,Assumptions!$F$4:$F$44))</f>
        <v>0</v>
      </c>
      <c r="AZ127" s="21" t="n">
        <f aca="false">IF($J127=0,0,MAX(0,NETWORKDAYS(MAX($K127,AZ$4),MIN($L127,EOMONTH(AZ$4,0)),Assumptions!$F$4:$F$44))/NETWORKDAYS($K127,$L127,Assumptions!$F$4:$F$44))</f>
        <v>0</v>
      </c>
      <c r="BA127" s="21" t="n">
        <f aca="false">IF($J127=0,0,MAX(0,NETWORKDAYS(MAX($K127,BA$4),MIN($L127,EOMONTH(BA$4,0)),Assumptions!$F$4:$F$44))/NETWORKDAYS($K127,$L127,Assumptions!$F$4:$F$44))</f>
        <v>0</v>
      </c>
      <c r="BB127" s="21" t="n">
        <f aca="false">IF($J127=0,0,MAX(0,NETWORKDAYS(MAX($K127,BB$4),MIN($L127,EOMONTH(BB$4,0)),Assumptions!$F$4:$F$44))/NETWORKDAYS($K127,$L127,Assumptions!$F$4:$F$44))</f>
        <v>0</v>
      </c>
      <c r="BC127" s="21" t="n">
        <f aca="false">IF($J127=0,0,MAX(0,NETWORKDAYS(MAX($K127,BC$4),MIN($L127,EOMONTH(BC$4,0)),Assumptions!$F$4:$F$44))/NETWORKDAYS($K127,$L127,Assumptions!$F$4:$F$44))</f>
        <v>0</v>
      </c>
    </row>
    <row r="128" customFormat="false" ht="15" hidden="false" customHeight="false" outlineLevel="2" collapsed="false">
      <c r="A128" s="27" t="n">
        <v>124</v>
      </c>
      <c r="B128" s="27" t="s">
        <v>357</v>
      </c>
      <c r="C128" s="27" t="n">
        <v>3</v>
      </c>
      <c r="D128" s="27" t="s">
        <v>92</v>
      </c>
      <c r="E128" s="28" t="s">
        <v>300</v>
      </c>
      <c r="F128" s="27" t="s">
        <v>154</v>
      </c>
      <c r="G128" s="27" t="s">
        <v>352</v>
      </c>
      <c r="H128" s="27" t="s">
        <v>49</v>
      </c>
      <c r="I128" s="29" t="n">
        <v>29</v>
      </c>
      <c r="J128" s="29" t="n">
        <v>13</v>
      </c>
      <c r="K128" s="30" t="n">
        <f aca="false">WORKDAY(Assumptions!$C$4,I128,Assumptions!$F$4:$F$44)</f>
        <v>46367</v>
      </c>
      <c r="L128" s="30" t="n">
        <f aca="false">IF(J128=0,K128,WORKDAY(K128,J128-1,Assumptions!$F$4:$F$44))</f>
        <v>46385</v>
      </c>
      <c r="M128" s="29" t="s">
        <v>356</v>
      </c>
      <c r="N128" s="31" t="n">
        <v>0</v>
      </c>
      <c r="O128" s="31" t="n">
        <v>3</v>
      </c>
      <c r="P128" s="31" t="n">
        <v>0</v>
      </c>
      <c r="Q128" s="31" t="n">
        <v>0</v>
      </c>
      <c r="R128" s="31" t="n">
        <v>10</v>
      </c>
      <c r="S128" s="31" t="n">
        <v>0</v>
      </c>
      <c r="T128" s="31" t="n">
        <v>0</v>
      </c>
      <c r="U128" s="31" t="n">
        <v>0</v>
      </c>
      <c r="V128" s="31" t="n">
        <v>0</v>
      </c>
      <c r="W128" s="31" t="n">
        <v>0</v>
      </c>
      <c r="X128" s="31" t="n">
        <v>0</v>
      </c>
      <c r="Y128" s="32" t="n">
        <f aca="false">SUM(N128:X128)</f>
        <v>13</v>
      </c>
      <c r="Z128" s="32" t="n">
        <f aca="false">Y128*(1+Assumptions!$C$5)</f>
        <v>14.95</v>
      </c>
      <c r="AA128" s="27" t="s">
        <v>301</v>
      </c>
      <c r="AB128" s="27" t="s">
        <v>95</v>
      </c>
      <c r="AC128" s="27"/>
      <c r="AD128" s="33" t="n">
        <v>0</v>
      </c>
      <c r="AF128" s="21" t="n">
        <f aca="false">IF($J128=0,0,MAX(0,NETWORKDAYS(MAX($K128,AF$4),MIN($L128,EOMONTH(AF$4,0)),Assumptions!$F$4:$F$44))/NETWORKDAYS($K128,$L128,Assumptions!$F$4:$F$44))</f>
        <v>0</v>
      </c>
      <c r="AG128" s="21" t="n">
        <f aca="false">IF($J128=0,0,MAX(0,NETWORKDAYS(MAX($K128,AG$4),MIN($L128,EOMONTH(AG$4,0)),Assumptions!$F$4:$F$44))/NETWORKDAYS($K128,$L128,Assumptions!$F$4:$F$44))</f>
        <v>1</v>
      </c>
      <c r="AH128" s="21" t="n">
        <f aca="false">IF($J128=0,0,MAX(0,NETWORKDAYS(MAX($K128,AH$4),MIN($L128,EOMONTH(AH$4,0)),Assumptions!$F$4:$F$44))/NETWORKDAYS($K128,$L128,Assumptions!$F$4:$F$44))</f>
        <v>0</v>
      </c>
      <c r="AI128" s="21" t="n">
        <f aca="false">IF($J128=0,0,MAX(0,NETWORKDAYS(MAX($K128,AI$4),MIN($L128,EOMONTH(AI$4,0)),Assumptions!$F$4:$F$44))/NETWORKDAYS($K128,$L128,Assumptions!$F$4:$F$44))</f>
        <v>0</v>
      </c>
      <c r="AJ128" s="21" t="n">
        <f aca="false">IF($J128=0,0,MAX(0,NETWORKDAYS(MAX($K128,AJ$4),MIN($L128,EOMONTH(AJ$4,0)),Assumptions!$F$4:$F$44))/NETWORKDAYS($K128,$L128,Assumptions!$F$4:$F$44))</f>
        <v>0</v>
      </c>
      <c r="AK128" s="21" t="n">
        <f aca="false">IF($J128=0,0,MAX(0,NETWORKDAYS(MAX($K128,AK$4),MIN($L128,EOMONTH(AK$4,0)),Assumptions!$F$4:$F$44))/NETWORKDAYS($K128,$L128,Assumptions!$F$4:$F$44))</f>
        <v>0</v>
      </c>
      <c r="AL128" s="21" t="n">
        <f aca="false">IF($J128=0,0,MAX(0,NETWORKDAYS(MAX($K128,AL$4),MIN($L128,EOMONTH(AL$4,0)),Assumptions!$F$4:$F$44))/NETWORKDAYS($K128,$L128,Assumptions!$F$4:$F$44))</f>
        <v>0</v>
      </c>
      <c r="AM128" s="21" t="n">
        <f aca="false">IF($J128=0,0,MAX(0,NETWORKDAYS(MAX($K128,AM$4),MIN($L128,EOMONTH(AM$4,0)),Assumptions!$F$4:$F$44))/NETWORKDAYS($K128,$L128,Assumptions!$F$4:$F$44))</f>
        <v>0</v>
      </c>
      <c r="AN128" s="21" t="n">
        <f aca="false">IF($J128=0,0,MAX(0,NETWORKDAYS(MAX($K128,AN$4),MIN($L128,EOMONTH(AN$4,0)),Assumptions!$F$4:$F$44))/NETWORKDAYS($K128,$L128,Assumptions!$F$4:$F$44))</f>
        <v>0</v>
      </c>
      <c r="AO128" s="21" t="n">
        <f aca="false">IF($J128=0,0,MAX(0,NETWORKDAYS(MAX($K128,AO$4),MIN($L128,EOMONTH(AO$4,0)),Assumptions!$F$4:$F$44))/NETWORKDAYS($K128,$L128,Assumptions!$F$4:$F$44))</f>
        <v>0</v>
      </c>
      <c r="AP128" s="21" t="n">
        <f aca="false">IF($J128=0,0,MAX(0,NETWORKDAYS(MAX($K128,AP$4),MIN($L128,EOMONTH(AP$4,0)),Assumptions!$F$4:$F$44))/NETWORKDAYS($K128,$L128,Assumptions!$F$4:$F$44))</f>
        <v>0</v>
      </c>
      <c r="AQ128" s="21" t="n">
        <f aca="false">IF($J128=0,0,MAX(0,NETWORKDAYS(MAX($K128,AQ$4),MIN($L128,EOMONTH(AQ$4,0)),Assumptions!$F$4:$F$44))/NETWORKDAYS($K128,$L128,Assumptions!$F$4:$F$44))</f>
        <v>0</v>
      </c>
      <c r="AR128" s="21" t="n">
        <f aca="false">IF($J128=0,0,MAX(0,NETWORKDAYS(MAX($K128,AR$4),MIN($L128,EOMONTH(AR$4,0)),Assumptions!$F$4:$F$44))/NETWORKDAYS($K128,$L128,Assumptions!$F$4:$F$44))</f>
        <v>0</v>
      </c>
      <c r="AS128" s="21" t="n">
        <f aca="false">IF($J128=0,0,MAX(0,NETWORKDAYS(MAX($K128,AS$4),MIN($L128,EOMONTH(AS$4,0)),Assumptions!$F$4:$F$44))/NETWORKDAYS($K128,$L128,Assumptions!$F$4:$F$44))</f>
        <v>0</v>
      </c>
      <c r="AT128" s="21" t="n">
        <f aca="false">IF($J128=0,0,MAX(0,NETWORKDAYS(MAX($K128,AT$4),MIN($L128,EOMONTH(AT$4,0)),Assumptions!$F$4:$F$44))/NETWORKDAYS($K128,$L128,Assumptions!$F$4:$F$44))</f>
        <v>0</v>
      </c>
      <c r="AU128" s="21" t="n">
        <f aca="false">IF($J128=0,0,MAX(0,NETWORKDAYS(MAX($K128,AU$4),MIN($L128,EOMONTH(AU$4,0)),Assumptions!$F$4:$F$44))/NETWORKDAYS($K128,$L128,Assumptions!$F$4:$F$44))</f>
        <v>0</v>
      </c>
      <c r="AV128" s="21" t="n">
        <f aca="false">IF($J128=0,0,MAX(0,NETWORKDAYS(MAX($K128,AV$4),MIN($L128,EOMONTH(AV$4,0)),Assumptions!$F$4:$F$44))/NETWORKDAYS($K128,$L128,Assumptions!$F$4:$F$44))</f>
        <v>0</v>
      </c>
      <c r="AW128" s="21" t="n">
        <f aca="false">IF($J128=0,0,MAX(0,NETWORKDAYS(MAX($K128,AW$4),MIN($L128,EOMONTH(AW$4,0)),Assumptions!$F$4:$F$44))/NETWORKDAYS($K128,$L128,Assumptions!$F$4:$F$44))</f>
        <v>0</v>
      </c>
      <c r="AX128" s="21" t="n">
        <f aca="false">IF($J128=0,0,MAX(0,NETWORKDAYS(MAX($K128,AX$4),MIN($L128,EOMONTH(AX$4,0)),Assumptions!$F$4:$F$44))/NETWORKDAYS($K128,$L128,Assumptions!$F$4:$F$44))</f>
        <v>0</v>
      </c>
      <c r="AY128" s="21" t="n">
        <f aca="false">IF($J128=0,0,MAX(0,NETWORKDAYS(MAX($K128,AY$4),MIN($L128,EOMONTH(AY$4,0)),Assumptions!$F$4:$F$44))/NETWORKDAYS($K128,$L128,Assumptions!$F$4:$F$44))</f>
        <v>0</v>
      </c>
      <c r="AZ128" s="21" t="n">
        <f aca="false">IF($J128=0,0,MAX(0,NETWORKDAYS(MAX($K128,AZ$4),MIN($L128,EOMONTH(AZ$4,0)),Assumptions!$F$4:$F$44))/NETWORKDAYS($K128,$L128,Assumptions!$F$4:$F$44))</f>
        <v>0</v>
      </c>
      <c r="BA128" s="21" t="n">
        <f aca="false">IF($J128=0,0,MAX(0,NETWORKDAYS(MAX($K128,BA$4),MIN($L128,EOMONTH(BA$4,0)),Assumptions!$F$4:$F$44))/NETWORKDAYS($K128,$L128,Assumptions!$F$4:$F$44))</f>
        <v>0</v>
      </c>
      <c r="BB128" s="21" t="n">
        <f aca="false">IF($J128=0,0,MAX(0,NETWORKDAYS(MAX($K128,BB$4),MIN($L128,EOMONTH(BB$4,0)),Assumptions!$F$4:$F$44))/NETWORKDAYS($K128,$L128,Assumptions!$F$4:$F$44))</f>
        <v>0</v>
      </c>
      <c r="BC128" s="21" t="n">
        <f aca="false">IF($J128=0,0,MAX(0,NETWORKDAYS(MAX($K128,BC$4),MIN($L128,EOMONTH(BC$4,0)),Assumptions!$F$4:$F$44))/NETWORKDAYS($K128,$L128,Assumptions!$F$4:$F$44))</f>
        <v>0</v>
      </c>
    </row>
    <row r="129" customFormat="false" ht="15" hidden="false" customHeight="false" outlineLevel="2" collapsed="false">
      <c r="A129" s="27" t="n">
        <v>125</v>
      </c>
      <c r="B129" s="27" t="s">
        <v>358</v>
      </c>
      <c r="C129" s="27" t="n">
        <v>3</v>
      </c>
      <c r="D129" s="27" t="s">
        <v>92</v>
      </c>
      <c r="E129" s="28" t="s">
        <v>303</v>
      </c>
      <c r="F129" s="27" t="s">
        <v>154</v>
      </c>
      <c r="G129" s="27" t="s">
        <v>352</v>
      </c>
      <c r="H129" s="27" t="s">
        <v>47</v>
      </c>
      <c r="I129" s="29" t="n">
        <v>40</v>
      </c>
      <c r="J129" s="29" t="n">
        <v>47</v>
      </c>
      <c r="K129" s="30" t="n">
        <f aca="false">WORKDAY(Assumptions!$C$4,I129,Assumptions!$F$4:$F$44)</f>
        <v>46384</v>
      </c>
      <c r="L129" s="30" t="n">
        <f aca="false">IF(J129=0,K129,WORKDAY(K129,J129-1,Assumptions!$F$4:$F$44))</f>
        <v>46448</v>
      </c>
      <c r="M129" s="29" t="s">
        <v>359</v>
      </c>
      <c r="N129" s="31" t="n">
        <v>0</v>
      </c>
      <c r="O129" s="31" t="n">
        <v>0</v>
      </c>
      <c r="P129" s="31" t="n">
        <v>0</v>
      </c>
      <c r="Q129" s="31" t="n">
        <v>50</v>
      </c>
      <c r="R129" s="31" t="n">
        <v>0</v>
      </c>
      <c r="S129" s="31" t="n">
        <v>0</v>
      </c>
      <c r="T129" s="31" t="n">
        <v>0</v>
      </c>
      <c r="U129" s="31" t="n">
        <v>0</v>
      </c>
      <c r="V129" s="31" t="n">
        <v>0</v>
      </c>
      <c r="W129" s="31" t="n">
        <v>0</v>
      </c>
      <c r="X129" s="31" t="n">
        <v>0</v>
      </c>
      <c r="Y129" s="32" t="n">
        <f aca="false">SUM(N129:X129)</f>
        <v>50</v>
      </c>
      <c r="Z129" s="32" t="n">
        <f aca="false">Y129*(1+Assumptions!$C$5)</f>
        <v>57.5</v>
      </c>
      <c r="AA129" s="27" t="s">
        <v>305</v>
      </c>
      <c r="AB129" s="27" t="s">
        <v>95</v>
      </c>
      <c r="AC129" s="27"/>
      <c r="AD129" s="33" t="n">
        <v>0</v>
      </c>
      <c r="AF129" s="21" t="n">
        <f aca="false">IF($J129=0,0,MAX(0,NETWORKDAYS(MAX($K129,AF$4),MIN($L129,EOMONTH(AF$4,0)),Assumptions!$F$4:$F$44))/NETWORKDAYS($K129,$L129,Assumptions!$F$4:$F$44))</f>
        <v>0</v>
      </c>
      <c r="AG129" s="21" t="n">
        <f aca="false">IF($J129=0,0,MAX(0,NETWORKDAYS(MAX($K129,AG$4),MIN($L129,EOMONTH(AG$4,0)),Assumptions!$F$4:$F$44))/NETWORKDAYS($K129,$L129,Assumptions!$F$4:$F$44))</f>
        <v>0.0851063829787234</v>
      </c>
      <c r="AH129" s="21" t="n">
        <f aca="false">IF($J129=0,0,MAX(0,NETWORKDAYS(MAX($K129,AH$4),MIN($L129,EOMONTH(AH$4,0)),Assumptions!$F$4:$F$44))/NETWORKDAYS($K129,$L129,Assumptions!$F$4:$F$44))</f>
        <v>0.446808510638298</v>
      </c>
      <c r="AI129" s="21" t="n">
        <f aca="false">IF($J129=0,0,MAX(0,NETWORKDAYS(MAX($K129,AI$4),MIN($L129,EOMONTH(AI$4,0)),Assumptions!$F$4:$F$44))/NETWORKDAYS($K129,$L129,Assumptions!$F$4:$F$44))</f>
        <v>0.425531914893617</v>
      </c>
      <c r="AJ129" s="21" t="n">
        <f aca="false">IF($J129=0,0,MAX(0,NETWORKDAYS(MAX($K129,AJ$4),MIN($L129,EOMONTH(AJ$4,0)),Assumptions!$F$4:$F$44))/NETWORKDAYS($K129,$L129,Assumptions!$F$4:$F$44))</f>
        <v>0.0425531914893617</v>
      </c>
      <c r="AK129" s="21" t="n">
        <f aca="false">IF($J129=0,0,MAX(0,NETWORKDAYS(MAX($K129,AK$4),MIN($L129,EOMONTH(AK$4,0)),Assumptions!$F$4:$F$44))/NETWORKDAYS($K129,$L129,Assumptions!$F$4:$F$44))</f>
        <v>0</v>
      </c>
      <c r="AL129" s="21" t="n">
        <f aca="false">IF($J129=0,0,MAX(0,NETWORKDAYS(MAX($K129,AL$4),MIN($L129,EOMONTH(AL$4,0)),Assumptions!$F$4:$F$44))/NETWORKDAYS($K129,$L129,Assumptions!$F$4:$F$44))</f>
        <v>0</v>
      </c>
      <c r="AM129" s="21" t="n">
        <f aca="false">IF($J129=0,0,MAX(0,NETWORKDAYS(MAX($K129,AM$4),MIN($L129,EOMONTH(AM$4,0)),Assumptions!$F$4:$F$44))/NETWORKDAYS($K129,$L129,Assumptions!$F$4:$F$44))</f>
        <v>0</v>
      </c>
      <c r="AN129" s="21" t="n">
        <f aca="false">IF($J129=0,0,MAX(0,NETWORKDAYS(MAX($K129,AN$4),MIN($L129,EOMONTH(AN$4,0)),Assumptions!$F$4:$F$44))/NETWORKDAYS($K129,$L129,Assumptions!$F$4:$F$44))</f>
        <v>0</v>
      </c>
      <c r="AO129" s="21" t="n">
        <f aca="false">IF($J129=0,0,MAX(0,NETWORKDAYS(MAX($K129,AO$4),MIN($L129,EOMONTH(AO$4,0)),Assumptions!$F$4:$F$44))/NETWORKDAYS($K129,$L129,Assumptions!$F$4:$F$44))</f>
        <v>0</v>
      </c>
      <c r="AP129" s="21" t="n">
        <f aca="false">IF($J129=0,0,MAX(0,NETWORKDAYS(MAX($K129,AP$4),MIN($L129,EOMONTH(AP$4,0)),Assumptions!$F$4:$F$44))/NETWORKDAYS($K129,$L129,Assumptions!$F$4:$F$44))</f>
        <v>0</v>
      </c>
      <c r="AQ129" s="21" t="n">
        <f aca="false">IF($J129=0,0,MAX(0,NETWORKDAYS(MAX($K129,AQ$4),MIN($L129,EOMONTH(AQ$4,0)),Assumptions!$F$4:$F$44))/NETWORKDAYS($K129,$L129,Assumptions!$F$4:$F$44))</f>
        <v>0</v>
      </c>
      <c r="AR129" s="21" t="n">
        <f aca="false">IF($J129=0,0,MAX(0,NETWORKDAYS(MAX($K129,AR$4),MIN($L129,EOMONTH(AR$4,0)),Assumptions!$F$4:$F$44))/NETWORKDAYS($K129,$L129,Assumptions!$F$4:$F$44))</f>
        <v>0</v>
      </c>
      <c r="AS129" s="21" t="n">
        <f aca="false">IF($J129=0,0,MAX(0,NETWORKDAYS(MAX($K129,AS$4),MIN($L129,EOMONTH(AS$4,0)),Assumptions!$F$4:$F$44))/NETWORKDAYS($K129,$L129,Assumptions!$F$4:$F$44))</f>
        <v>0</v>
      </c>
      <c r="AT129" s="21" t="n">
        <f aca="false">IF($J129=0,0,MAX(0,NETWORKDAYS(MAX($K129,AT$4),MIN($L129,EOMONTH(AT$4,0)),Assumptions!$F$4:$F$44))/NETWORKDAYS($K129,$L129,Assumptions!$F$4:$F$44))</f>
        <v>0</v>
      </c>
      <c r="AU129" s="21" t="n">
        <f aca="false">IF($J129=0,0,MAX(0,NETWORKDAYS(MAX($K129,AU$4),MIN($L129,EOMONTH(AU$4,0)),Assumptions!$F$4:$F$44))/NETWORKDAYS($K129,$L129,Assumptions!$F$4:$F$44))</f>
        <v>0</v>
      </c>
      <c r="AV129" s="21" t="n">
        <f aca="false">IF($J129=0,0,MAX(0,NETWORKDAYS(MAX($K129,AV$4),MIN($L129,EOMONTH(AV$4,0)),Assumptions!$F$4:$F$44))/NETWORKDAYS($K129,$L129,Assumptions!$F$4:$F$44))</f>
        <v>0</v>
      </c>
      <c r="AW129" s="21" t="n">
        <f aca="false">IF($J129=0,0,MAX(0,NETWORKDAYS(MAX($K129,AW$4),MIN($L129,EOMONTH(AW$4,0)),Assumptions!$F$4:$F$44))/NETWORKDAYS($K129,$L129,Assumptions!$F$4:$F$44))</f>
        <v>0</v>
      </c>
      <c r="AX129" s="21" t="n">
        <f aca="false">IF($J129=0,0,MAX(0,NETWORKDAYS(MAX($K129,AX$4),MIN($L129,EOMONTH(AX$4,0)),Assumptions!$F$4:$F$44))/NETWORKDAYS($K129,$L129,Assumptions!$F$4:$F$44))</f>
        <v>0</v>
      </c>
      <c r="AY129" s="21" t="n">
        <f aca="false">IF($J129=0,0,MAX(0,NETWORKDAYS(MAX($K129,AY$4),MIN($L129,EOMONTH(AY$4,0)),Assumptions!$F$4:$F$44))/NETWORKDAYS($K129,$L129,Assumptions!$F$4:$F$44))</f>
        <v>0</v>
      </c>
      <c r="AZ129" s="21" t="n">
        <f aca="false">IF($J129=0,0,MAX(0,NETWORKDAYS(MAX($K129,AZ$4),MIN($L129,EOMONTH(AZ$4,0)),Assumptions!$F$4:$F$44))/NETWORKDAYS($K129,$L129,Assumptions!$F$4:$F$44))</f>
        <v>0</v>
      </c>
      <c r="BA129" s="21" t="n">
        <f aca="false">IF($J129=0,0,MAX(0,NETWORKDAYS(MAX($K129,BA$4),MIN($L129,EOMONTH(BA$4,0)),Assumptions!$F$4:$F$44))/NETWORKDAYS($K129,$L129,Assumptions!$F$4:$F$44))</f>
        <v>0</v>
      </c>
      <c r="BB129" s="21" t="n">
        <f aca="false">IF($J129=0,0,MAX(0,NETWORKDAYS(MAX($K129,BB$4),MIN($L129,EOMONTH(BB$4,0)),Assumptions!$F$4:$F$44))/NETWORKDAYS($K129,$L129,Assumptions!$F$4:$F$44))</f>
        <v>0</v>
      </c>
      <c r="BC129" s="21" t="n">
        <f aca="false">IF($J129=0,0,MAX(0,NETWORKDAYS(MAX($K129,BC$4),MIN($L129,EOMONTH(BC$4,0)),Assumptions!$F$4:$F$44))/NETWORKDAYS($K129,$L129,Assumptions!$F$4:$F$44))</f>
        <v>0</v>
      </c>
    </row>
    <row r="130" customFormat="false" ht="15" hidden="false" customHeight="false" outlineLevel="2" collapsed="false">
      <c r="A130" s="27" t="n">
        <v>126</v>
      </c>
      <c r="B130" s="27" t="s">
        <v>360</v>
      </c>
      <c r="C130" s="27" t="n">
        <v>3</v>
      </c>
      <c r="D130" s="27" t="s">
        <v>92</v>
      </c>
      <c r="E130" s="28" t="s">
        <v>307</v>
      </c>
      <c r="F130" s="27" t="s">
        <v>154</v>
      </c>
      <c r="G130" s="27" t="s">
        <v>352</v>
      </c>
      <c r="H130" s="27" t="s">
        <v>47</v>
      </c>
      <c r="I130" s="29" t="n">
        <v>54</v>
      </c>
      <c r="J130" s="29" t="n">
        <v>34</v>
      </c>
      <c r="K130" s="30" t="n">
        <f aca="false">WORKDAY(Assumptions!$C$4,I130,Assumptions!$F$4:$F$44)</f>
        <v>46402</v>
      </c>
      <c r="L130" s="30" t="n">
        <f aca="false">IF(J130=0,K130,WORKDAY(K130,J130-1,Assumptions!$F$4:$F$44))</f>
        <v>46449</v>
      </c>
      <c r="M130" s="29" t="s">
        <v>359</v>
      </c>
      <c r="N130" s="31" t="n">
        <v>0</v>
      </c>
      <c r="O130" s="31" t="n">
        <v>7</v>
      </c>
      <c r="P130" s="31" t="n">
        <v>0</v>
      </c>
      <c r="Q130" s="31" t="n">
        <v>17</v>
      </c>
      <c r="R130" s="31" t="n">
        <v>0</v>
      </c>
      <c r="S130" s="31" t="n">
        <v>0</v>
      </c>
      <c r="T130" s="31" t="n">
        <v>0</v>
      </c>
      <c r="U130" s="31" t="n">
        <v>0</v>
      </c>
      <c r="V130" s="31" t="n">
        <v>0</v>
      </c>
      <c r="W130" s="31" t="n">
        <v>0</v>
      </c>
      <c r="X130" s="31" t="n">
        <v>0</v>
      </c>
      <c r="Y130" s="32" t="n">
        <f aca="false">SUM(N130:X130)</f>
        <v>24</v>
      </c>
      <c r="Z130" s="32" t="n">
        <f aca="false">Y130*(1+Assumptions!$C$5)</f>
        <v>27.6</v>
      </c>
      <c r="AA130" s="27" t="s">
        <v>308</v>
      </c>
      <c r="AB130" s="27" t="s">
        <v>95</v>
      </c>
      <c r="AC130" s="27"/>
      <c r="AD130" s="33" t="n">
        <v>0</v>
      </c>
      <c r="AF130" s="21" t="n">
        <f aca="false">IF($J130=0,0,MAX(0,NETWORKDAYS(MAX($K130,AF$4),MIN($L130,EOMONTH(AF$4,0)),Assumptions!$F$4:$F$44))/NETWORKDAYS($K130,$L130,Assumptions!$F$4:$F$44))</f>
        <v>0</v>
      </c>
      <c r="AG130" s="21" t="n">
        <f aca="false">IF($J130=0,0,MAX(0,NETWORKDAYS(MAX($K130,AG$4),MIN($L130,EOMONTH(AG$4,0)),Assumptions!$F$4:$F$44))/NETWORKDAYS($K130,$L130,Assumptions!$F$4:$F$44))</f>
        <v>0</v>
      </c>
      <c r="AH130" s="21" t="n">
        <f aca="false">IF($J130=0,0,MAX(0,NETWORKDAYS(MAX($K130,AH$4),MIN($L130,EOMONTH(AH$4,0)),Assumptions!$F$4:$F$44))/NETWORKDAYS($K130,$L130,Assumptions!$F$4:$F$44))</f>
        <v>0.323529411764706</v>
      </c>
      <c r="AI130" s="21" t="n">
        <f aca="false">IF($J130=0,0,MAX(0,NETWORKDAYS(MAX($K130,AI$4),MIN($L130,EOMONTH(AI$4,0)),Assumptions!$F$4:$F$44))/NETWORKDAYS($K130,$L130,Assumptions!$F$4:$F$44))</f>
        <v>0.588235294117647</v>
      </c>
      <c r="AJ130" s="21" t="n">
        <f aca="false">IF($J130=0,0,MAX(0,NETWORKDAYS(MAX($K130,AJ$4),MIN($L130,EOMONTH(AJ$4,0)),Assumptions!$F$4:$F$44))/NETWORKDAYS($K130,$L130,Assumptions!$F$4:$F$44))</f>
        <v>0.0882352941176471</v>
      </c>
      <c r="AK130" s="21" t="n">
        <f aca="false">IF($J130=0,0,MAX(0,NETWORKDAYS(MAX($K130,AK$4),MIN($L130,EOMONTH(AK$4,0)),Assumptions!$F$4:$F$44))/NETWORKDAYS($K130,$L130,Assumptions!$F$4:$F$44))</f>
        <v>0</v>
      </c>
      <c r="AL130" s="21" t="n">
        <f aca="false">IF($J130=0,0,MAX(0,NETWORKDAYS(MAX($K130,AL$4),MIN($L130,EOMONTH(AL$4,0)),Assumptions!$F$4:$F$44))/NETWORKDAYS($K130,$L130,Assumptions!$F$4:$F$44))</f>
        <v>0</v>
      </c>
      <c r="AM130" s="21" t="n">
        <f aca="false">IF($J130=0,0,MAX(0,NETWORKDAYS(MAX($K130,AM$4),MIN($L130,EOMONTH(AM$4,0)),Assumptions!$F$4:$F$44))/NETWORKDAYS($K130,$L130,Assumptions!$F$4:$F$44))</f>
        <v>0</v>
      </c>
      <c r="AN130" s="21" t="n">
        <f aca="false">IF($J130=0,0,MAX(0,NETWORKDAYS(MAX($K130,AN$4),MIN($L130,EOMONTH(AN$4,0)),Assumptions!$F$4:$F$44))/NETWORKDAYS($K130,$L130,Assumptions!$F$4:$F$44))</f>
        <v>0</v>
      </c>
      <c r="AO130" s="21" t="n">
        <f aca="false">IF($J130=0,0,MAX(0,NETWORKDAYS(MAX($K130,AO$4),MIN($L130,EOMONTH(AO$4,0)),Assumptions!$F$4:$F$44))/NETWORKDAYS($K130,$L130,Assumptions!$F$4:$F$44))</f>
        <v>0</v>
      </c>
      <c r="AP130" s="21" t="n">
        <f aca="false">IF($J130=0,0,MAX(0,NETWORKDAYS(MAX($K130,AP$4),MIN($L130,EOMONTH(AP$4,0)),Assumptions!$F$4:$F$44))/NETWORKDAYS($K130,$L130,Assumptions!$F$4:$F$44))</f>
        <v>0</v>
      </c>
      <c r="AQ130" s="21" t="n">
        <f aca="false">IF($J130=0,0,MAX(0,NETWORKDAYS(MAX($K130,AQ$4),MIN($L130,EOMONTH(AQ$4,0)),Assumptions!$F$4:$F$44))/NETWORKDAYS($K130,$L130,Assumptions!$F$4:$F$44))</f>
        <v>0</v>
      </c>
      <c r="AR130" s="21" t="n">
        <f aca="false">IF($J130=0,0,MAX(0,NETWORKDAYS(MAX($K130,AR$4),MIN($L130,EOMONTH(AR$4,0)),Assumptions!$F$4:$F$44))/NETWORKDAYS($K130,$L130,Assumptions!$F$4:$F$44))</f>
        <v>0</v>
      </c>
      <c r="AS130" s="21" t="n">
        <f aca="false">IF($J130=0,0,MAX(0,NETWORKDAYS(MAX($K130,AS$4),MIN($L130,EOMONTH(AS$4,0)),Assumptions!$F$4:$F$44))/NETWORKDAYS($K130,$L130,Assumptions!$F$4:$F$44))</f>
        <v>0</v>
      </c>
      <c r="AT130" s="21" t="n">
        <f aca="false">IF($J130=0,0,MAX(0,NETWORKDAYS(MAX($K130,AT$4),MIN($L130,EOMONTH(AT$4,0)),Assumptions!$F$4:$F$44))/NETWORKDAYS($K130,$L130,Assumptions!$F$4:$F$44))</f>
        <v>0</v>
      </c>
      <c r="AU130" s="21" t="n">
        <f aca="false">IF($J130=0,0,MAX(0,NETWORKDAYS(MAX($K130,AU$4),MIN($L130,EOMONTH(AU$4,0)),Assumptions!$F$4:$F$44))/NETWORKDAYS($K130,$L130,Assumptions!$F$4:$F$44))</f>
        <v>0</v>
      </c>
      <c r="AV130" s="21" t="n">
        <f aca="false">IF($J130=0,0,MAX(0,NETWORKDAYS(MAX($K130,AV$4),MIN($L130,EOMONTH(AV$4,0)),Assumptions!$F$4:$F$44))/NETWORKDAYS($K130,$L130,Assumptions!$F$4:$F$44))</f>
        <v>0</v>
      </c>
      <c r="AW130" s="21" t="n">
        <f aca="false">IF($J130=0,0,MAX(0,NETWORKDAYS(MAX($K130,AW$4),MIN($L130,EOMONTH(AW$4,0)),Assumptions!$F$4:$F$44))/NETWORKDAYS($K130,$L130,Assumptions!$F$4:$F$44))</f>
        <v>0</v>
      </c>
      <c r="AX130" s="21" t="n">
        <f aca="false">IF($J130=0,0,MAX(0,NETWORKDAYS(MAX($K130,AX$4),MIN($L130,EOMONTH(AX$4,0)),Assumptions!$F$4:$F$44))/NETWORKDAYS($K130,$L130,Assumptions!$F$4:$F$44))</f>
        <v>0</v>
      </c>
      <c r="AY130" s="21" t="n">
        <f aca="false">IF($J130=0,0,MAX(0,NETWORKDAYS(MAX($K130,AY$4),MIN($L130,EOMONTH(AY$4,0)),Assumptions!$F$4:$F$44))/NETWORKDAYS($K130,$L130,Assumptions!$F$4:$F$44))</f>
        <v>0</v>
      </c>
      <c r="AZ130" s="21" t="n">
        <f aca="false">IF($J130=0,0,MAX(0,NETWORKDAYS(MAX($K130,AZ$4),MIN($L130,EOMONTH(AZ$4,0)),Assumptions!$F$4:$F$44))/NETWORKDAYS($K130,$L130,Assumptions!$F$4:$F$44))</f>
        <v>0</v>
      </c>
      <c r="BA130" s="21" t="n">
        <f aca="false">IF($J130=0,0,MAX(0,NETWORKDAYS(MAX($K130,BA$4),MIN($L130,EOMONTH(BA$4,0)),Assumptions!$F$4:$F$44))/NETWORKDAYS($K130,$L130,Assumptions!$F$4:$F$44))</f>
        <v>0</v>
      </c>
      <c r="BB130" s="21" t="n">
        <f aca="false">IF($J130=0,0,MAX(0,NETWORKDAYS(MAX($K130,BB$4),MIN($L130,EOMONTH(BB$4,0)),Assumptions!$F$4:$F$44))/NETWORKDAYS($K130,$L130,Assumptions!$F$4:$F$44))</f>
        <v>0</v>
      </c>
      <c r="BC130" s="21" t="n">
        <f aca="false">IF($J130=0,0,MAX(0,NETWORKDAYS(MAX($K130,BC$4),MIN($L130,EOMONTH(BC$4,0)),Assumptions!$F$4:$F$44))/NETWORKDAYS($K130,$L130,Assumptions!$F$4:$F$44))</f>
        <v>0</v>
      </c>
    </row>
    <row r="131" customFormat="false" ht="15" hidden="false" customHeight="false" outlineLevel="2" collapsed="false">
      <c r="A131" s="27" t="n">
        <v>127</v>
      </c>
      <c r="B131" s="27" t="s">
        <v>361</v>
      </c>
      <c r="C131" s="27" t="n">
        <v>3</v>
      </c>
      <c r="D131" s="27" t="s">
        <v>92</v>
      </c>
      <c r="E131" s="28" t="s">
        <v>310</v>
      </c>
      <c r="F131" s="27" t="s">
        <v>154</v>
      </c>
      <c r="G131" s="27" t="s">
        <v>352</v>
      </c>
      <c r="H131" s="27" t="s">
        <v>49</v>
      </c>
      <c r="I131" s="29" t="n">
        <v>48</v>
      </c>
      <c r="J131" s="29" t="n">
        <v>45</v>
      </c>
      <c r="K131" s="30" t="n">
        <f aca="false">WORKDAY(Assumptions!$C$4,I131,Assumptions!$F$4:$F$44)</f>
        <v>46394</v>
      </c>
      <c r="L131" s="30" t="n">
        <f aca="false">IF(J131=0,K131,WORKDAY(K131,J131-1,Assumptions!$F$4:$F$44))</f>
        <v>46456</v>
      </c>
      <c r="M131" s="29" t="s">
        <v>362</v>
      </c>
      <c r="N131" s="31" t="n">
        <v>0</v>
      </c>
      <c r="O131" s="31" t="n">
        <v>0</v>
      </c>
      <c r="P131" s="31" t="n">
        <v>0</v>
      </c>
      <c r="Q131" s="31" t="n">
        <v>0</v>
      </c>
      <c r="R131" s="31" t="n">
        <v>42</v>
      </c>
      <c r="S131" s="31" t="n">
        <v>0</v>
      </c>
      <c r="T131" s="31" t="n">
        <v>0</v>
      </c>
      <c r="U131" s="31" t="n">
        <v>0</v>
      </c>
      <c r="V131" s="31" t="n">
        <v>0</v>
      </c>
      <c r="W131" s="31" t="n">
        <v>0</v>
      </c>
      <c r="X131" s="31" t="n">
        <v>0</v>
      </c>
      <c r="Y131" s="32" t="n">
        <f aca="false">SUM(N131:X131)</f>
        <v>42</v>
      </c>
      <c r="Z131" s="32" t="n">
        <f aca="false">Y131*(1+Assumptions!$C$5)</f>
        <v>48.3</v>
      </c>
      <c r="AA131" s="27" t="s">
        <v>312</v>
      </c>
      <c r="AB131" s="27" t="s">
        <v>95</v>
      </c>
      <c r="AC131" s="27"/>
      <c r="AD131" s="33" t="n">
        <v>0</v>
      </c>
      <c r="AF131" s="21" t="n">
        <f aca="false">IF($J131=0,0,MAX(0,NETWORKDAYS(MAX($K131,AF$4),MIN($L131,EOMONTH(AF$4,0)),Assumptions!$F$4:$F$44))/NETWORKDAYS($K131,$L131,Assumptions!$F$4:$F$44))</f>
        <v>0</v>
      </c>
      <c r="AG131" s="21" t="n">
        <f aca="false">IF($J131=0,0,MAX(0,NETWORKDAYS(MAX($K131,AG$4),MIN($L131,EOMONTH(AG$4,0)),Assumptions!$F$4:$F$44))/NETWORKDAYS($K131,$L131,Assumptions!$F$4:$F$44))</f>
        <v>0</v>
      </c>
      <c r="AH131" s="21" t="n">
        <f aca="false">IF($J131=0,0,MAX(0,NETWORKDAYS(MAX($K131,AH$4),MIN($L131,EOMONTH(AH$4,0)),Assumptions!$F$4:$F$44))/NETWORKDAYS($K131,$L131,Assumptions!$F$4:$F$44))</f>
        <v>0.377777777777778</v>
      </c>
      <c r="AI131" s="21" t="n">
        <f aca="false">IF($J131=0,0,MAX(0,NETWORKDAYS(MAX($K131,AI$4),MIN($L131,EOMONTH(AI$4,0)),Assumptions!$F$4:$F$44))/NETWORKDAYS($K131,$L131,Assumptions!$F$4:$F$44))</f>
        <v>0.444444444444444</v>
      </c>
      <c r="AJ131" s="21" t="n">
        <f aca="false">IF($J131=0,0,MAX(0,NETWORKDAYS(MAX($K131,AJ$4),MIN($L131,EOMONTH(AJ$4,0)),Assumptions!$F$4:$F$44))/NETWORKDAYS($K131,$L131,Assumptions!$F$4:$F$44))</f>
        <v>0.177777777777778</v>
      </c>
      <c r="AK131" s="21" t="n">
        <f aca="false">IF($J131=0,0,MAX(0,NETWORKDAYS(MAX($K131,AK$4),MIN($L131,EOMONTH(AK$4,0)),Assumptions!$F$4:$F$44))/NETWORKDAYS($K131,$L131,Assumptions!$F$4:$F$44))</f>
        <v>0</v>
      </c>
      <c r="AL131" s="21" t="n">
        <f aca="false">IF($J131=0,0,MAX(0,NETWORKDAYS(MAX($K131,AL$4),MIN($L131,EOMONTH(AL$4,0)),Assumptions!$F$4:$F$44))/NETWORKDAYS($K131,$L131,Assumptions!$F$4:$F$44))</f>
        <v>0</v>
      </c>
      <c r="AM131" s="21" t="n">
        <f aca="false">IF($J131=0,0,MAX(0,NETWORKDAYS(MAX($K131,AM$4),MIN($L131,EOMONTH(AM$4,0)),Assumptions!$F$4:$F$44))/NETWORKDAYS($K131,$L131,Assumptions!$F$4:$F$44))</f>
        <v>0</v>
      </c>
      <c r="AN131" s="21" t="n">
        <f aca="false">IF($J131=0,0,MAX(0,NETWORKDAYS(MAX($K131,AN$4),MIN($L131,EOMONTH(AN$4,0)),Assumptions!$F$4:$F$44))/NETWORKDAYS($K131,$L131,Assumptions!$F$4:$F$44))</f>
        <v>0</v>
      </c>
      <c r="AO131" s="21" t="n">
        <f aca="false">IF($J131=0,0,MAX(0,NETWORKDAYS(MAX($K131,AO$4),MIN($L131,EOMONTH(AO$4,0)),Assumptions!$F$4:$F$44))/NETWORKDAYS($K131,$L131,Assumptions!$F$4:$F$44))</f>
        <v>0</v>
      </c>
      <c r="AP131" s="21" t="n">
        <f aca="false">IF($J131=0,0,MAX(0,NETWORKDAYS(MAX($K131,AP$4),MIN($L131,EOMONTH(AP$4,0)),Assumptions!$F$4:$F$44))/NETWORKDAYS($K131,$L131,Assumptions!$F$4:$F$44))</f>
        <v>0</v>
      </c>
      <c r="AQ131" s="21" t="n">
        <f aca="false">IF($J131=0,0,MAX(0,NETWORKDAYS(MAX($K131,AQ$4),MIN($L131,EOMONTH(AQ$4,0)),Assumptions!$F$4:$F$44))/NETWORKDAYS($K131,$L131,Assumptions!$F$4:$F$44))</f>
        <v>0</v>
      </c>
      <c r="AR131" s="21" t="n">
        <f aca="false">IF($J131=0,0,MAX(0,NETWORKDAYS(MAX($K131,AR$4),MIN($L131,EOMONTH(AR$4,0)),Assumptions!$F$4:$F$44))/NETWORKDAYS($K131,$L131,Assumptions!$F$4:$F$44))</f>
        <v>0</v>
      </c>
      <c r="AS131" s="21" t="n">
        <f aca="false">IF($J131=0,0,MAX(0,NETWORKDAYS(MAX($K131,AS$4),MIN($L131,EOMONTH(AS$4,0)),Assumptions!$F$4:$F$44))/NETWORKDAYS($K131,$L131,Assumptions!$F$4:$F$44))</f>
        <v>0</v>
      </c>
      <c r="AT131" s="21" t="n">
        <f aca="false">IF($J131=0,0,MAX(0,NETWORKDAYS(MAX($K131,AT$4),MIN($L131,EOMONTH(AT$4,0)),Assumptions!$F$4:$F$44))/NETWORKDAYS($K131,$L131,Assumptions!$F$4:$F$44))</f>
        <v>0</v>
      </c>
      <c r="AU131" s="21" t="n">
        <f aca="false">IF($J131=0,0,MAX(0,NETWORKDAYS(MAX($K131,AU$4),MIN($L131,EOMONTH(AU$4,0)),Assumptions!$F$4:$F$44))/NETWORKDAYS($K131,$L131,Assumptions!$F$4:$F$44))</f>
        <v>0</v>
      </c>
      <c r="AV131" s="21" t="n">
        <f aca="false">IF($J131=0,0,MAX(0,NETWORKDAYS(MAX($K131,AV$4),MIN($L131,EOMONTH(AV$4,0)),Assumptions!$F$4:$F$44))/NETWORKDAYS($K131,$L131,Assumptions!$F$4:$F$44))</f>
        <v>0</v>
      </c>
      <c r="AW131" s="21" t="n">
        <f aca="false">IF($J131=0,0,MAX(0,NETWORKDAYS(MAX($K131,AW$4),MIN($L131,EOMONTH(AW$4,0)),Assumptions!$F$4:$F$44))/NETWORKDAYS($K131,$L131,Assumptions!$F$4:$F$44))</f>
        <v>0</v>
      </c>
      <c r="AX131" s="21" t="n">
        <f aca="false">IF($J131=0,0,MAX(0,NETWORKDAYS(MAX($K131,AX$4),MIN($L131,EOMONTH(AX$4,0)),Assumptions!$F$4:$F$44))/NETWORKDAYS($K131,$L131,Assumptions!$F$4:$F$44))</f>
        <v>0</v>
      </c>
      <c r="AY131" s="21" t="n">
        <f aca="false">IF($J131=0,0,MAX(0,NETWORKDAYS(MAX($K131,AY$4),MIN($L131,EOMONTH(AY$4,0)),Assumptions!$F$4:$F$44))/NETWORKDAYS($K131,$L131,Assumptions!$F$4:$F$44))</f>
        <v>0</v>
      </c>
      <c r="AZ131" s="21" t="n">
        <f aca="false">IF($J131=0,0,MAX(0,NETWORKDAYS(MAX($K131,AZ$4),MIN($L131,EOMONTH(AZ$4,0)),Assumptions!$F$4:$F$44))/NETWORKDAYS($K131,$L131,Assumptions!$F$4:$F$44))</f>
        <v>0</v>
      </c>
      <c r="BA131" s="21" t="n">
        <f aca="false">IF($J131=0,0,MAX(0,NETWORKDAYS(MAX($K131,BA$4),MIN($L131,EOMONTH(BA$4,0)),Assumptions!$F$4:$F$44))/NETWORKDAYS($K131,$L131,Assumptions!$F$4:$F$44))</f>
        <v>0</v>
      </c>
      <c r="BB131" s="21" t="n">
        <f aca="false">IF($J131=0,0,MAX(0,NETWORKDAYS(MAX($K131,BB$4),MIN($L131,EOMONTH(BB$4,0)),Assumptions!$F$4:$F$44))/NETWORKDAYS($K131,$L131,Assumptions!$F$4:$F$44))</f>
        <v>0</v>
      </c>
      <c r="BC131" s="21" t="n">
        <f aca="false">IF($J131=0,0,MAX(0,NETWORKDAYS(MAX($K131,BC$4),MIN($L131,EOMONTH(BC$4,0)),Assumptions!$F$4:$F$44))/NETWORKDAYS($K131,$L131,Assumptions!$F$4:$F$44))</f>
        <v>0</v>
      </c>
    </row>
    <row r="132" customFormat="false" ht="15" hidden="false" customHeight="false" outlineLevel="2" collapsed="false">
      <c r="A132" s="27" t="n">
        <v>128</v>
      </c>
      <c r="B132" s="27" t="s">
        <v>363</v>
      </c>
      <c r="C132" s="27" t="n">
        <v>3</v>
      </c>
      <c r="D132" s="27" t="s">
        <v>92</v>
      </c>
      <c r="E132" s="28" t="s">
        <v>314</v>
      </c>
      <c r="F132" s="27" t="s">
        <v>154</v>
      </c>
      <c r="G132" s="27" t="s">
        <v>352</v>
      </c>
      <c r="H132" s="27" t="s">
        <v>49</v>
      </c>
      <c r="I132" s="29" t="n">
        <v>59</v>
      </c>
      <c r="J132" s="29" t="n">
        <v>34</v>
      </c>
      <c r="K132" s="30" t="n">
        <f aca="false">WORKDAY(Assumptions!$C$4,I132,Assumptions!$F$4:$F$44)</f>
        <v>46409</v>
      </c>
      <c r="L132" s="30" t="n">
        <f aca="false">IF(J132=0,K132,WORKDAY(K132,J132-1,Assumptions!$F$4:$F$44))</f>
        <v>46456</v>
      </c>
      <c r="M132" s="29" t="s">
        <v>362</v>
      </c>
      <c r="N132" s="31" t="n">
        <v>0</v>
      </c>
      <c r="O132" s="31" t="n">
        <v>0</v>
      </c>
      <c r="P132" s="31" t="n">
        <v>0</v>
      </c>
      <c r="Q132" s="31" t="n">
        <v>0</v>
      </c>
      <c r="R132" s="31" t="n">
        <v>20</v>
      </c>
      <c r="S132" s="31" t="n">
        <v>10</v>
      </c>
      <c r="T132" s="31" t="n">
        <v>0</v>
      </c>
      <c r="U132" s="31" t="n">
        <v>0</v>
      </c>
      <c r="V132" s="31" t="n">
        <v>0</v>
      </c>
      <c r="W132" s="31" t="n">
        <v>0</v>
      </c>
      <c r="X132" s="31" t="n">
        <v>0</v>
      </c>
      <c r="Y132" s="32" t="n">
        <f aca="false">SUM(N132:X132)</f>
        <v>30</v>
      </c>
      <c r="Z132" s="32" t="n">
        <f aca="false">Y132*(1+Assumptions!$C$5)</f>
        <v>34.5</v>
      </c>
      <c r="AA132" s="27" t="s">
        <v>315</v>
      </c>
      <c r="AB132" s="27" t="s">
        <v>95</v>
      </c>
      <c r="AC132" s="27"/>
      <c r="AD132" s="33" t="n">
        <v>0</v>
      </c>
      <c r="AF132" s="21" t="n">
        <f aca="false">IF($J132=0,0,MAX(0,NETWORKDAYS(MAX($K132,AF$4),MIN($L132,EOMONTH(AF$4,0)),Assumptions!$F$4:$F$44))/NETWORKDAYS($K132,$L132,Assumptions!$F$4:$F$44))</f>
        <v>0</v>
      </c>
      <c r="AG132" s="21" t="n">
        <f aca="false">IF($J132=0,0,MAX(0,NETWORKDAYS(MAX($K132,AG$4),MIN($L132,EOMONTH(AG$4,0)),Assumptions!$F$4:$F$44))/NETWORKDAYS($K132,$L132,Assumptions!$F$4:$F$44))</f>
        <v>0</v>
      </c>
      <c r="AH132" s="21" t="n">
        <f aca="false">IF($J132=0,0,MAX(0,NETWORKDAYS(MAX($K132,AH$4),MIN($L132,EOMONTH(AH$4,0)),Assumptions!$F$4:$F$44))/NETWORKDAYS($K132,$L132,Assumptions!$F$4:$F$44))</f>
        <v>0.176470588235294</v>
      </c>
      <c r="AI132" s="21" t="n">
        <f aca="false">IF($J132=0,0,MAX(0,NETWORKDAYS(MAX($K132,AI$4),MIN($L132,EOMONTH(AI$4,0)),Assumptions!$F$4:$F$44))/NETWORKDAYS($K132,$L132,Assumptions!$F$4:$F$44))</f>
        <v>0.588235294117647</v>
      </c>
      <c r="AJ132" s="21" t="n">
        <f aca="false">IF($J132=0,0,MAX(0,NETWORKDAYS(MAX($K132,AJ$4),MIN($L132,EOMONTH(AJ$4,0)),Assumptions!$F$4:$F$44))/NETWORKDAYS($K132,$L132,Assumptions!$F$4:$F$44))</f>
        <v>0.235294117647059</v>
      </c>
      <c r="AK132" s="21" t="n">
        <f aca="false">IF($J132=0,0,MAX(0,NETWORKDAYS(MAX($K132,AK$4),MIN($L132,EOMONTH(AK$4,0)),Assumptions!$F$4:$F$44))/NETWORKDAYS($K132,$L132,Assumptions!$F$4:$F$44))</f>
        <v>0</v>
      </c>
      <c r="AL132" s="21" t="n">
        <f aca="false">IF($J132=0,0,MAX(0,NETWORKDAYS(MAX($K132,AL$4),MIN($L132,EOMONTH(AL$4,0)),Assumptions!$F$4:$F$44))/NETWORKDAYS($K132,$L132,Assumptions!$F$4:$F$44))</f>
        <v>0</v>
      </c>
      <c r="AM132" s="21" t="n">
        <f aca="false">IF($J132=0,0,MAX(0,NETWORKDAYS(MAX($K132,AM$4),MIN($L132,EOMONTH(AM$4,0)),Assumptions!$F$4:$F$44))/NETWORKDAYS($K132,$L132,Assumptions!$F$4:$F$44))</f>
        <v>0</v>
      </c>
      <c r="AN132" s="21" t="n">
        <f aca="false">IF($J132=0,0,MAX(0,NETWORKDAYS(MAX($K132,AN$4),MIN($L132,EOMONTH(AN$4,0)),Assumptions!$F$4:$F$44))/NETWORKDAYS($K132,$L132,Assumptions!$F$4:$F$44))</f>
        <v>0</v>
      </c>
      <c r="AO132" s="21" t="n">
        <f aca="false">IF($J132=0,0,MAX(0,NETWORKDAYS(MAX($K132,AO$4),MIN($L132,EOMONTH(AO$4,0)),Assumptions!$F$4:$F$44))/NETWORKDAYS($K132,$L132,Assumptions!$F$4:$F$44))</f>
        <v>0</v>
      </c>
      <c r="AP132" s="21" t="n">
        <f aca="false">IF($J132=0,0,MAX(0,NETWORKDAYS(MAX($K132,AP$4),MIN($L132,EOMONTH(AP$4,0)),Assumptions!$F$4:$F$44))/NETWORKDAYS($K132,$L132,Assumptions!$F$4:$F$44))</f>
        <v>0</v>
      </c>
      <c r="AQ132" s="21" t="n">
        <f aca="false">IF($J132=0,0,MAX(0,NETWORKDAYS(MAX($K132,AQ$4),MIN($L132,EOMONTH(AQ$4,0)),Assumptions!$F$4:$F$44))/NETWORKDAYS($K132,$L132,Assumptions!$F$4:$F$44))</f>
        <v>0</v>
      </c>
      <c r="AR132" s="21" t="n">
        <f aca="false">IF($J132=0,0,MAX(0,NETWORKDAYS(MAX($K132,AR$4),MIN($L132,EOMONTH(AR$4,0)),Assumptions!$F$4:$F$44))/NETWORKDAYS($K132,$L132,Assumptions!$F$4:$F$44))</f>
        <v>0</v>
      </c>
      <c r="AS132" s="21" t="n">
        <f aca="false">IF($J132=0,0,MAX(0,NETWORKDAYS(MAX($K132,AS$4),MIN($L132,EOMONTH(AS$4,0)),Assumptions!$F$4:$F$44))/NETWORKDAYS($K132,$L132,Assumptions!$F$4:$F$44))</f>
        <v>0</v>
      </c>
      <c r="AT132" s="21" t="n">
        <f aca="false">IF($J132=0,0,MAX(0,NETWORKDAYS(MAX($K132,AT$4),MIN($L132,EOMONTH(AT$4,0)),Assumptions!$F$4:$F$44))/NETWORKDAYS($K132,$L132,Assumptions!$F$4:$F$44))</f>
        <v>0</v>
      </c>
      <c r="AU132" s="21" t="n">
        <f aca="false">IF($J132=0,0,MAX(0,NETWORKDAYS(MAX($K132,AU$4),MIN($L132,EOMONTH(AU$4,0)),Assumptions!$F$4:$F$44))/NETWORKDAYS($K132,$L132,Assumptions!$F$4:$F$44))</f>
        <v>0</v>
      </c>
      <c r="AV132" s="21" t="n">
        <f aca="false">IF($J132=0,0,MAX(0,NETWORKDAYS(MAX($K132,AV$4),MIN($L132,EOMONTH(AV$4,0)),Assumptions!$F$4:$F$44))/NETWORKDAYS($K132,$L132,Assumptions!$F$4:$F$44))</f>
        <v>0</v>
      </c>
      <c r="AW132" s="21" t="n">
        <f aca="false">IF($J132=0,0,MAX(0,NETWORKDAYS(MAX($K132,AW$4),MIN($L132,EOMONTH(AW$4,0)),Assumptions!$F$4:$F$44))/NETWORKDAYS($K132,$L132,Assumptions!$F$4:$F$44))</f>
        <v>0</v>
      </c>
      <c r="AX132" s="21" t="n">
        <f aca="false">IF($J132=0,0,MAX(0,NETWORKDAYS(MAX($K132,AX$4),MIN($L132,EOMONTH(AX$4,0)),Assumptions!$F$4:$F$44))/NETWORKDAYS($K132,$L132,Assumptions!$F$4:$F$44))</f>
        <v>0</v>
      </c>
      <c r="AY132" s="21" t="n">
        <f aca="false">IF($J132=0,0,MAX(0,NETWORKDAYS(MAX($K132,AY$4),MIN($L132,EOMONTH(AY$4,0)),Assumptions!$F$4:$F$44))/NETWORKDAYS($K132,$L132,Assumptions!$F$4:$F$44))</f>
        <v>0</v>
      </c>
      <c r="AZ132" s="21" t="n">
        <f aca="false">IF($J132=0,0,MAX(0,NETWORKDAYS(MAX($K132,AZ$4),MIN($L132,EOMONTH(AZ$4,0)),Assumptions!$F$4:$F$44))/NETWORKDAYS($K132,$L132,Assumptions!$F$4:$F$44))</f>
        <v>0</v>
      </c>
      <c r="BA132" s="21" t="n">
        <f aca="false">IF($J132=0,0,MAX(0,NETWORKDAYS(MAX($K132,BA$4),MIN($L132,EOMONTH(BA$4,0)),Assumptions!$F$4:$F$44))/NETWORKDAYS($K132,$L132,Assumptions!$F$4:$F$44))</f>
        <v>0</v>
      </c>
      <c r="BB132" s="21" t="n">
        <f aca="false">IF($J132=0,0,MAX(0,NETWORKDAYS(MAX($K132,BB$4),MIN($L132,EOMONTH(BB$4,0)),Assumptions!$F$4:$F$44))/NETWORKDAYS($K132,$L132,Assumptions!$F$4:$F$44))</f>
        <v>0</v>
      </c>
      <c r="BC132" s="21" t="n">
        <f aca="false">IF($J132=0,0,MAX(0,NETWORKDAYS(MAX($K132,BC$4),MIN($L132,EOMONTH(BC$4,0)),Assumptions!$F$4:$F$44))/NETWORKDAYS($K132,$L132,Assumptions!$F$4:$F$44))</f>
        <v>0</v>
      </c>
    </row>
    <row r="133" customFormat="false" ht="15" hidden="false" customHeight="false" outlineLevel="2" collapsed="false">
      <c r="A133" s="27" t="n">
        <v>129</v>
      </c>
      <c r="B133" s="27" t="s">
        <v>364</v>
      </c>
      <c r="C133" s="27" t="n">
        <v>3</v>
      </c>
      <c r="D133" s="27" t="s">
        <v>92</v>
      </c>
      <c r="E133" s="28" t="s">
        <v>317</v>
      </c>
      <c r="F133" s="27" t="s">
        <v>154</v>
      </c>
      <c r="G133" s="27" t="s">
        <v>352</v>
      </c>
      <c r="H133" s="27" t="s">
        <v>51</v>
      </c>
      <c r="I133" s="29" t="n">
        <v>59</v>
      </c>
      <c r="J133" s="29" t="n">
        <v>34</v>
      </c>
      <c r="K133" s="30" t="n">
        <f aca="false">WORKDAY(Assumptions!$C$4,I133,Assumptions!$F$4:$F$44)</f>
        <v>46409</v>
      </c>
      <c r="L133" s="30" t="n">
        <f aca="false">IF(J133=0,K133,WORKDAY(K133,J133-1,Assumptions!$F$4:$F$44))</f>
        <v>46456</v>
      </c>
      <c r="M133" s="29" t="s">
        <v>362</v>
      </c>
      <c r="N133" s="31" t="n">
        <v>0</v>
      </c>
      <c r="O133" s="31" t="n">
        <v>0</v>
      </c>
      <c r="P133" s="31" t="n">
        <v>0</v>
      </c>
      <c r="Q133" s="31" t="n">
        <v>0</v>
      </c>
      <c r="R133" s="31" t="n">
        <v>0</v>
      </c>
      <c r="S133" s="31" t="n">
        <v>20</v>
      </c>
      <c r="T133" s="31" t="n">
        <v>0</v>
      </c>
      <c r="U133" s="31" t="n">
        <v>0</v>
      </c>
      <c r="V133" s="31" t="n">
        <v>0</v>
      </c>
      <c r="W133" s="31" t="n">
        <v>0</v>
      </c>
      <c r="X133" s="31" t="n">
        <v>0</v>
      </c>
      <c r="Y133" s="32" t="n">
        <f aca="false">SUM(N133:X133)</f>
        <v>20</v>
      </c>
      <c r="Z133" s="32" t="n">
        <f aca="false">Y133*(1+Assumptions!$C$5)</f>
        <v>23</v>
      </c>
      <c r="AA133" s="27" t="s">
        <v>318</v>
      </c>
      <c r="AB133" s="27" t="s">
        <v>95</v>
      </c>
      <c r="AC133" s="27"/>
      <c r="AD133" s="33" t="n">
        <v>0</v>
      </c>
      <c r="AF133" s="21" t="n">
        <f aca="false">IF($J133=0,0,MAX(0,NETWORKDAYS(MAX($K133,AF$4),MIN($L133,EOMONTH(AF$4,0)),Assumptions!$F$4:$F$44))/NETWORKDAYS($K133,$L133,Assumptions!$F$4:$F$44))</f>
        <v>0</v>
      </c>
      <c r="AG133" s="21" t="n">
        <f aca="false">IF($J133=0,0,MAX(0,NETWORKDAYS(MAX($K133,AG$4),MIN($L133,EOMONTH(AG$4,0)),Assumptions!$F$4:$F$44))/NETWORKDAYS($K133,$L133,Assumptions!$F$4:$F$44))</f>
        <v>0</v>
      </c>
      <c r="AH133" s="21" t="n">
        <f aca="false">IF($J133=0,0,MAX(0,NETWORKDAYS(MAX($K133,AH$4),MIN($L133,EOMONTH(AH$4,0)),Assumptions!$F$4:$F$44))/NETWORKDAYS($K133,$L133,Assumptions!$F$4:$F$44))</f>
        <v>0.176470588235294</v>
      </c>
      <c r="AI133" s="21" t="n">
        <f aca="false">IF($J133=0,0,MAX(0,NETWORKDAYS(MAX($K133,AI$4),MIN($L133,EOMONTH(AI$4,0)),Assumptions!$F$4:$F$44))/NETWORKDAYS($K133,$L133,Assumptions!$F$4:$F$44))</f>
        <v>0.588235294117647</v>
      </c>
      <c r="AJ133" s="21" t="n">
        <f aca="false">IF($J133=0,0,MAX(0,NETWORKDAYS(MAX($K133,AJ$4),MIN($L133,EOMONTH(AJ$4,0)),Assumptions!$F$4:$F$44))/NETWORKDAYS($K133,$L133,Assumptions!$F$4:$F$44))</f>
        <v>0.235294117647059</v>
      </c>
      <c r="AK133" s="21" t="n">
        <f aca="false">IF($J133=0,0,MAX(0,NETWORKDAYS(MAX($K133,AK$4),MIN($L133,EOMONTH(AK$4,0)),Assumptions!$F$4:$F$44))/NETWORKDAYS($K133,$L133,Assumptions!$F$4:$F$44))</f>
        <v>0</v>
      </c>
      <c r="AL133" s="21" t="n">
        <f aca="false">IF($J133=0,0,MAX(0,NETWORKDAYS(MAX($K133,AL$4),MIN($L133,EOMONTH(AL$4,0)),Assumptions!$F$4:$F$44))/NETWORKDAYS($K133,$L133,Assumptions!$F$4:$F$44))</f>
        <v>0</v>
      </c>
      <c r="AM133" s="21" t="n">
        <f aca="false">IF($J133=0,0,MAX(0,NETWORKDAYS(MAX($K133,AM$4),MIN($L133,EOMONTH(AM$4,0)),Assumptions!$F$4:$F$44))/NETWORKDAYS($K133,$L133,Assumptions!$F$4:$F$44))</f>
        <v>0</v>
      </c>
      <c r="AN133" s="21" t="n">
        <f aca="false">IF($J133=0,0,MAX(0,NETWORKDAYS(MAX($K133,AN$4),MIN($L133,EOMONTH(AN$4,0)),Assumptions!$F$4:$F$44))/NETWORKDAYS($K133,$L133,Assumptions!$F$4:$F$44))</f>
        <v>0</v>
      </c>
      <c r="AO133" s="21" t="n">
        <f aca="false">IF($J133=0,0,MAX(0,NETWORKDAYS(MAX($K133,AO$4),MIN($L133,EOMONTH(AO$4,0)),Assumptions!$F$4:$F$44))/NETWORKDAYS($K133,$L133,Assumptions!$F$4:$F$44))</f>
        <v>0</v>
      </c>
      <c r="AP133" s="21" t="n">
        <f aca="false">IF($J133=0,0,MAX(0,NETWORKDAYS(MAX($K133,AP$4),MIN($L133,EOMONTH(AP$4,0)),Assumptions!$F$4:$F$44))/NETWORKDAYS($K133,$L133,Assumptions!$F$4:$F$44))</f>
        <v>0</v>
      </c>
      <c r="AQ133" s="21" t="n">
        <f aca="false">IF($J133=0,0,MAX(0,NETWORKDAYS(MAX($K133,AQ$4),MIN($L133,EOMONTH(AQ$4,0)),Assumptions!$F$4:$F$44))/NETWORKDAYS($K133,$L133,Assumptions!$F$4:$F$44))</f>
        <v>0</v>
      </c>
      <c r="AR133" s="21" t="n">
        <f aca="false">IF($J133=0,0,MAX(0,NETWORKDAYS(MAX($K133,AR$4),MIN($L133,EOMONTH(AR$4,0)),Assumptions!$F$4:$F$44))/NETWORKDAYS($K133,$L133,Assumptions!$F$4:$F$44))</f>
        <v>0</v>
      </c>
      <c r="AS133" s="21" t="n">
        <f aca="false">IF($J133=0,0,MAX(0,NETWORKDAYS(MAX($K133,AS$4),MIN($L133,EOMONTH(AS$4,0)),Assumptions!$F$4:$F$44))/NETWORKDAYS($K133,$L133,Assumptions!$F$4:$F$44))</f>
        <v>0</v>
      </c>
      <c r="AT133" s="21" t="n">
        <f aca="false">IF($J133=0,0,MAX(0,NETWORKDAYS(MAX($K133,AT$4),MIN($L133,EOMONTH(AT$4,0)),Assumptions!$F$4:$F$44))/NETWORKDAYS($K133,$L133,Assumptions!$F$4:$F$44))</f>
        <v>0</v>
      </c>
      <c r="AU133" s="21" t="n">
        <f aca="false">IF($J133=0,0,MAX(0,NETWORKDAYS(MAX($K133,AU$4),MIN($L133,EOMONTH(AU$4,0)),Assumptions!$F$4:$F$44))/NETWORKDAYS($K133,$L133,Assumptions!$F$4:$F$44))</f>
        <v>0</v>
      </c>
      <c r="AV133" s="21" t="n">
        <f aca="false">IF($J133=0,0,MAX(0,NETWORKDAYS(MAX($K133,AV$4),MIN($L133,EOMONTH(AV$4,0)),Assumptions!$F$4:$F$44))/NETWORKDAYS($K133,$L133,Assumptions!$F$4:$F$44))</f>
        <v>0</v>
      </c>
      <c r="AW133" s="21" t="n">
        <f aca="false">IF($J133=0,0,MAX(0,NETWORKDAYS(MAX($K133,AW$4),MIN($L133,EOMONTH(AW$4,0)),Assumptions!$F$4:$F$44))/NETWORKDAYS($K133,$L133,Assumptions!$F$4:$F$44))</f>
        <v>0</v>
      </c>
      <c r="AX133" s="21" t="n">
        <f aca="false">IF($J133=0,0,MAX(0,NETWORKDAYS(MAX($K133,AX$4),MIN($L133,EOMONTH(AX$4,0)),Assumptions!$F$4:$F$44))/NETWORKDAYS($K133,$L133,Assumptions!$F$4:$F$44))</f>
        <v>0</v>
      </c>
      <c r="AY133" s="21" t="n">
        <f aca="false">IF($J133=0,0,MAX(0,NETWORKDAYS(MAX($K133,AY$4),MIN($L133,EOMONTH(AY$4,0)),Assumptions!$F$4:$F$44))/NETWORKDAYS($K133,$L133,Assumptions!$F$4:$F$44))</f>
        <v>0</v>
      </c>
      <c r="AZ133" s="21" t="n">
        <f aca="false">IF($J133=0,0,MAX(0,NETWORKDAYS(MAX($K133,AZ$4),MIN($L133,EOMONTH(AZ$4,0)),Assumptions!$F$4:$F$44))/NETWORKDAYS($K133,$L133,Assumptions!$F$4:$F$44))</f>
        <v>0</v>
      </c>
      <c r="BA133" s="21" t="n">
        <f aca="false">IF($J133=0,0,MAX(0,NETWORKDAYS(MAX($K133,BA$4),MIN($L133,EOMONTH(BA$4,0)),Assumptions!$F$4:$F$44))/NETWORKDAYS($K133,$L133,Assumptions!$F$4:$F$44))</f>
        <v>0</v>
      </c>
      <c r="BB133" s="21" t="n">
        <f aca="false">IF($J133=0,0,MAX(0,NETWORKDAYS(MAX($K133,BB$4),MIN($L133,EOMONTH(BB$4,0)),Assumptions!$F$4:$F$44))/NETWORKDAYS($K133,$L133,Assumptions!$F$4:$F$44))</f>
        <v>0</v>
      </c>
      <c r="BC133" s="21" t="n">
        <f aca="false">IF($J133=0,0,MAX(0,NETWORKDAYS(MAX($K133,BC$4),MIN($L133,EOMONTH(BC$4,0)),Assumptions!$F$4:$F$44))/NETWORKDAYS($K133,$L133,Assumptions!$F$4:$F$44))</f>
        <v>0</v>
      </c>
    </row>
    <row r="134" customFormat="false" ht="15" hidden="false" customHeight="false" outlineLevel="2" collapsed="false">
      <c r="A134" s="27" t="n">
        <v>130</v>
      </c>
      <c r="B134" s="27" t="s">
        <v>365</v>
      </c>
      <c r="C134" s="27" t="n">
        <v>3</v>
      </c>
      <c r="D134" s="27" t="s">
        <v>92</v>
      </c>
      <c r="E134" s="28" t="s">
        <v>320</v>
      </c>
      <c r="F134" s="27" t="s">
        <v>154</v>
      </c>
      <c r="G134" s="27" t="s">
        <v>352</v>
      </c>
      <c r="H134" s="27" t="s">
        <v>53</v>
      </c>
      <c r="I134" s="29" t="n">
        <v>48</v>
      </c>
      <c r="J134" s="29" t="n">
        <v>39</v>
      </c>
      <c r="K134" s="30" t="n">
        <f aca="false">WORKDAY(Assumptions!$C$4,I134,Assumptions!$F$4:$F$44)</f>
        <v>46394</v>
      </c>
      <c r="L134" s="30" t="n">
        <f aca="false">IF(J134=0,K134,WORKDAY(K134,J134-1,Assumptions!$F$4:$F$44))</f>
        <v>46448</v>
      </c>
      <c r="M134" s="29" t="s">
        <v>359</v>
      </c>
      <c r="N134" s="31" t="n">
        <v>0</v>
      </c>
      <c r="O134" s="31" t="n">
        <v>0</v>
      </c>
      <c r="P134" s="31" t="n">
        <v>0</v>
      </c>
      <c r="Q134" s="31" t="n">
        <v>0</v>
      </c>
      <c r="R134" s="31" t="n">
        <v>0</v>
      </c>
      <c r="S134" s="31" t="n">
        <v>0</v>
      </c>
      <c r="T134" s="31" t="n">
        <v>17</v>
      </c>
      <c r="U134" s="31" t="n">
        <v>0</v>
      </c>
      <c r="V134" s="31" t="n">
        <v>0</v>
      </c>
      <c r="W134" s="31" t="n">
        <v>0</v>
      </c>
      <c r="X134" s="31" t="n">
        <v>0</v>
      </c>
      <c r="Y134" s="32" t="n">
        <f aca="false">SUM(N134:X134)</f>
        <v>17</v>
      </c>
      <c r="Z134" s="32" t="n">
        <f aca="false">Y134*(1+Assumptions!$C$5)</f>
        <v>19.55</v>
      </c>
      <c r="AA134" s="27" t="s">
        <v>321</v>
      </c>
      <c r="AB134" s="27" t="s">
        <v>95</v>
      </c>
      <c r="AC134" s="27"/>
      <c r="AD134" s="33" t="n">
        <v>0</v>
      </c>
      <c r="AF134" s="21" t="n">
        <f aca="false">IF($J134=0,0,MAX(0,NETWORKDAYS(MAX($K134,AF$4),MIN($L134,EOMONTH(AF$4,0)),Assumptions!$F$4:$F$44))/NETWORKDAYS($K134,$L134,Assumptions!$F$4:$F$44))</f>
        <v>0</v>
      </c>
      <c r="AG134" s="21" t="n">
        <f aca="false">IF($J134=0,0,MAX(0,NETWORKDAYS(MAX($K134,AG$4),MIN($L134,EOMONTH(AG$4,0)),Assumptions!$F$4:$F$44))/NETWORKDAYS($K134,$L134,Assumptions!$F$4:$F$44))</f>
        <v>0</v>
      </c>
      <c r="AH134" s="21" t="n">
        <f aca="false">IF($J134=0,0,MAX(0,NETWORKDAYS(MAX($K134,AH$4),MIN($L134,EOMONTH(AH$4,0)),Assumptions!$F$4:$F$44))/NETWORKDAYS($K134,$L134,Assumptions!$F$4:$F$44))</f>
        <v>0.435897435897436</v>
      </c>
      <c r="AI134" s="21" t="n">
        <f aca="false">IF($J134=0,0,MAX(0,NETWORKDAYS(MAX($K134,AI$4),MIN($L134,EOMONTH(AI$4,0)),Assumptions!$F$4:$F$44))/NETWORKDAYS($K134,$L134,Assumptions!$F$4:$F$44))</f>
        <v>0.512820512820513</v>
      </c>
      <c r="AJ134" s="21" t="n">
        <f aca="false">IF($J134=0,0,MAX(0,NETWORKDAYS(MAX($K134,AJ$4),MIN($L134,EOMONTH(AJ$4,0)),Assumptions!$F$4:$F$44))/NETWORKDAYS($K134,$L134,Assumptions!$F$4:$F$44))</f>
        <v>0.0512820512820513</v>
      </c>
      <c r="AK134" s="21" t="n">
        <f aca="false">IF($J134=0,0,MAX(0,NETWORKDAYS(MAX($K134,AK$4),MIN($L134,EOMONTH(AK$4,0)),Assumptions!$F$4:$F$44))/NETWORKDAYS($K134,$L134,Assumptions!$F$4:$F$44))</f>
        <v>0</v>
      </c>
      <c r="AL134" s="21" t="n">
        <f aca="false">IF($J134=0,0,MAX(0,NETWORKDAYS(MAX($K134,AL$4),MIN($L134,EOMONTH(AL$4,0)),Assumptions!$F$4:$F$44))/NETWORKDAYS($K134,$L134,Assumptions!$F$4:$F$44))</f>
        <v>0</v>
      </c>
      <c r="AM134" s="21" t="n">
        <f aca="false">IF($J134=0,0,MAX(0,NETWORKDAYS(MAX($K134,AM$4),MIN($L134,EOMONTH(AM$4,0)),Assumptions!$F$4:$F$44))/NETWORKDAYS($K134,$L134,Assumptions!$F$4:$F$44))</f>
        <v>0</v>
      </c>
      <c r="AN134" s="21" t="n">
        <f aca="false">IF($J134=0,0,MAX(0,NETWORKDAYS(MAX($K134,AN$4),MIN($L134,EOMONTH(AN$4,0)),Assumptions!$F$4:$F$44))/NETWORKDAYS($K134,$L134,Assumptions!$F$4:$F$44))</f>
        <v>0</v>
      </c>
      <c r="AO134" s="21" t="n">
        <f aca="false">IF($J134=0,0,MAX(0,NETWORKDAYS(MAX($K134,AO$4),MIN($L134,EOMONTH(AO$4,0)),Assumptions!$F$4:$F$44))/NETWORKDAYS($K134,$L134,Assumptions!$F$4:$F$44))</f>
        <v>0</v>
      </c>
      <c r="AP134" s="21" t="n">
        <f aca="false">IF($J134=0,0,MAX(0,NETWORKDAYS(MAX($K134,AP$4),MIN($L134,EOMONTH(AP$4,0)),Assumptions!$F$4:$F$44))/NETWORKDAYS($K134,$L134,Assumptions!$F$4:$F$44))</f>
        <v>0</v>
      </c>
      <c r="AQ134" s="21" t="n">
        <f aca="false">IF($J134=0,0,MAX(0,NETWORKDAYS(MAX($K134,AQ$4),MIN($L134,EOMONTH(AQ$4,0)),Assumptions!$F$4:$F$44))/NETWORKDAYS($K134,$L134,Assumptions!$F$4:$F$44))</f>
        <v>0</v>
      </c>
      <c r="AR134" s="21" t="n">
        <f aca="false">IF($J134=0,0,MAX(0,NETWORKDAYS(MAX($K134,AR$4),MIN($L134,EOMONTH(AR$4,0)),Assumptions!$F$4:$F$44))/NETWORKDAYS($K134,$L134,Assumptions!$F$4:$F$44))</f>
        <v>0</v>
      </c>
      <c r="AS134" s="21" t="n">
        <f aca="false">IF($J134=0,0,MAX(0,NETWORKDAYS(MAX($K134,AS$4),MIN($L134,EOMONTH(AS$4,0)),Assumptions!$F$4:$F$44))/NETWORKDAYS($K134,$L134,Assumptions!$F$4:$F$44))</f>
        <v>0</v>
      </c>
      <c r="AT134" s="21" t="n">
        <f aca="false">IF($J134=0,0,MAX(0,NETWORKDAYS(MAX($K134,AT$4),MIN($L134,EOMONTH(AT$4,0)),Assumptions!$F$4:$F$44))/NETWORKDAYS($K134,$L134,Assumptions!$F$4:$F$44))</f>
        <v>0</v>
      </c>
      <c r="AU134" s="21" t="n">
        <f aca="false">IF($J134=0,0,MAX(0,NETWORKDAYS(MAX($K134,AU$4),MIN($L134,EOMONTH(AU$4,0)),Assumptions!$F$4:$F$44))/NETWORKDAYS($K134,$L134,Assumptions!$F$4:$F$44))</f>
        <v>0</v>
      </c>
      <c r="AV134" s="21" t="n">
        <f aca="false">IF($J134=0,0,MAX(0,NETWORKDAYS(MAX($K134,AV$4),MIN($L134,EOMONTH(AV$4,0)),Assumptions!$F$4:$F$44))/NETWORKDAYS($K134,$L134,Assumptions!$F$4:$F$44))</f>
        <v>0</v>
      </c>
      <c r="AW134" s="21" t="n">
        <f aca="false">IF($J134=0,0,MAX(0,NETWORKDAYS(MAX($K134,AW$4),MIN($L134,EOMONTH(AW$4,0)),Assumptions!$F$4:$F$44))/NETWORKDAYS($K134,$L134,Assumptions!$F$4:$F$44))</f>
        <v>0</v>
      </c>
      <c r="AX134" s="21" t="n">
        <f aca="false">IF($J134=0,0,MAX(0,NETWORKDAYS(MAX($K134,AX$4),MIN($L134,EOMONTH(AX$4,0)),Assumptions!$F$4:$F$44))/NETWORKDAYS($K134,$L134,Assumptions!$F$4:$F$44))</f>
        <v>0</v>
      </c>
      <c r="AY134" s="21" t="n">
        <f aca="false">IF($J134=0,0,MAX(0,NETWORKDAYS(MAX($K134,AY$4),MIN($L134,EOMONTH(AY$4,0)),Assumptions!$F$4:$F$44))/NETWORKDAYS($K134,$L134,Assumptions!$F$4:$F$44))</f>
        <v>0</v>
      </c>
      <c r="AZ134" s="21" t="n">
        <f aca="false">IF($J134=0,0,MAX(0,NETWORKDAYS(MAX($K134,AZ$4),MIN($L134,EOMONTH(AZ$4,0)),Assumptions!$F$4:$F$44))/NETWORKDAYS($K134,$L134,Assumptions!$F$4:$F$44))</f>
        <v>0</v>
      </c>
      <c r="BA134" s="21" t="n">
        <f aca="false">IF($J134=0,0,MAX(0,NETWORKDAYS(MAX($K134,BA$4),MIN($L134,EOMONTH(BA$4,0)),Assumptions!$F$4:$F$44))/NETWORKDAYS($K134,$L134,Assumptions!$F$4:$F$44))</f>
        <v>0</v>
      </c>
      <c r="BB134" s="21" t="n">
        <f aca="false">IF($J134=0,0,MAX(0,NETWORKDAYS(MAX($K134,BB$4),MIN($L134,EOMONTH(BB$4,0)),Assumptions!$F$4:$F$44))/NETWORKDAYS($K134,$L134,Assumptions!$F$4:$F$44))</f>
        <v>0</v>
      </c>
      <c r="BC134" s="21" t="n">
        <f aca="false">IF($J134=0,0,MAX(0,NETWORKDAYS(MAX($K134,BC$4),MIN($L134,EOMONTH(BC$4,0)),Assumptions!$F$4:$F$44))/NETWORKDAYS($K134,$L134,Assumptions!$F$4:$F$44))</f>
        <v>0</v>
      </c>
    </row>
    <row r="135" customFormat="false" ht="15" hidden="false" customHeight="false" outlineLevel="2" collapsed="false">
      <c r="A135" s="27" t="n">
        <v>131</v>
      </c>
      <c r="B135" s="27" t="s">
        <v>366</v>
      </c>
      <c r="C135" s="27" t="n">
        <v>3</v>
      </c>
      <c r="D135" s="27" t="s">
        <v>92</v>
      </c>
      <c r="E135" s="28" t="s">
        <v>367</v>
      </c>
      <c r="F135" s="27" t="s">
        <v>154</v>
      </c>
      <c r="G135" s="27" t="s">
        <v>352</v>
      </c>
      <c r="H135" s="27" t="s">
        <v>47</v>
      </c>
      <c r="I135" s="29" t="n">
        <v>65</v>
      </c>
      <c r="J135" s="29" t="n">
        <v>31</v>
      </c>
      <c r="K135" s="30" t="n">
        <f aca="false">WORKDAY(Assumptions!$C$4,I135,Assumptions!$F$4:$F$44)</f>
        <v>46419</v>
      </c>
      <c r="L135" s="30" t="n">
        <f aca="false">IF(J135=0,K135,WORKDAY(K135,J135-1,Assumptions!$F$4:$F$44))</f>
        <v>46461</v>
      </c>
      <c r="M135" s="29" t="s">
        <v>368</v>
      </c>
      <c r="N135" s="31" t="n">
        <v>0</v>
      </c>
      <c r="O135" s="31" t="n">
        <v>0</v>
      </c>
      <c r="P135" s="31" t="n">
        <v>0</v>
      </c>
      <c r="Q135" s="31" t="n">
        <v>26</v>
      </c>
      <c r="R135" s="31" t="n">
        <v>0</v>
      </c>
      <c r="S135" s="31" t="n">
        <v>0</v>
      </c>
      <c r="T135" s="31" t="n">
        <v>0</v>
      </c>
      <c r="U135" s="31" t="n">
        <v>0</v>
      </c>
      <c r="V135" s="31" t="n">
        <v>0</v>
      </c>
      <c r="W135" s="31" t="n">
        <v>0</v>
      </c>
      <c r="X135" s="31" t="n">
        <v>0</v>
      </c>
      <c r="Y135" s="32" t="n">
        <f aca="false">SUM(N135:X135)</f>
        <v>26</v>
      </c>
      <c r="Z135" s="32" t="n">
        <f aca="false">Y135*(1+Assumptions!$C$5)</f>
        <v>29.9</v>
      </c>
      <c r="AA135" s="27" t="s">
        <v>325</v>
      </c>
      <c r="AB135" s="27" t="s">
        <v>95</v>
      </c>
      <c r="AC135" s="27"/>
      <c r="AD135" s="33" t="n">
        <v>0</v>
      </c>
      <c r="AF135" s="21" t="n">
        <f aca="false">IF($J135=0,0,MAX(0,NETWORKDAYS(MAX($K135,AF$4),MIN($L135,EOMONTH(AF$4,0)),Assumptions!$F$4:$F$44))/NETWORKDAYS($K135,$L135,Assumptions!$F$4:$F$44))</f>
        <v>0</v>
      </c>
      <c r="AG135" s="21" t="n">
        <f aca="false">IF($J135=0,0,MAX(0,NETWORKDAYS(MAX($K135,AG$4),MIN($L135,EOMONTH(AG$4,0)),Assumptions!$F$4:$F$44))/NETWORKDAYS($K135,$L135,Assumptions!$F$4:$F$44))</f>
        <v>0</v>
      </c>
      <c r="AH135" s="21" t="n">
        <f aca="false">IF($J135=0,0,MAX(0,NETWORKDAYS(MAX($K135,AH$4),MIN($L135,EOMONTH(AH$4,0)),Assumptions!$F$4:$F$44))/NETWORKDAYS($K135,$L135,Assumptions!$F$4:$F$44))</f>
        <v>0</v>
      </c>
      <c r="AI135" s="21" t="n">
        <f aca="false">IF($J135=0,0,MAX(0,NETWORKDAYS(MAX($K135,AI$4),MIN($L135,EOMONTH(AI$4,0)),Assumptions!$F$4:$F$44))/NETWORKDAYS($K135,$L135,Assumptions!$F$4:$F$44))</f>
        <v>0.645161290322581</v>
      </c>
      <c r="AJ135" s="21" t="n">
        <f aca="false">IF($J135=0,0,MAX(0,NETWORKDAYS(MAX($K135,AJ$4),MIN($L135,EOMONTH(AJ$4,0)),Assumptions!$F$4:$F$44))/NETWORKDAYS($K135,$L135,Assumptions!$F$4:$F$44))</f>
        <v>0.354838709677419</v>
      </c>
      <c r="AK135" s="21" t="n">
        <f aca="false">IF($J135=0,0,MAX(0,NETWORKDAYS(MAX($K135,AK$4),MIN($L135,EOMONTH(AK$4,0)),Assumptions!$F$4:$F$44))/NETWORKDAYS($K135,$L135,Assumptions!$F$4:$F$44))</f>
        <v>0</v>
      </c>
      <c r="AL135" s="21" t="n">
        <f aca="false">IF($J135=0,0,MAX(0,NETWORKDAYS(MAX($K135,AL$4),MIN($L135,EOMONTH(AL$4,0)),Assumptions!$F$4:$F$44))/NETWORKDAYS($K135,$L135,Assumptions!$F$4:$F$44))</f>
        <v>0</v>
      </c>
      <c r="AM135" s="21" t="n">
        <f aca="false">IF($J135=0,0,MAX(0,NETWORKDAYS(MAX($K135,AM$4),MIN($L135,EOMONTH(AM$4,0)),Assumptions!$F$4:$F$44))/NETWORKDAYS($K135,$L135,Assumptions!$F$4:$F$44))</f>
        <v>0</v>
      </c>
      <c r="AN135" s="21" t="n">
        <f aca="false">IF($J135=0,0,MAX(0,NETWORKDAYS(MAX($K135,AN$4),MIN($L135,EOMONTH(AN$4,0)),Assumptions!$F$4:$F$44))/NETWORKDAYS($K135,$L135,Assumptions!$F$4:$F$44))</f>
        <v>0</v>
      </c>
      <c r="AO135" s="21" t="n">
        <f aca="false">IF($J135=0,0,MAX(0,NETWORKDAYS(MAX($K135,AO$4),MIN($L135,EOMONTH(AO$4,0)),Assumptions!$F$4:$F$44))/NETWORKDAYS($K135,$L135,Assumptions!$F$4:$F$44))</f>
        <v>0</v>
      </c>
      <c r="AP135" s="21" t="n">
        <f aca="false">IF($J135=0,0,MAX(0,NETWORKDAYS(MAX($K135,AP$4),MIN($L135,EOMONTH(AP$4,0)),Assumptions!$F$4:$F$44))/NETWORKDAYS($K135,$L135,Assumptions!$F$4:$F$44))</f>
        <v>0</v>
      </c>
      <c r="AQ135" s="21" t="n">
        <f aca="false">IF($J135=0,0,MAX(0,NETWORKDAYS(MAX($K135,AQ$4),MIN($L135,EOMONTH(AQ$4,0)),Assumptions!$F$4:$F$44))/NETWORKDAYS($K135,$L135,Assumptions!$F$4:$F$44))</f>
        <v>0</v>
      </c>
      <c r="AR135" s="21" t="n">
        <f aca="false">IF($J135=0,0,MAX(0,NETWORKDAYS(MAX($K135,AR$4),MIN($L135,EOMONTH(AR$4,0)),Assumptions!$F$4:$F$44))/NETWORKDAYS($K135,$L135,Assumptions!$F$4:$F$44))</f>
        <v>0</v>
      </c>
      <c r="AS135" s="21" t="n">
        <f aca="false">IF($J135=0,0,MAX(0,NETWORKDAYS(MAX($K135,AS$4),MIN($L135,EOMONTH(AS$4,0)),Assumptions!$F$4:$F$44))/NETWORKDAYS($K135,$L135,Assumptions!$F$4:$F$44))</f>
        <v>0</v>
      </c>
      <c r="AT135" s="21" t="n">
        <f aca="false">IF($J135=0,0,MAX(0,NETWORKDAYS(MAX($K135,AT$4),MIN($L135,EOMONTH(AT$4,0)),Assumptions!$F$4:$F$44))/NETWORKDAYS($K135,$L135,Assumptions!$F$4:$F$44))</f>
        <v>0</v>
      </c>
      <c r="AU135" s="21" t="n">
        <f aca="false">IF($J135=0,0,MAX(0,NETWORKDAYS(MAX($K135,AU$4),MIN($L135,EOMONTH(AU$4,0)),Assumptions!$F$4:$F$44))/NETWORKDAYS($K135,$L135,Assumptions!$F$4:$F$44))</f>
        <v>0</v>
      </c>
      <c r="AV135" s="21" t="n">
        <f aca="false">IF($J135=0,0,MAX(0,NETWORKDAYS(MAX($K135,AV$4),MIN($L135,EOMONTH(AV$4,0)),Assumptions!$F$4:$F$44))/NETWORKDAYS($K135,$L135,Assumptions!$F$4:$F$44))</f>
        <v>0</v>
      </c>
      <c r="AW135" s="21" t="n">
        <f aca="false">IF($J135=0,0,MAX(0,NETWORKDAYS(MAX($K135,AW$4),MIN($L135,EOMONTH(AW$4,0)),Assumptions!$F$4:$F$44))/NETWORKDAYS($K135,$L135,Assumptions!$F$4:$F$44))</f>
        <v>0</v>
      </c>
      <c r="AX135" s="21" t="n">
        <f aca="false">IF($J135=0,0,MAX(0,NETWORKDAYS(MAX($K135,AX$4),MIN($L135,EOMONTH(AX$4,0)),Assumptions!$F$4:$F$44))/NETWORKDAYS($K135,$L135,Assumptions!$F$4:$F$44))</f>
        <v>0</v>
      </c>
      <c r="AY135" s="21" t="n">
        <f aca="false">IF($J135=0,0,MAX(0,NETWORKDAYS(MAX($K135,AY$4),MIN($L135,EOMONTH(AY$4,0)),Assumptions!$F$4:$F$44))/NETWORKDAYS($K135,$L135,Assumptions!$F$4:$F$44))</f>
        <v>0</v>
      </c>
      <c r="AZ135" s="21" t="n">
        <f aca="false">IF($J135=0,0,MAX(0,NETWORKDAYS(MAX($K135,AZ$4),MIN($L135,EOMONTH(AZ$4,0)),Assumptions!$F$4:$F$44))/NETWORKDAYS($K135,$L135,Assumptions!$F$4:$F$44))</f>
        <v>0</v>
      </c>
      <c r="BA135" s="21" t="n">
        <f aca="false">IF($J135=0,0,MAX(0,NETWORKDAYS(MAX($K135,BA$4),MIN($L135,EOMONTH(BA$4,0)),Assumptions!$F$4:$F$44))/NETWORKDAYS($K135,$L135,Assumptions!$F$4:$F$44))</f>
        <v>0</v>
      </c>
      <c r="BB135" s="21" t="n">
        <f aca="false">IF($J135=0,0,MAX(0,NETWORKDAYS(MAX($K135,BB$4),MIN($L135,EOMONTH(BB$4,0)),Assumptions!$F$4:$F$44))/NETWORKDAYS($K135,$L135,Assumptions!$F$4:$F$44))</f>
        <v>0</v>
      </c>
      <c r="BC135" s="21" t="n">
        <f aca="false">IF($J135=0,0,MAX(0,NETWORKDAYS(MAX($K135,BC$4),MIN($L135,EOMONTH(BC$4,0)),Assumptions!$F$4:$F$44))/NETWORKDAYS($K135,$L135,Assumptions!$F$4:$F$44))</f>
        <v>0</v>
      </c>
    </row>
    <row r="136" customFormat="false" ht="15" hidden="false" customHeight="false" outlineLevel="2" collapsed="false">
      <c r="A136" s="27" t="n">
        <v>132</v>
      </c>
      <c r="B136" s="27" t="s">
        <v>369</v>
      </c>
      <c r="C136" s="27" t="n">
        <v>3</v>
      </c>
      <c r="D136" s="27" t="s">
        <v>92</v>
      </c>
      <c r="E136" s="28" t="s">
        <v>370</v>
      </c>
      <c r="F136" s="27" t="s">
        <v>154</v>
      </c>
      <c r="G136" s="27" t="s">
        <v>352</v>
      </c>
      <c r="H136" s="27" t="s">
        <v>47</v>
      </c>
      <c r="I136" s="29" t="n">
        <v>59</v>
      </c>
      <c r="J136" s="29" t="n">
        <v>37</v>
      </c>
      <c r="K136" s="30" t="n">
        <f aca="false">WORKDAY(Assumptions!$C$4,I136,Assumptions!$F$4:$F$44)</f>
        <v>46409</v>
      </c>
      <c r="L136" s="30" t="n">
        <f aca="false">IF(J136=0,K136,WORKDAY(K136,J136-1,Assumptions!$F$4:$F$44))</f>
        <v>46461</v>
      </c>
      <c r="M136" s="29" t="s">
        <v>359</v>
      </c>
      <c r="N136" s="31" t="n">
        <v>0</v>
      </c>
      <c r="O136" s="31" t="n">
        <v>0</v>
      </c>
      <c r="P136" s="31" t="n">
        <v>0</v>
      </c>
      <c r="Q136" s="31" t="n">
        <v>10</v>
      </c>
      <c r="R136" s="31" t="n">
        <v>0</v>
      </c>
      <c r="S136" s="31" t="n">
        <v>0</v>
      </c>
      <c r="T136" s="31" t="n">
        <v>0</v>
      </c>
      <c r="U136" s="31" t="n">
        <v>0</v>
      </c>
      <c r="V136" s="31" t="n">
        <v>2</v>
      </c>
      <c r="W136" s="31" t="n">
        <v>0</v>
      </c>
      <c r="X136" s="31" t="n">
        <v>0</v>
      </c>
      <c r="Y136" s="32" t="n">
        <f aca="false">SUM(N136:X136)</f>
        <v>12</v>
      </c>
      <c r="Z136" s="32" t="n">
        <f aca="false">Y136*(1+Assumptions!$C$5)</f>
        <v>13.8</v>
      </c>
      <c r="AA136" s="27" t="s">
        <v>328</v>
      </c>
      <c r="AB136" s="27" t="s">
        <v>95</v>
      </c>
      <c r="AC136" s="27"/>
      <c r="AD136" s="33" t="n">
        <v>0</v>
      </c>
      <c r="AF136" s="21" t="n">
        <f aca="false">IF($J136=0,0,MAX(0,NETWORKDAYS(MAX($K136,AF$4),MIN($L136,EOMONTH(AF$4,0)),Assumptions!$F$4:$F$44))/NETWORKDAYS($K136,$L136,Assumptions!$F$4:$F$44))</f>
        <v>0</v>
      </c>
      <c r="AG136" s="21" t="n">
        <f aca="false">IF($J136=0,0,MAX(0,NETWORKDAYS(MAX($K136,AG$4),MIN($L136,EOMONTH(AG$4,0)),Assumptions!$F$4:$F$44))/NETWORKDAYS($K136,$L136,Assumptions!$F$4:$F$44))</f>
        <v>0</v>
      </c>
      <c r="AH136" s="21" t="n">
        <f aca="false">IF($J136=0,0,MAX(0,NETWORKDAYS(MAX($K136,AH$4),MIN($L136,EOMONTH(AH$4,0)),Assumptions!$F$4:$F$44))/NETWORKDAYS($K136,$L136,Assumptions!$F$4:$F$44))</f>
        <v>0.162162162162162</v>
      </c>
      <c r="AI136" s="21" t="n">
        <f aca="false">IF($J136=0,0,MAX(0,NETWORKDAYS(MAX($K136,AI$4),MIN($L136,EOMONTH(AI$4,0)),Assumptions!$F$4:$F$44))/NETWORKDAYS($K136,$L136,Assumptions!$F$4:$F$44))</f>
        <v>0.540540540540541</v>
      </c>
      <c r="AJ136" s="21" t="n">
        <f aca="false">IF($J136=0,0,MAX(0,NETWORKDAYS(MAX($K136,AJ$4),MIN($L136,EOMONTH(AJ$4,0)),Assumptions!$F$4:$F$44))/NETWORKDAYS($K136,$L136,Assumptions!$F$4:$F$44))</f>
        <v>0.297297297297297</v>
      </c>
      <c r="AK136" s="21" t="n">
        <f aca="false">IF($J136=0,0,MAX(0,NETWORKDAYS(MAX($K136,AK$4),MIN($L136,EOMONTH(AK$4,0)),Assumptions!$F$4:$F$44))/NETWORKDAYS($K136,$L136,Assumptions!$F$4:$F$44))</f>
        <v>0</v>
      </c>
      <c r="AL136" s="21" t="n">
        <f aca="false">IF($J136=0,0,MAX(0,NETWORKDAYS(MAX($K136,AL$4),MIN($L136,EOMONTH(AL$4,0)),Assumptions!$F$4:$F$44))/NETWORKDAYS($K136,$L136,Assumptions!$F$4:$F$44))</f>
        <v>0</v>
      </c>
      <c r="AM136" s="21" t="n">
        <f aca="false">IF($J136=0,0,MAX(0,NETWORKDAYS(MAX($K136,AM$4),MIN($L136,EOMONTH(AM$4,0)),Assumptions!$F$4:$F$44))/NETWORKDAYS($K136,$L136,Assumptions!$F$4:$F$44))</f>
        <v>0</v>
      </c>
      <c r="AN136" s="21" t="n">
        <f aca="false">IF($J136=0,0,MAX(0,NETWORKDAYS(MAX($K136,AN$4),MIN($L136,EOMONTH(AN$4,0)),Assumptions!$F$4:$F$44))/NETWORKDAYS($K136,$L136,Assumptions!$F$4:$F$44))</f>
        <v>0</v>
      </c>
      <c r="AO136" s="21" t="n">
        <f aca="false">IF($J136=0,0,MAX(0,NETWORKDAYS(MAX($K136,AO$4),MIN($L136,EOMONTH(AO$4,0)),Assumptions!$F$4:$F$44))/NETWORKDAYS($K136,$L136,Assumptions!$F$4:$F$44))</f>
        <v>0</v>
      </c>
      <c r="AP136" s="21" t="n">
        <f aca="false">IF($J136=0,0,MAX(0,NETWORKDAYS(MAX($K136,AP$4),MIN($L136,EOMONTH(AP$4,0)),Assumptions!$F$4:$F$44))/NETWORKDAYS($K136,$L136,Assumptions!$F$4:$F$44))</f>
        <v>0</v>
      </c>
      <c r="AQ136" s="21" t="n">
        <f aca="false">IF($J136=0,0,MAX(0,NETWORKDAYS(MAX($K136,AQ$4),MIN($L136,EOMONTH(AQ$4,0)),Assumptions!$F$4:$F$44))/NETWORKDAYS($K136,$L136,Assumptions!$F$4:$F$44))</f>
        <v>0</v>
      </c>
      <c r="AR136" s="21" t="n">
        <f aca="false">IF($J136=0,0,MAX(0,NETWORKDAYS(MAX($K136,AR$4),MIN($L136,EOMONTH(AR$4,0)),Assumptions!$F$4:$F$44))/NETWORKDAYS($K136,$L136,Assumptions!$F$4:$F$44))</f>
        <v>0</v>
      </c>
      <c r="AS136" s="21" t="n">
        <f aca="false">IF($J136=0,0,MAX(0,NETWORKDAYS(MAX($K136,AS$4),MIN($L136,EOMONTH(AS$4,0)),Assumptions!$F$4:$F$44))/NETWORKDAYS($K136,$L136,Assumptions!$F$4:$F$44))</f>
        <v>0</v>
      </c>
      <c r="AT136" s="21" t="n">
        <f aca="false">IF($J136=0,0,MAX(0,NETWORKDAYS(MAX($K136,AT$4),MIN($L136,EOMONTH(AT$4,0)),Assumptions!$F$4:$F$44))/NETWORKDAYS($K136,$L136,Assumptions!$F$4:$F$44))</f>
        <v>0</v>
      </c>
      <c r="AU136" s="21" t="n">
        <f aca="false">IF($J136=0,0,MAX(0,NETWORKDAYS(MAX($K136,AU$4),MIN($L136,EOMONTH(AU$4,0)),Assumptions!$F$4:$F$44))/NETWORKDAYS($K136,$L136,Assumptions!$F$4:$F$44))</f>
        <v>0</v>
      </c>
      <c r="AV136" s="21" t="n">
        <f aca="false">IF($J136=0,0,MAX(0,NETWORKDAYS(MAX($K136,AV$4),MIN($L136,EOMONTH(AV$4,0)),Assumptions!$F$4:$F$44))/NETWORKDAYS($K136,$L136,Assumptions!$F$4:$F$44))</f>
        <v>0</v>
      </c>
      <c r="AW136" s="21" t="n">
        <f aca="false">IF($J136=0,0,MAX(0,NETWORKDAYS(MAX($K136,AW$4),MIN($L136,EOMONTH(AW$4,0)),Assumptions!$F$4:$F$44))/NETWORKDAYS($K136,$L136,Assumptions!$F$4:$F$44))</f>
        <v>0</v>
      </c>
      <c r="AX136" s="21" t="n">
        <f aca="false">IF($J136=0,0,MAX(0,NETWORKDAYS(MAX($K136,AX$4),MIN($L136,EOMONTH(AX$4,0)),Assumptions!$F$4:$F$44))/NETWORKDAYS($K136,$L136,Assumptions!$F$4:$F$44))</f>
        <v>0</v>
      </c>
      <c r="AY136" s="21" t="n">
        <f aca="false">IF($J136=0,0,MAX(0,NETWORKDAYS(MAX($K136,AY$4),MIN($L136,EOMONTH(AY$4,0)),Assumptions!$F$4:$F$44))/NETWORKDAYS($K136,$L136,Assumptions!$F$4:$F$44))</f>
        <v>0</v>
      </c>
      <c r="AZ136" s="21" t="n">
        <f aca="false">IF($J136=0,0,MAX(0,NETWORKDAYS(MAX($K136,AZ$4),MIN($L136,EOMONTH(AZ$4,0)),Assumptions!$F$4:$F$44))/NETWORKDAYS($K136,$L136,Assumptions!$F$4:$F$44))</f>
        <v>0</v>
      </c>
      <c r="BA136" s="21" t="n">
        <f aca="false">IF($J136=0,0,MAX(0,NETWORKDAYS(MAX($K136,BA$4),MIN($L136,EOMONTH(BA$4,0)),Assumptions!$F$4:$F$44))/NETWORKDAYS($K136,$L136,Assumptions!$F$4:$F$44))</f>
        <v>0</v>
      </c>
      <c r="BB136" s="21" t="n">
        <f aca="false">IF($J136=0,0,MAX(0,NETWORKDAYS(MAX($K136,BB$4),MIN($L136,EOMONTH(BB$4,0)),Assumptions!$F$4:$F$44))/NETWORKDAYS($K136,$L136,Assumptions!$F$4:$F$44))</f>
        <v>0</v>
      </c>
      <c r="BC136" s="21" t="n">
        <f aca="false">IF($J136=0,0,MAX(0,NETWORKDAYS(MAX($K136,BC$4),MIN($L136,EOMONTH(BC$4,0)),Assumptions!$F$4:$F$44))/NETWORKDAYS($K136,$L136,Assumptions!$F$4:$F$44))</f>
        <v>0</v>
      </c>
    </row>
    <row r="137" customFormat="false" ht="15" hidden="false" customHeight="false" outlineLevel="2" collapsed="false">
      <c r="A137" s="27" t="n">
        <v>133</v>
      </c>
      <c r="B137" s="27" t="s">
        <v>371</v>
      </c>
      <c r="C137" s="27" t="n">
        <v>3</v>
      </c>
      <c r="D137" s="27" t="s">
        <v>92</v>
      </c>
      <c r="E137" s="28" t="s">
        <v>330</v>
      </c>
      <c r="F137" s="27" t="s">
        <v>154</v>
      </c>
      <c r="G137" s="27" t="s">
        <v>352</v>
      </c>
      <c r="H137" s="27" t="s">
        <v>47</v>
      </c>
      <c r="I137" s="29" t="n">
        <v>76</v>
      </c>
      <c r="J137" s="29" t="n">
        <v>22</v>
      </c>
      <c r="K137" s="30" t="n">
        <f aca="false">WORKDAY(Assumptions!$C$4,I137,Assumptions!$F$4:$F$44)</f>
        <v>46434</v>
      </c>
      <c r="L137" s="30" t="n">
        <f aca="false">IF(J137=0,K137,WORKDAY(K137,J137-1,Assumptions!$F$4:$F$44))</f>
        <v>46463</v>
      </c>
      <c r="M137" s="29" t="s">
        <v>368</v>
      </c>
      <c r="N137" s="31" t="n">
        <v>0</v>
      </c>
      <c r="O137" s="31" t="n">
        <v>3</v>
      </c>
      <c r="P137" s="31" t="n">
        <v>0</v>
      </c>
      <c r="Q137" s="31" t="n">
        <v>7</v>
      </c>
      <c r="R137" s="31" t="n">
        <v>7</v>
      </c>
      <c r="S137" s="31" t="n">
        <v>0</v>
      </c>
      <c r="T137" s="31" t="n">
        <v>0</v>
      </c>
      <c r="U137" s="31" t="n">
        <v>0</v>
      </c>
      <c r="V137" s="31" t="n">
        <v>0</v>
      </c>
      <c r="W137" s="31" t="n">
        <v>0</v>
      </c>
      <c r="X137" s="31" t="n">
        <v>0</v>
      </c>
      <c r="Y137" s="32" t="n">
        <f aca="false">SUM(N137:X137)</f>
        <v>17</v>
      </c>
      <c r="Z137" s="32" t="n">
        <f aca="false">Y137*(1+Assumptions!$C$5)</f>
        <v>19.55</v>
      </c>
      <c r="AA137" s="27" t="s">
        <v>331</v>
      </c>
      <c r="AB137" s="27" t="s">
        <v>95</v>
      </c>
      <c r="AC137" s="27"/>
      <c r="AD137" s="33" t="n">
        <v>0</v>
      </c>
      <c r="AF137" s="21" t="n">
        <f aca="false">IF($J137=0,0,MAX(0,NETWORKDAYS(MAX($K137,AF$4),MIN($L137,EOMONTH(AF$4,0)),Assumptions!$F$4:$F$44))/NETWORKDAYS($K137,$L137,Assumptions!$F$4:$F$44))</f>
        <v>0</v>
      </c>
      <c r="AG137" s="21" t="n">
        <f aca="false">IF($J137=0,0,MAX(0,NETWORKDAYS(MAX($K137,AG$4),MIN($L137,EOMONTH(AG$4,0)),Assumptions!$F$4:$F$44))/NETWORKDAYS($K137,$L137,Assumptions!$F$4:$F$44))</f>
        <v>0</v>
      </c>
      <c r="AH137" s="21" t="n">
        <f aca="false">IF($J137=0,0,MAX(0,NETWORKDAYS(MAX($K137,AH$4),MIN($L137,EOMONTH(AH$4,0)),Assumptions!$F$4:$F$44))/NETWORKDAYS($K137,$L137,Assumptions!$F$4:$F$44))</f>
        <v>0</v>
      </c>
      <c r="AI137" s="21" t="n">
        <f aca="false">IF($J137=0,0,MAX(0,NETWORKDAYS(MAX($K137,AI$4),MIN($L137,EOMONTH(AI$4,0)),Assumptions!$F$4:$F$44))/NETWORKDAYS($K137,$L137,Assumptions!$F$4:$F$44))</f>
        <v>0.409090909090909</v>
      </c>
      <c r="AJ137" s="21" t="n">
        <f aca="false">IF($J137=0,0,MAX(0,NETWORKDAYS(MAX($K137,AJ$4),MIN($L137,EOMONTH(AJ$4,0)),Assumptions!$F$4:$F$44))/NETWORKDAYS($K137,$L137,Assumptions!$F$4:$F$44))</f>
        <v>0.590909090909091</v>
      </c>
      <c r="AK137" s="21" t="n">
        <f aca="false">IF($J137=0,0,MAX(0,NETWORKDAYS(MAX($K137,AK$4),MIN($L137,EOMONTH(AK$4,0)),Assumptions!$F$4:$F$44))/NETWORKDAYS($K137,$L137,Assumptions!$F$4:$F$44))</f>
        <v>0</v>
      </c>
      <c r="AL137" s="21" t="n">
        <f aca="false">IF($J137=0,0,MAX(0,NETWORKDAYS(MAX($K137,AL$4),MIN($L137,EOMONTH(AL$4,0)),Assumptions!$F$4:$F$44))/NETWORKDAYS($K137,$L137,Assumptions!$F$4:$F$44))</f>
        <v>0</v>
      </c>
      <c r="AM137" s="21" t="n">
        <f aca="false">IF($J137=0,0,MAX(0,NETWORKDAYS(MAX($K137,AM$4),MIN($L137,EOMONTH(AM$4,0)),Assumptions!$F$4:$F$44))/NETWORKDAYS($K137,$L137,Assumptions!$F$4:$F$44))</f>
        <v>0</v>
      </c>
      <c r="AN137" s="21" t="n">
        <f aca="false">IF($J137=0,0,MAX(0,NETWORKDAYS(MAX($K137,AN$4),MIN($L137,EOMONTH(AN$4,0)),Assumptions!$F$4:$F$44))/NETWORKDAYS($K137,$L137,Assumptions!$F$4:$F$44))</f>
        <v>0</v>
      </c>
      <c r="AO137" s="21" t="n">
        <f aca="false">IF($J137=0,0,MAX(0,NETWORKDAYS(MAX($K137,AO$4),MIN($L137,EOMONTH(AO$4,0)),Assumptions!$F$4:$F$44))/NETWORKDAYS($K137,$L137,Assumptions!$F$4:$F$44))</f>
        <v>0</v>
      </c>
      <c r="AP137" s="21" t="n">
        <f aca="false">IF($J137=0,0,MAX(0,NETWORKDAYS(MAX($K137,AP$4),MIN($L137,EOMONTH(AP$4,0)),Assumptions!$F$4:$F$44))/NETWORKDAYS($K137,$L137,Assumptions!$F$4:$F$44))</f>
        <v>0</v>
      </c>
      <c r="AQ137" s="21" t="n">
        <f aca="false">IF($J137=0,0,MAX(0,NETWORKDAYS(MAX($K137,AQ$4),MIN($L137,EOMONTH(AQ$4,0)),Assumptions!$F$4:$F$44))/NETWORKDAYS($K137,$L137,Assumptions!$F$4:$F$44))</f>
        <v>0</v>
      </c>
      <c r="AR137" s="21" t="n">
        <f aca="false">IF($J137=0,0,MAX(0,NETWORKDAYS(MAX($K137,AR$4),MIN($L137,EOMONTH(AR$4,0)),Assumptions!$F$4:$F$44))/NETWORKDAYS($K137,$L137,Assumptions!$F$4:$F$44))</f>
        <v>0</v>
      </c>
      <c r="AS137" s="21" t="n">
        <f aca="false">IF($J137=0,0,MAX(0,NETWORKDAYS(MAX($K137,AS$4),MIN($L137,EOMONTH(AS$4,0)),Assumptions!$F$4:$F$44))/NETWORKDAYS($K137,$L137,Assumptions!$F$4:$F$44))</f>
        <v>0</v>
      </c>
      <c r="AT137" s="21" t="n">
        <f aca="false">IF($J137=0,0,MAX(0,NETWORKDAYS(MAX($K137,AT$4),MIN($L137,EOMONTH(AT$4,0)),Assumptions!$F$4:$F$44))/NETWORKDAYS($K137,$L137,Assumptions!$F$4:$F$44))</f>
        <v>0</v>
      </c>
      <c r="AU137" s="21" t="n">
        <f aca="false">IF($J137=0,0,MAX(0,NETWORKDAYS(MAX($K137,AU$4),MIN($L137,EOMONTH(AU$4,0)),Assumptions!$F$4:$F$44))/NETWORKDAYS($K137,$L137,Assumptions!$F$4:$F$44))</f>
        <v>0</v>
      </c>
      <c r="AV137" s="21" t="n">
        <f aca="false">IF($J137=0,0,MAX(0,NETWORKDAYS(MAX($K137,AV$4),MIN($L137,EOMONTH(AV$4,0)),Assumptions!$F$4:$F$44))/NETWORKDAYS($K137,$L137,Assumptions!$F$4:$F$44))</f>
        <v>0</v>
      </c>
      <c r="AW137" s="21" t="n">
        <f aca="false">IF($J137=0,0,MAX(0,NETWORKDAYS(MAX($K137,AW$4),MIN($L137,EOMONTH(AW$4,0)),Assumptions!$F$4:$F$44))/NETWORKDAYS($K137,$L137,Assumptions!$F$4:$F$44))</f>
        <v>0</v>
      </c>
      <c r="AX137" s="21" t="n">
        <f aca="false">IF($J137=0,0,MAX(0,NETWORKDAYS(MAX($K137,AX$4),MIN($L137,EOMONTH(AX$4,0)),Assumptions!$F$4:$F$44))/NETWORKDAYS($K137,$L137,Assumptions!$F$4:$F$44))</f>
        <v>0</v>
      </c>
      <c r="AY137" s="21" t="n">
        <f aca="false">IF($J137=0,0,MAX(0,NETWORKDAYS(MAX($K137,AY$4),MIN($L137,EOMONTH(AY$4,0)),Assumptions!$F$4:$F$44))/NETWORKDAYS($K137,$L137,Assumptions!$F$4:$F$44))</f>
        <v>0</v>
      </c>
      <c r="AZ137" s="21" t="n">
        <f aca="false">IF($J137=0,0,MAX(0,NETWORKDAYS(MAX($K137,AZ$4),MIN($L137,EOMONTH(AZ$4,0)),Assumptions!$F$4:$F$44))/NETWORKDAYS($K137,$L137,Assumptions!$F$4:$F$44))</f>
        <v>0</v>
      </c>
      <c r="BA137" s="21" t="n">
        <f aca="false">IF($J137=0,0,MAX(0,NETWORKDAYS(MAX($K137,BA$4),MIN($L137,EOMONTH(BA$4,0)),Assumptions!$F$4:$F$44))/NETWORKDAYS($K137,$L137,Assumptions!$F$4:$F$44))</f>
        <v>0</v>
      </c>
      <c r="BB137" s="21" t="n">
        <f aca="false">IF($J137=0,0,MAX(0,NETWORKDAYS(MAX($K137,BB$4),MIN($L137,EOMONTH(BB$4,0)),Assumptions!$F$4:$F$44))/NETWORKDAYS($K137,$L137,Assumptions!$F$4:$F$44))</f>
        <v>0</v>
      </c>
      <c r="BC137" s="21" t="n">
        <f aca="false">IF($J137=0,0,MAX(0,NETWORKDAYS(MAX($K137,BC$4),MIN($L137,EOMONTH(BC$4,0)),Assumptions!$F$4:$F$44))/NETWORKDAYS($K137,$L137,Assumptions!$F$4:$F$44))</f>
        <v>0</v>
      </c>
    </row>
    <row r="138" customFormat="false" ht="15" hidden="false" customHeight="false" outlineLevel="2" collapsed="false">
      <c r="A138" s="27" t="n">
        <v>134</v>
      </c>
      <c r="B138" s="27" t="s">
        <v>372</v>
      </c>
      <c r="C138" s="27" t="n">
        <v>3</v>
      </c>
      <c r="D138" s="27" t="s">
        <v>92</v>
      </c>
      <c r="E138" s="28" t="s">
        <v>373</v>
      </c>
      <c r="F138" s="27" t="s">
        <v>154</v>
      </c>
      <c r="G138" s="27" t="s">
        <v>352</v>
      </c>
      <c r="H138" s="27" t="s">
        <v>59</v>
      </c>
      <c r="I138" s="29" t="n">
        <v>54</v>
      </c>
      <c r="J138" s="29" t="n">
        <v>50</v>
      </c>
      <c r="K138" s="30" t="n">
        <f aca="false">WORKDAY(Assumptions!$C$4,I138,Assumptions!$F$4:$F$44)</f>
        <v>46402</v>
      </c>
      <c r="L138" s="30" t="n">
        <f aca="false">IF(J138=0,K138,WORKDAY(K138,J138-1,Assumptions!$F$4:$F$44))</f>
        <v>46471</v>
      </c>
      <c r="M138" s="29" t="s">
        <v>359</v>
      </c>
      <c r="N138" s="31" t="n">
        <v>0</v>
      </c>
      <c r="O138" s="31" t="n">
        <v>3</v>
      </c>
      <c r="P138" s="31" t="n">
        <v>0</v>
      </c>
      <c r="Q138" s="31" t="n">
        <v>0</v>
      </c>
      <c r="R138" s="31" t="n">
        <v>0</v>
      </c>
      <c r="S138" s="31" t="n">
        <v>0</v>
      </c>
      <c r="T138" s="31" t="n">
        <v>0</v>
      </c>
      <c r="U138" s="31" t="n">
        <v>0</v>
      </c>
      <c r="V138" s="31" t="n">
        <v>0</v>
      </c>
      <c r="W138" s="31" t="n">
        <v>20</v>
      </c>
      <c r="X138" s="31" t="n">
        <v>0</v>
      </c>
      <c r="Y138" s="32" t="n">
        <f aca="false">SUM(N138:X138)</f>
        <v>23</v>
      </c>
      <c r="Z138" s="32" t="n">
        <f aca="false">Y138*(1+Assumptions!$C$5)</f>
        <v>26.45</v>
      </c>
      <c r="AA138" s="27" t="s">
        <v>334</v>
      </c>
      <c r="AB138" s="27" t="s">
        <v>95</v>
      </c>
      <c r="AC138" s="27"/>
      <c r="AD138" s="33" t="n">
        <v>0</v>
      </c>
      <c r="AF138" s="21" t="n">
        <f aca="false">IF($J138=0,0,MAX(0,NETWORKDAYS(MAX($K138,AF$4),MIN($L138,EOMONTH(AF$4,0)),Assumptions!$F$4:$F$44))/NETWORKDAYS($K138,$L138,Assumptions!$F$4:$F$44))</f>
        <v>0</v>
      </c>
      <c r="AG138" s="21" t="n">
        <f aca="false">IF($J138=0,0,MAX(0,NETWORKDAYS(MAX($K138,AG$4),MIN($L138,EOMONTH(AG$4,0)),Assumptions!$F$4:$F$44))/NETWORKDAYS($K138,$L138,Assumptions!$F$4:$F$44))</f>
        <v>0</v>
      </c>
      <c r="AH138" s="21" t="n">
        <f aca="false">IF($J138=0,0,MAX(0,NETWORKDAYS(MAX($K138,AH$4),MIN($L138,EOMONTH(AH$4,0)),Assumptions!$F$4:$F$44))/NETWORKDAYS($K138,$L138,Assumptions!$F$4:$F$44))</f>
        <v>0.22</v>
      </c>
      <c r="AI138" s="21" t="n">
        <f aca="false">IF($J138=0,0,MAX(0,NETWORKDAYS(MAX($K138,AI$4),MIN($L138,EOMONTH(AI$4,0)),Assumptions!$F$4:$F$44))/NETWORKDAYS($K138,$L138,Assumptions!$F$4:$F$44))</f>
        <v>0.4</v>
      </c>
      <c r="AJ138" s="21" t="n">
        <f aca="false">IF($J138=0,0,MAX(0,NETWORKDAYS(MAX($K138,AJ$4),MIN($L138,EOMONTH(AJ$4,0)),Assumptions!$F$4:$F$44))/NETWORKDAYS($K138,$L138,Assumptions!$F$4:$F$44))</f>
        <v>0.38</v>
      </c>
      <c r="AK138" s="21" t="n">
        <f aca="false">IF($J138=0,0,MAX(0,NETWORKDAYS(MAX($K138,AK$4),MIN($L138,EOMONTH(AK$4,0)),Assumptions!$F$4:$F$44))/NETWORKDAYS($K138,$L138,Assumptions!$F$4:$F$44))</f>
        <v>0</v>
      </c>
      <c r="AL138" s="21" t="n">
        <f aca="false">IF($J138=0,0,MAX(0,NETWORKDAYS(MAX($K138,AL$4),MIN($L138,EOMONTH(AL$4,0)),Assumptions!$F$4:$F$44))/NETWORKDAYS($K138,$L138,Assumptions!$F$4:$F$44))</f>
        <v>0</v>
      </c>
      <c r="AM138" s="21" t="n">
        <f aca="false">IF($J138=0,0,MAX(0,NETWORKDAYS(MAX($K138,AM$4),MIN($L138,EOMONTH(AM$4,0)),Assumptions!$F$4:$F$44))/NETWORKDAYS($K138,$L138,Assumptions!$F$4:$F$44))</f>
        <v>0</v>
      </c>
      <c r="AN138" s="21" t="n">
        <f aca="false">IF($J138=0,0,MAX(0,NETWORKDAYS(MAX($K138,AN$4),MIN($L138,EOMONTH(AN$4,0)),Assumptions!$F$4:$F$44))/NETWORKDAYS($K138,$L138,Assumptions!$F$4:$F$44))</f>
        <v>0</v>
      </c>
      <c r="AO138" s="21" t="n">
        <f aca="false">IF($J138=0,0,MAX(0,NETWORKDAYS(MAX($K138,AO$4),MIN($L138,EOMONTH(AO$4,0)),Assumptions!$F$4:$F$44))/NETWORKDAYS($K138,$L138,Assumptions!$F$4:$F$44))</f>
        <v>0</v>
      </c>
      <c r="AP138" s="21" t="n">
        <f aca="false">IF($J138=0,0,MAX(0,NETWORKDAYS(MAX($K138,AP$4),MIN($L138,EOMONTH(AP$4,0)),Assumptions!$F$4:$F$44))/NETWORKDAYS($K138,$L138,Assumptions!$F$4:$F$44))</f>
        <v>0</v>
      </c>
      <c r="AQ138" s="21" t="n">
        <f aca="false">IF($J138=0,0,MAX(0,NETWORKDAYS(MAX($K138,AQ$4),MIN($L138,EOMONTH(AQ$4,0)),Assumptions!$F$4:$F$44))/NETWORKDAYS($K138,$L138,Assumptions!$F$4:$F$44))</f>
        <v>0</v>
      </c>
      <c r="AR138" s="21" t="n">
        <f aca="false">IF($J138=0,0,MAX(0,NETWORKDAYS(MAX($K138,AR$4),MIN($L138,EOMONTH(AR$4,0)),Assumptions!$F$4:$F$44))/NETWORKDAYS($K138,$L138,Assumptions!$F$4:$F$44))</f>
        <v>0</v>
      </c>
      <c r="AS138" s="21" t="n">
        <f aca="false">IF($J138=0,0,MAX(0,NETWORKDAYS(MAX($K138,AS$4),MIN($L138,EOMONTH(AS$4,0)),Assumptions!$F$4:$F$44))/NETWORKDAYS($K138,$L138,Assumptions!$F$4:$F$44))</f>
        <v>0</v>
      </c>
      <c r="AT138" s="21" t="n">
        <f aca="false">IF($J138=0,0,MAX(0,NETWORKDAYS(MAX($K138,AT$4),MIN($L138,EOMONTH(AT$4,0)),Assumptions!$F$4:$F$44))/NETWORKDAYS($K138,$L138,Assumptions!$F$4:$F$44))</f>
        <v>0</v>
      </c>
      <c r="AU138" s="21" t="n">
        <f aca="false">IF($J138=0,0,MAX(0,NETWORKDAYS(MAX($K138,AU$4),MIN($L138,EOMONTH(AU$4,0)),Assumptions!$F$4:$F$44))/NETWORKDAYS($K138,$L138,Assumptions!$F$4:$F$44))</f>
        <v>0</v>
      </c>
      <c r="AV138" s="21" t="n">
        <f aca="false">IF($J138=0,0,MAX(0,NETWORKDAYS(MAX($K138,AV$4),MIN($L138,EOMONTH(AV$4,0)),Assumptions!$F$4:$F$44))/NETWORKDAYS($K138,$L138,Assumptions!$F$4:$F$44))</f>
        <v>0</v>
      </c>
      <c r="AW138" s="21" t="n">
        <f aca="false">IF($J138=0,0,MAX(0,NETWORKDAYS(MAX($K138,AW$4),MIN($L138,EOMONTH(AW$4,0)),Assumptions!$F$4:$F$44))/NETWORKDAYS($K138,$L138,Assumptions!$F$4:$F$44))</f>
        <v>0</v>
      </c>
      <c r="AX138" s="21" t="n">
        <f aca="false">IF($J138=0,0,MAX(0,NETWORKDAYS(MAX($K138,AX$4),MIN($L138,EOMONTH(AX$4,0)),Assumptions!$F$4:$F$44))/NETWORKDAYS($K138,$L138,Assumptions!$F$4:$F$44))</f>
        <v>0</v>
      </c>
      <c r="AY138" s="21" t="n">
        <f aca="false">IF($J138=0,0,MAX(0,NETWORKDAYS(MAX($K138,AY$4),MIN($L138,EOMONTH(AY$4,0)),Assumptions!$F$4:$F$44))/NETWORKDAYS($K138,$L138,Assumptions!$F$4:$F$44))</f>
        <v>0</v>
      </c>
      <c r="AZ138" s="21" t="n">
        <f aca="false">IF($J138=0,0,MAX(0,NETWORKDAYS(MAX($K138,AZ$4),MIN($L138,EOMONTH(AZ$4,0)),Assumptions!$F$4:$F$44))/NETWORKDAYS($K138,$L138,Assumptions!$F$4:$F$44))</f>
        <v>0</v>
      </c>
      <c r="BA138" s="21" t="n">
        <f aca="false">IF($J138=0,0,MAX(0,NETWORKDAYS(MAX($K138,BA$4),MIN($L138,EOMONTH(BA$4,0)),Assumptions!$F$4:$F$44))/NETWORKDAYS($K138,$L138,Assumptions!$F$4:$F$44))</f>
        <v>0</v>
      </c>
      <c r="BB138" s="21" t="n">
        <f aca="false">IF($J138=0,0,MAX(0,NETWORKDAYS(MAX($K138,BB$4),MIN($L138,EOMONTH(BB$4,0)),Assumptions!$F$4:$F$44))/NETWORKDAYS($K138,$L138,Assumptions!$F$4:$F$44))</f>
        <v>0</v>
      </c>
      <c r="BC138" s="21" t="n">
        <f aca="false">IF($J138=0,0,MAX(0,NETWORKDAYS(MAX($K138,BC$4),MIN($L138,EOMONTH(BC$4,0)),Assumptions!$F$4:$F$44))/NETWORKDAYS($K138,$L138,Assumptions!$F$4:$F$44))</f>
        <v>0</v>
      </c>
    </row>
    <row r="139" customFormat="false" ht="15" hidden="false" customHeight="false" outlineLevel="2" collapsed="false">
      <c r="A139" s="27" t="n">
        <v>135</v>
      </c>
      <c r="B139" s="27" t="s">
        <v>374</v>
      </c>
      <c r="C139" s="27" t="n">
        <v>3</v>
      </c>
      <c r="D139" s="27" t="s">
        <v>92</v>
      </c>
      <c r="E139" s="28" t="s">
        <v>336</v>
      </c>
      <c r="F139" s="27" t="s">
        <v>154</v>
      </c>
      <c r="G139" s="27" t="s">
        <v>352</v>
      </c>
      <c r="H139" s="27" t="s">
        <v>57</v>
      </c>
      <c r="I139" s="29" t="n">
        <v>89</v>
      </c>
      <c r="J139" s="29" t="n">
        <v>18</v>
      </c>
      <c r="K139" s="30" t="n">
        <f aca="false">WORKDAY(Assumptions!$C$4,I139,Assumptions!$F$4:$F$44)</f>
        <v>46451</v>
      </c>
      <c r="L139" s="30" t="n">
        <f aca="false">IF(J139=0,K139,WORKDAY(K139,J139-1,Assumptions!$F$4:$F$44))</f>
        <v>46476</v>
      </c>
      <c r="M139" s="29" t="s">
        <v>375</v>
      </c>
      <c r="N139" s="31" t="n">
        <v>0</v>
      </c>
      <c r="O139" s="31" t="n">
        <v>0</v>
      </c>
      <c r="P139" s="31" t="n">
        <v>0</v>
      </c>
      <c r="Q139" s="31" t="n">
        <v>0</v>
      </c>
      <c r="R139" s="31" t="n">
        <v>0</v>
      </c>
      <c r="S139" s="31" t="n">
        <v>0</v>
      </c>
      <c r="T139" s="31" t="n">
        <v>0</v>
      </c>
      <c r="U139" s="31" t="n">
        <v>0</v>
      </c>
      <c r="V139" s="31" t="n">
        <v>34</v>
      </c>
      <c r="W139" s="31" t="n">
        <v>0</v>
      </c>
      <c r="X139" s="31" t="n">
        <v>0</v>
      </c>
      <c r="Y139" s="32" t="n">
        <f aca="false">SUM(N139:X139)</f>
        <v>34</v>
      </c>
      <c r="Z139" s="32" t="n">
        <f aca="false">Y139*(1+Assumptions!$C$5)</f>
        <v>39.1</v>
      </c>
      <c r="AA139" s="27" t="s">
        <v>338</v>
      </c>
      <c r="AB139" s="27" t="s">
        <v>95</v>
      </c>
      <c r="AC139" s="27"/>
      <c r="AD139" s="33" t="n">
        <v>0</v>
      </c>
      <c r="AF139" s="21" t="n">
        <f aca="false">IF($J139=0,0,MAX(0,NETWORKDAYS(MAX($K139,AF$4),MIN($L139,EOMONTH(AF$4,0)),Assumptions!$F$4:$F$44))/NETWORKDAYS($K139,$L139,Assumptions!$F$4:$F$44))</f>
        <v>0</v>
      </c>
      <c r="AG139" s="21" t="n">
        <f aca="false">IF($J139=0,0,MAX(0,NETWORKDAYS(MAX($K139,AG$4),MIN($L139,EOMONTH(AG$4,0)),Assumptions!$F$4:$F$44))/NETWORKDAYS($K139,$L139,Assumptions!$F$4:$F$44))</f>
        <v>0</v>
      </c>
      <c r="AH139" s="21" t="n">
        <f aca="false">IF($J139=0,0,MAX(0,NETWORKDAYS(MAX($K139,AH$4),MIN($L139,EOMONTH(AH$4,0)),Assumptions!$F$4:$F$44))/NETWORKDAYS($K139,$L139,Assumptions!$F$4:$F$44))</f>
        <v>0</v>
      </c>
      <c r="AI139" s="21" t="n">
        <f aca="false">IF($J139=0,0,MAX(0,NETWORKDAYS(MAX($K139,AI$4),MIN($L139,EOMONTH(AI$4,0)),Assumptions!$F$4:$F$44))/NETWORKDAYS($K139,$L139,Assumptions!$F$4:$F$44))</f>
        <v>0</v>
      </c>
      <c r="AJ139" s="21" t="n">
        <f aca="false">IF($J139=0,0,MAX(0,NETWORKDAYS(MAX($K139,AJ$4),MIN($L139,EOMONTH(AJ$4,0)),Assumptions!$F$4:$F$44))/NETWORKDAYS($K139,$L139,Assumptions!$F$4:$F$44))</f>
        <v>1</v>
      </c>
      <c r="AK139" s="21" t="n">
        <f aca="false">IF($J139=0,0,MAX(0,NETWORKDAYS(MAX($K139,AK$4),MIN($L139,EOMONTH(AK$4,0)),Assumptions!$F$4:$F$44))/NETWORKDAYS($K139,$L139,Assumptions!$F$4:$F$44))</f>
        <v>0</v>
      </c>
      <c r="AL139" s="21" t="n">
        <f aca="false">IF($J139=0,0,MAX(0,NETWORKDAYS(MAX($K139,AL$4),MIN($L139,EOMONTH(AL$4,0)),Assumptions!$F$4:$F$44))/NETWORKDAYS($K139,$L139,Assumptions!$F$4:$F$44))</f>
        <v>0</v>
      </c>
      <c r="AM139" s="21" t="n">
        <f aca="false">IF($J139=0,0,MAX(0,NETWORKDAYS(MAX($K139,AM$4),MIN($L139,EOMONTH(AM$4,0)),Assumptions!$F$4:$F$44))/NETWORKDAYS($K139,$L139,Assumptions!$F$4:$F$44))</f>
        <v>0</v>
      </c>
      <c r="AN139" s="21" t="n">
        <f aca="false">IF($J139=0,0,MAX(0,NETWORKDAYS(MAX($K139,AN$4),MIN($L139,EOMONTH(AN$4,0)),Assumptions!$F$4:$F$44))/NETWORKDAYS($K139,$L139,Assumptions!$F$4:$F$44))</f>
        <v>0</v>
      </c>
      <c r="AO139" s="21" t="n">
        <f aca="false">IF($J139=0,0,MAX(0,NETWORKDAYS(MAX($K139,AO$4),MIN($L139,EOMONTH(AO$4,0)),Assumptions!$F$4:$F$44))/NETWORKDAYS($K139,$L139,Assumptions!$F$4:$F$44))</f>
        <v>0</v>
      </c>
      <c r="AP139" s="21" t="n">
        <f aca="false">IF($J139=0,0,MAX(0,NETWORKDAYS(MAX($K139,AP$4),MIN($L139,EOMONTH(AP$4,0)),Assumptions!$F$4:$F$44))/NETWORKDAYS($K139,$L139,Assumptions!$F$4:$F$44))</f>
        <v>0</v>
      </c>
      <c r="AQ139" s="21" t="n">
        <f aca="false">IF($J139=0,0,MAX(0,NETWORKDAYS(MAX($K139,AQ$4),MIN($L139,EOMONTH(AQ$4,0)),Assumptions!$F$4:$F$44))/NETWORKDAYS($K139,$L139,Assumptions!$F$4:$F$44))</f>
        <v>0</v>
      </c>
      <c r="AR139" s="21" t="n">
        <f aca="false">IF($J139=0,0,MAX(0,NETWORKDAYS(MAX($K139,AR$4),MIN($L139,EOMONTH(AR$4,0)),Assumptions!$F$4:$F$44))/NETWORKDAYS($K139,$L139,Assumptions!$F$4:$F$44))</f>
        <v>0</v>
      </c>
      <c r="AS139" s="21" t="n">
        <f aca="false">IF($J139=0,0,MAX(0,NETWORKDAYS(MAX($K139,AS$4),MIN($L139,EOMONTH(AS$4,0)),Assumptions!$F$4:$F$44))/NETWORKDAYS($K139,$L139,Assumptions!$F$4:$F$44))</f>
        <v>0</v>
      </c>
      <c r="AT139" s="21" t="n">
        <f aca="false">IF($J139=0,0,MAX(0,NETWORKDAYS(MAX($K139,AT$4),MIN($L139,EOMONTH(AT$4,0)),Assumptions!$F$4:$F$44))/NETWORKDAYS($K139,$L139,Assumptions!$F$4:$F$44))</f>
        <v>0</v>
      </c>
      <c r="AU139" s="21" t="n">
        <f aca="false">IF($J139=0,0,MAX(0,NETWORKDAYS(MAX($K139,AU$4),MIN($L139,EOMONTH(AU$4,0)),Assumptions!$F$4:$F$44))/NETWORKDAYS($K139,$L139,Assumptions!$F$4:$F$44))</f>
        <v>0</v>
      </c>
      <c r="AV139" s="21" t="n">
        <f aca="false">IF($J139=0,0,MAX(0,NETWORKDAYS(MAX($K139,AV$4),MIN($L139,EOMONTH(AV$4,0)),Assumptions!$F$4:$F$44))/NETWORKDAYS($K139,$L139,Assumptions!$F$4:$F$44))</f>
        <v>0</v>
      </c>
      <c r="AW139" s="21" t="n">
        <f aca="false">IF($J139=0,0,MAX(0,NETWORKDAYS(MAX($K139,AW$4),MIN($L139,EOMONTH(AW$4,0)),Assumptions!$F$4:$F$44))/NETWORKDAYS($K139,$L139,Assumptions!$F$4:$F$44))</f>
        <v>0</v>
      </c>
      <c r="AX139" s="21" t="n">
        <f aca="false">IF($J139=0,0,MAX(0,NETWORKDAYS(MAX($K139,AX$4),MIN($L139,EOMONTH(AX$4,0)),Assumptions!$F$4:$F$44))/NETWORKDAYS($K139,$L139,Assumptions!$F$4:$F$44))</f>
        <v>0</v>
      </c>
      <c r="AY139" s="21" t="n">
        <f aca="false">IF($J139=0,0,MAX(0,NETWORKDAYS(MAX($K139,AY$4),MIN($L139,EOMONTH(AY$4,0)),Assumptions!$F$4:$F$44))/NETWORKDAYS($K139,$L139,Assumptions!$F$4:$F$44))</f>
        <v>0</v>
      </c>
      <c r="AZ139" s="21" t="n">
        <f aca="false">IF($J139=0,0,MAX(0,NETWORKDAYS(MAX($K139,AZ$4),MIN($L139,EOMONTH(AZ$4,0)),Assumptions!$F$4:$F$44))/NETWORKDAYS($K139,$L139,Assumptions!$F$4:$F$44))</f>
        <v>0</v>
      </c>
      <c r="BA139" s="21" t="n">
        <f aca="false">IF($J139=0,0,MAX(0,NETWORKDAYS(MAX($K139,BA$4),MIN($L139,EOMONTH(BA$4,0)),Assumptions!$F$4:$F$44))/NETWORKDAYS($K139,$L139,Assumptions!$F$4:$F$44))</f>
        <v>0</v>
      </c>
      <c r="BB139" s="21" t="n">
        <f aca="false">IF($J139=0,0,MAX(0,NETWORKDAYS(MAX($K139,BB$4),MIN($L139,EOMONTH(BB$4,0)),Assumptions!$F$4:$F$44))/NETWORKDAYS($K139,$L139,Assumptions!$F$4:$F$44))</f>
        <v>0</v>
      </c>
      <c r="BC139" s="21" t="n">
        <f aca="false">IF($J139=0,0,MAX(0,NETWORKDAYS(MAX($K139,BC$4),MIN($L139,EOMONTH(BC$4,0)),Assumptions!$F$4:$F$44))/NETWORKDAYS($K139,$L139,Assumptions!$F$4:$F$44))</f>
        <v>0</v>
      </c>
    </row>
    <row r="140" customFormat="false" ht="15" hidden="false" customHeight="false" outlineLevel="2" collapsed="false">
      <c r="A140" s="27" t="n">
        <v>136</v>
      </c>
      <c r="B140" s="27" t="s">
        <v>376</v>
      </c>
      <c r="C140" s="27" t="n">
        <v>3</v>
      </c>
      <c r="D140" s="27" t="s">
        <v>92</v>
      </c>
      <c r="E140" s="28" t="s">
        <v>340</v>
      </c>
      <c r="F140" s="27" t="s">
        <v>154</v>
      </c>
      <c r="G140" s="27" t="s">
        <v>352</v>
      </c>
      <c r="H140" s="27" t="s">
        <v>47</v>
      </c>
      <c r="I140" s="29" t="n">
        <v>93</v>
      </c>
      <c r="J140" s="29" t="n">
        <v>22</v>
      </c>
      <c r="K140" s="30" t="n">
        <f aca="false">WORKDAY(Assumptions!$C$4,I140,Assumptions!$F$4:$F$44)</f>
        <v>46457</v>
      </c>
      <c r="L140" s="30" t="n">
        <f aca="false">IF(J140=0,K140,WORKDAY(K140,J140-1,Assumptions!$F$4:$F$44))</f>
        <v>46486</v>
      </c>
      <c r="M140" s="29" t="s">
        <v>377</v>
      </c>
      <c r="N140" s="31" t="n">
        <v>0</v>
      </c>
      <c r="O140" s="31" t="n">
        <v>0</v>
      </c>
      <c r="P140" s="31" t="n">
        <v>0</v>
      </c>
      <c r="Q140" s="31" t="n">
        <v>13</v>
      </c>
      <c r="R140" s="31" t="n">
        <v>8</v>
      </c>
      <c r="S140" s="31" t="n">
        <v>0</v>
      </c>
      <c r="T140" s="31" t="n">
        <v>0</v>
      </c>
      <c r="U140" s="31" t="n">
        <v>0</v>
      </c>
      <c r="V140" s="31" t="n">
        <v>7</v>
      </c>
      <c r="W140" s="31" t="n">
        <v>0</v>
      </c>
      <c r="X140" s="31" t="n">
        <v>0</v>
      </c>
      <c r="Y140" s="32" t="n">
        <f aca="false">SUM(N140:X140)</f>
        <v>28</v>
      </c>
      <c r="Z140" s="32" t="n">
        <f aca="false">Y140*(1+Assumptions!$C$5)</f>
        <v>32.2</v>
      </c>
      <c r="AA140" s="27" t="s">
        <v>342</v>
      </c>
      <c r="AB140" s="27" t="s">
        <v>95</v>
      </c>
      <c r="AC140" s="27"/>
      <c r="AD140" s="33" t="n">
        <v>0</v>
      </c>
      <c r="AF140" s="21" t="n">
        <f aca="false">IF($J140=0,0,MAX(0,NETWORKDAYS(MAX($K140,AF$4),MIN($L140,EOMONTH(AF$4,0)),Assumptions!$F$4:$F$44))/NETWORKDAYS($K140,$L140,Assumptions!$F$4:$F$44))</f>
        <v>0</v>
      </c>
      <c r="AG140" s="21" t="n">
        <f aca="false">IF($J140=0,0,MAX(0,NETWORKDAYS(MAX($K140,AG$4),MIN($L140,EOMONTH(AG$4,0)),Assumptions!$F$4:$F$44))/NETWORKDAYS($K140,$L140,Assumptions!$F$4:$F$44))</f>
        <v>0</v>
      </c>
      <c r="AH140" s="21" t="n">
        <f aca="false">IF($J140=0,0,MAX(0,NETWORKDAYS(MAX($K140,AH$4),MIN($L140,EOMONTH(AH$4,0)),Assumptions!$F$4:$F$44))/NETWORKDAYS($K140,$L140,Assumptions!$F$4:$F$44))</f>
        <v>0</v>
      </c>
      <c r="AI140" s="21" t="n">
        <f aca="false">IF($J140=0,0,MAX(0,NETWORKDAYS(MAX($K140,AI$4),MIN($L140,EOMONTH(AI$4,0)),Assumptions!$F$4:$F$44))/NETWORKDAYS($K140,$L140,Assumptions!$F$4:$F$44))</f>
        <v>0</v>
      </c>
      <c r="AJ140" s="21" t="n">
        <f aca="false">IF($J140=0,0,MAX(0,NETWORKDAYS(MAX($K140,AJ$4),MIN($L140,EOMONTH(AJ$4,0)),Assumptions!$F$4:$F$44))/NETWORKDAYS($K140,$L140,Assumptions!$F$4:$F$44))</f>
        <v>0.681818181818182</v>
      </c>
      <c r="AK140" s="21" t="n">
        <f aca="false">IF($J140=0,0,MAX(0,NETWORKDAYS(MAX($K140,AK$4),MIN($L140,EOMONTH(AK$4,0)),Assumptions!$F$4:$F$44))/NETWORKDAYS($K140,$L140,Assumptions!$F$4:$F$44))</f>
        <v>0.318181818181818</v>
      </c>
      <c r="AL140" s="21" t="n">
        <f aca="false">IF($J140=0,0,MAX(0,NETWORKDAYS(MAX($K140,AL$4),MIN($L140,EOMONTH(AL$4,0)),Assumptions!$F$4:$F$44))/NETWORKDAYS($K140,$L140,Assumptions!$F$4:$F$44))</f>
        <v>0</v>
      </c>
      <c r="AM140" s="21" t="n">
        <f aca="false">IF($J140=0,0,MAX(0,NETWORKDAYS(MAX($K140,AM$4),MIN($L140,EOMONTH(AM$4,0)),Assumptions!$F$4:$F$44))/NETWORKDAYS($K140,$L140,Assumptions!$F$4:$F$44))</f>
        <v>0</v>
      </c>
      <c r="AN140" s="21" t="n">
        <f aca="false">IF($J140=0,0,MAX(0,NETWORKDAYS(MAX($K140,AN$4),MIN($L140,EOMONTH(AN$4,0)),Assumptions!$F$4:$F$44))/NETWORKDAYS($K140,$L140,Assumptions!$F$4:$F$44))</f>
        <v>0</v>
      </c>
      <c r="AO140" s="21" t="n">
        <f aca="false">IF($J140=0,0,MAX(0,NETWORKDAYS(MAX($K140,AO$4),MIN($L140,EOMONTH(AO$4,0)),Assumptions!$F$4:$F$44))/NETWORKDAYS($K140,$L140,Assumptions!$F$4:$F$44))</f>
        <v>0</v>
      </c>
      <c r="AP140" s="21" t="n">
        <f aca="false">IF($J140=0,0,MAX(0,NETWORKDAYS(MAX($K140,AP$4),MIN($L140,EOMONTH(AP$4,0)),Assumptions!$F$4:$F$44))/NETWORKDAYS($K140,$L140,Assumptions!$F$4:$F$44))</f>
        <v>0</v>
      </c>
      <c r="AQ140" s="21" t="n">
        <f aca="false">IF($J140=0,0,MAX(0,NETWORKDAYS(MAX($K140,AQ$4),MIN($L140,EOMONTH(AQ$4,0)),Assumptions!$F$4:$F$44))/NETWORKDAYS($K140,$L140,Assumptions!$F$4:$F$44))</f>
        <v>0</v>
      </c>
      <c r="AR140" s="21" t="n">
        <f aca="false">IF($J140=0,0,MAX(0,NETWORKDAYS(MAX($K140,AR$4),MIN($L140,EOMONTH(AR$4,0)),Assumptions!$F$4:$F$44))/NETWORKDAYS($K140,$L140,Assumptions!$F$4:$F$44))</f>
        <v>0</v>
      </c>
      <c r="AS140" s="21" t="n">
        <f aca="false">IF($J140=0,0,MAX(0,NETWORKDAYS(MAX($K140,AS$4),MIN($L140,EOMONTH(AS$4,0)),Assumptions!$F$4:$F$44))/NETWORKDAYS($K140,$L140,Assumptions!$F$4:$F$44))</f>
        <v>0</v>
      </c>
      <c r="AT140" s="21" t="n">
        <f aca="false">IF($J140=0,0,MAX(0,NETWORKDAYS(MAX($K140,AT$4),MIN($L140,EOMONTH(AT$4,0)),Assumptions!$F$4:$F$44))/NETWORKDAYS($K140,$L140,Assumptions!$F$4:$F$44))</f>
        <v>0</v>
      </c>
      <c r="AU140" s="21" t="n">
        <f aca="false">IF($J140=0,0,MAX(0,NETWORKDAYS(MAX($K140,AU$4),MIN($L140,EOMONTH(AU$4,0)),Assumptions!$F$4:$F$44))/NETWORKDAYS($K140,$L140,Assumptions!$F$4:$F$44))</f>
        <v>0</v>
      </c>
      <c r="AV140" s="21" t="n">
        <f aca="false">IF($J140=0,0,MAX(0,NETWORKDAYS(MAX($K140,AV$4),MIN($L140,EOMONTH(AV$4,0)),Assumptions!$F$4:$F$44))/NETWORKDAYS($K140,$L140,Assumptions!$F$4:$F$44))</f>
        <v>0</v>
      </c>
      <c r="AW140" s="21" t="n">
        <f aca="false">IF($J140=0,0,MAX(0,NETWORKDAYS(MAX($K140,AW$4),MIN($L140,EOMONTH(AW$4,0)),Assumptions!$F$4:$F$44))/NETWORKDAYS($K140,$L140,Assumptions!$F$4:$F$44))</f>
        <v>0</v>
      </c>
      <c r="AX140" s="21" t="n">
        <f aca="false">IF($J140=0,0,MAX(0,NETWORKDAYS(MAX($K140,AX$4),MIN($L140,EOMONTH(AX$4,0)),Assumptions!$F$4:$F$44))/NETWORKDAYS($K140,$L140,Assumptions!$F$4:$F$44))</f>
        <v>0</v>
      </c>
      <c r="AY140" s="21" t="n">
        <f aca="false">IF($J140=0,0,MAX(0,NETWORKDAYS(MAX($K140,AY$4),MIN($L140,EOMONTH(AY$4,0)),Assumptions!$F$4:$F$44))/NETWORKDAYS($K140,$L140,Assumptions!$F$4:$F$44))</f>
        <v>0</v>
      </c>
      <c r="AZ140" s="21" t="n">
        <f aca="false">IF($J140=0,0,MAX(0,NETWORKDAYS(MAX($K140,AZ$4),MIN($L140,EOMONTH(AZ$4,0)),Assumptions!$F$4:$F$44))/NETWORKDAYS($K140,$L140,Assumptions!$F$4:$F$44))</f>
        <v>0</v>
      </c>
      <c r="BA140" s="21" t="n">
        <f aca="false">IF($J140=0,0,MAX(0,NETWORKDAYS(MAX($K140,BA$4),MIN($L140,EOMONTH(BA$4,0)),Assumptions!$F$4:$F$44))/NETWORKDAYS($K140,$L140,Assumptions!$F$4:$F$44))</f>
        <v>0</v>
      </c>
      <c r="BB140" s="21" t="n">
        <f aca="false">IF($J140=0,0,MAX(0,NETWORKDAYS(MAX($K140,BB$4),MIN($L140,EOMONTH(BB$4,0)),Assumptions!$F$4:$F$44))/NETWORKDAYS($K140,$L140,Assumptions!$F$4:$F$44))</f>
        <v>0</v>
      </c>
      <c r="BC140" s="21" t="n">
        <f aca="false">IF($J140=0,0,MAX(0,NETWORKDAYS(MAX($K140,BC$4),MIN($L140,EOMONTH(BC$4,0)),Assumptions!$F$4:$F$44))/NETWORKDAYS($K140,$L140,Assumptions!$F$4:$F$44))</f>
        <v>0</v>
      </c>
    </row>
    <row r="141" customFormat="false" ht="15" hidden="false" customHeight="false" outlineLevel="2" collapsed="false">
      <c r="A141" s="27" t="n">
        <v>137</v>
      </c>
      <c r="B141" s="27" t="s">
        <v>378</v>
      </c>
      <c r="C141" s="27" t="n">
        <v>3</v>
      </c>
      <c r="D141" s="27" t="s">
        <v>92</v>
      </c>
      <c r="E141" s="28" t="s">
        <v>344</v>
      </c>
      <c r="F141" s="27" t="s">
        <v>154</v>
      </c>
      <c r="G141" s="27" t="s">
        <v>352</v>
      </c>
      <c r="H141" s="27" t="s">
        <v>43</v>
      </c>
      <c r="I141" s="29" t="n">
        <v>107</v>
      </c>
      <c r="J141" s="29" t="n">
        <v>11</v>
      </c>
      <c r="K141" s="30" t="n">
        <f aca="false">WORKDAY(Assumptions!$C$4,I141,Assumptions!$F$4:$F$44)</f>
        <v>46477</v>
      </c>
      <c r="L141" s="30" t="n">
        <f aca="false">IF(J141=0,K141,WORKDAY(K141,J141-1,Assumptions!$F$4:$F$44))</f>
        <v>46491</v>
      </c>
      <c r="M141" s="29" t="s">
        <v>377</v>
      </c>
      <c r="N141" s="31" t="n">
        <v>0</v>
      </c>
      <c r="O141" s="31" t="n">
        <v>8</v>
      </c>
      <c r="P141" s="31" t="n">
        <v>0</v>
      </c>
      <c r="Q141" s="31" t="n">
        <v>0</v>
      </c>
      <c r="R141" s="31" t="n">
        <v>0</v>
      </c>
      <c r="S141" s="31" t="n">
        <v>0</v>
      </c>
      <c r="T141" s="31" t="n">
        <v>0</v>
      </c>
      <c r="U141" s="31" t="n">
        <v>0</v>
      </c>
      <c r="V141" s="31" t="n">
        <v>8</v>
      </c>
      <c r="W141" s="31" t="n">
        <v>0</v>
      </c>
      <c r="X141" s="31" t="n">
        <v>0</v>
      </c>
      <c r="Y141" s="32" t="n">
        <f aca="false">SUM(N141:X141)</f>
        <v>16</v>
      </c>
      <c r="Z141" s="32" t="n">
        <f aca="false">Y141*(1+Assumptions!$C$5)</f>
        <v>18.4</v>
      </c>
      <c r="AA141" s="27" t="s">
        <v>345</v>
      </c>
      <c r="AB141" s="27" t="s">
        <v>95</v>
      </c>
      <c r="AC141" s="27"/>
      <c r="AD141" s="33" t="n">
        <v>0</v>
      </c>
      <c r="AF141" s="21" t="n">
        <f aca="false">IF($J141=0,0,MAX(0,NETWORKDAYS(MAX($K141,AF$4),MIN($L141,EOMONTH(AF$4,0)),Assumptions!$F$4:$F$44))/NETWORKDAYS($K141,$L141,Assumptions!$F$4:$F$44))</f>
        <v>0</v>
      </c>
      <c r="AG141" s="21" t="n">
        <f aca="false">IF($J141=0,0,MAX(0,NETWORKDAYS(MAX($K141,AG$4),MIN($L141,EOMONTH(AG$4,0)),Assumptions!$F$4:$F$44))/NETWORKDAYS($K141,$L141,Assumptions!$F$4:$F$44))</f>
        <v>0</v>
      </c>
      <c r="AH141" s="21" t="n">
        <f aca="false">IF($J141=0,0,MAX(0,NETWORKDAYS(MAX($K141,AH$4),MIN($L141,EOMONTH(AH$4,0)),Assumptions!$F$4:$F$44))/NETWORKDAYS($K141,$L141,Assumptions!$F$4:$F$44))</f>
        <v>0</v>
      </c>
      <c r="AI141" s="21" t="n">
        <f aca="false">IF($J141=0,0,MAX(0,NETWORKDAYS(MAX($K141,AI$4),MIN($L141,EOMONTH(AI$4,0)),Assumptions!$F$4:$F$44))/NETWORKDAYS($K141,$L141,Assumptions!$F$4:$F$44))</f>
        <v>0</v>
      </c>
      <c r="AJ141" s="21" t="n">
        <f aca="false">IF($J141=0,0,MAX(0,NETWORKDAYS(MAX($K141,AJ$4),MIN($L141,EOMONTH(AJ$4,0)),Assumptions!$F$4:$F$44))/NETWORKDAYS($K141,$L141,Assumptions!$F$4:$F$44))</f>
        <v>0.0909090909090909</v>
      </c>
      <c r="AK141" s="21" t="n">
        <f aca="false">IF($J141=0,0,MAX(0,NETWORKDAYS(MAX($K141,AK$4),MIN($L141,EOMONTH(AK$4,0)),Assumptions!$F$4:$F$44))/NETWORKDAYS($K141,$L141,Assumptions!$F$4:$F$44))</f>
        <v>0.909090909090909</v>
      </c>
      <c r="AL141" s="21" t="n">
        <f aca="false">IF($J141=0,0,MAX(0,NETWORKDAYS(MAX($K141,AL$4),MIN($L141,EOMONTH(AL$4,0)),Assumptions!$F$4:$F$44))/NETWORKDAYS($K141,$L141,Assumptions!$F$4:$F$44))</f>
        <v>0</v>
      </c>
      <c r="AM141" s="21" t="n">
        <f aca="false">IF($J141=0,0,MAX(0,NETWORKDAYS(MAX($K141,AM$4),MIN($L141,EOMONTH(AM$4,0)),Assumptions!$F$4:$F$44))/NETWORKDAYS($K141,$L141,Assumptions!$F$4:$F$44))</f>
        <v>0</v>
      </c>
      <c r="AN141" s="21" t="n">
        <f aca="false">IF($J141=0,0,MAX(0,NETWORKDAYS(MAX($K141,AN$4),MIN($L141,EOMONTH(AN$4,0)),Assumptions!$F$4:$F$44))/NETWORKDAYS($K141,$L141,Assumptions!$F$4:$F$44))</f>
        <v>0</v>
      </c>
      <c r="AO141" s="21" t="n">
        <f aca="false">IF($J141=0,0,MAX(0,NETWORKDAYS(MAX($K141,AO$4),MIN($L141,EOMONTH(AO$4,0)),Assumptions!$F$4:$F$44))/NETWORKDAYS($K141,$L141,Assumptions!$F$4:$F$44))</f>
        <v>0</v>
      </c>
      <c r="AP141" s="21" t="n">
        <f aca="false">IF($J141=0,0,MAX(0,NETWORKDAYS(MAX($K141,AP$4),MIN($L141,EOMONTH(AP$4,0)),Assumptions!$F$4:$F$44))/NETWORKDAYS($K141,$L141,Assumptions!$F$4:$F$44))</f>
        <v>0</v>
      </c>
      <c r="AQ141" s="21" t="n">
        <f aca="false">IF($J141=0,0,MAX(0,NETWORKDAYS(MAX($K141,AQ$4),MIN($L141,EOMONTH(AQ$4,0)),Assumptions!$F$4:$F$44))/NETWORKDAYS($K141,$L141,Assumptions!$F$4:$F$44))</f>
        <v>0</v>
      </c>
      <c r="AR141" s="21" t="n">
        <f aca="false">IF($J141=0,0,MAX(0,NETWORKDAYS(MAX($K141,AR$4),MIN($L141,EOMONTH(AR$4,0)),Assumptions!$F$4:$F$44))/NETWORKDAYS($K141,$L141,Assumptions!$F$4:$F$44))</f>
        <v>0</v>
      </c>
      <c r="AS141" s="21" t="n">
        <f aca="false">IF($J141=0,0,MAX(0,NETWORKDAYS(MAX($K141,AS$4),MIN($L141,EOMONTH(AS$4,0)),Assumptions!$F$4:$F$44))/NETWORKDAYS($K141,$L141,Assumptions!$F$4:$F$44))</f>
        <v>0</v>
      </c>
      <c r="AT141" s="21" t="n">
        <f aca="false">IF($J141=0,0,MAX(0,NETWORKDAYS(MAX($K141,AT$4),MIN($L141,EOMONTH(AT$4,0)),Assumptions!$F$4:$F$44))/NETWORKDAYS($K141,$L141,Assumptions!$F$4:$F$44))</f>
        <v>0</v>
      </c>
      <c r="AU141" s="21" t="n">
        <f aca="false">IF($J141=0,0,MAX(0,NETWORKDAYS(MAX($K141,AU$4),MIN($L141,EOMONTH(AU$4,0)),Assumptions!$F$4:$F$44))/NETWORKDAYS($K141,$L141,Assumptions!$F$4:$F$44))</f>
        <v>0</v>
      </c>
      <c r="AV141" s="21" t="n">
        <f aca="false">IF($J141=0,0,MAX(0,NETWORKDAYS(MAX($K141,AV$4),MIN($L141,EOMONTH(AV$4,0)),Assumptions!$F$4:$F$44))/NETWORKDAYS($K141,$L141,Assumptions!$F$4:$F$44))</f>
        <v>0</v>
      </c>
      <c r="AW141" s="21" t="n">
        <f aca="false">IF($J141=0,0,MAX(0,NETWORKDAYS(MAX($K141,AW$4),MIN($L141,EOMONTH(AW$4,0)),Assumptions!$F$4:$F$44))/NETWORKDAYS($K141,$L141,Assumptions!$F$4:$F$44))</f>
        <v>0</v>
      </c>
      <c r="AX141" s="21" t="n">
        <f aca="false">IF($J141=0,0,MAX(0,NETWORKDAYS(MAX($K141,AX$4),MIN($L141,EOMONTH(AX$4,0)),Assumptions!$F$4:$F$44))/NETWORKDAYS($K141,$L141,Assumptions!$F$4:$F$44))</f>
        <v>0</v>
      </c>
      <c r="AY141" s="21" t="n">
        <f aca="false">IF($J141=0,0,MAX(0,NETWORKDAYS(MAX($K141,AY$4),MIN($L141,EOMONTH(AY$4,0)),Assumptions!$F$4:$F$44))/NETWORKDAYS($K141,$L141,Assumptions!$F$4:$F$44))</f>
        <v>0</v>
      </c>
      <c r="AZ141" s="21" t="n">
        <f aca="false">IF($J141=0,0,MAX(0,NETWORKDAYS(MAX($K141,AZ$4),MIN($L141,EOMONTH(AZ$4,0)),Assumptions!$F$4:$F$44))/NETWORKDAYS($K141,$L141,Assumptions!$F$4:$F$44))</f>
        <v>0</v>
      </c>
      <c r="BA141" s="21" t="n">
        <f aca="false">IF($J141=0,0,MAX(0,NETWORKDAYS(MAX($K141,BA$4),MIN($L141,EOMONTH(BA$4,0)),Assumptions!$F$4:$F$44))/NETWORKDAYS($K141,$L141,Assumptions!$F$4:$F$44))</f>
        <v>0</v>
      </c>
      <c r="BB141" s="21" t="n">
        <f aca="false">IF($J141=0,0,MAX(0,NETWORKDAYS(MAX($K141,BB$4),MIN($L141,EOMONTH(BB$4,0)),Assumptions!$F$4:$F$44))/NETWORKDAYS($K141,$L141,Assumptions!$F$4:$F$44))</f>
        <v>0</v>
      </c>
      <c r="BC141" s="21" t="n">
        <f aca="false">IF($J141=0,0,MAX(0,NETWORKDAYS(MAX($K141,BC$4),MIN($L141,EOMONTH(BC$4,0)),Assumptions!$F$4:$F$44))/NETWORKDAYS($K141,$L141,Assumptions!$F$4:$F$44))</f>
        <v>0</v>
      </c>
    </row>
    <row r="142" customFormat="false" ht="15" hidden="false" customHeight="false" outlineLevel="2" collapsed="false">
      <c r="A142" s="27" t="n">
        <v>138</v>
      </c>
      <c r="B142" s="27" t="s">
        <v>379</v>
      </c>
      <c r="C142" s="27" t="n">
        <v>3</v>
      </c>
      <c r="D142" s="27" t="s">
        <v>92</v>
      </c>
      <c r="E142" s="28" t="s">
        <v>347</v>
      </c>
      <c r="F142" s="27" t="s">
        <v>154</v>
      </c>
      <c r="G142" s="27" t="s">
        <v>352</v>
      </c>
      <c r="H142" s="27" t="s">
        <v>61</v>
      </c>
      <c r="I142" s="29" t="n">
        <v>110</v>
      </c>
      <c r="J142" s="29" t="n">
        <v>11</v>
      </c>
      <c r="K142" s="30" t="n">
        <f aca="false">WORKDAY(Assumptions!$C$4,I142,Assumptions!$F$4:$F$44)</f>
        <v>46482</v>
      </c>
      <c r="L142" s="30" t="n">
        <f aca="false">IF(J142=0,K142,WORKDAY(K142,J142-1,Assumptions!$F$4:$F$44))</f>
        <v>46496</v>
      </c>
      <c r="M142" s="29" t="s">
        <v>380</v>
      </c>
      <c r="N142" s="31" t="n">
        <v>0</v>
      </c>
      <c r="O142" s="31" t="n">
        <v>3</v>
      </c>
      <c r="P142" s="31" t="n">
        <v>0</v>
      </c>
      <c r="Q142" s="31" t="n">
        <v>0</v>
      </c>
      <c r="R142" s="31" t="n">
        <v>0</v>
      </c>
      <c r="S142" s="31" t="n">
        <v>0</v>
      </c>
      <c r="T142" s="31" t="n">
        <v>0</v>
      </c>
      <c r="U142" s="31" t="n">
        <v>0</v>
      </c>
      <c r="V142" s="31" t="n">
        <v>0</v>
      </c>
      <c r="W142" s="31" t="n">
        <v>0</v>
      </c>
      <c r="X142" s="31" t="n">
        <v>10</v>
      </c>
      <c r="Y142" s="32" t="n">
        <f aca="false">SUM(N142:X142)</f>
        <v>13</v>
      </c>
      <c r="Z142" s="32" t="n">
        <f aca="false">Y142*(1+Assumptions!$C$5)</f>
        <v>14.95</v>
      </c>
      <c r="AA142" s="27" t="s">
        <v>349</v>
      </c>
      <c r="AB142" s="27" t="s">
        <v>95</v>
      </c>
      <c r="AC142" s="27"/>
      <c r="AD142" s="33" t="n">
        <v>0</v>
      </c>
      <c r="AF142" s="21" t="n">
        <f aca="false">IF($J142=0,0,MAX(0,NETWORKDAYS(MAX($K142,AF$4),MIN($L142,EOMONTH(AF$4,0)),Assumptions!$F$4:$F$44))/NETWORKDAYS($K142,$L142,Assumptions!$F$4:$F$44))</f>
        <v>0</v>
      </c>
      <c r="AG142" s="21" t="n">
        <f aca="false">IF($J142=0,0,MAX(0,NETWORKDAYS(MAX($K142,AG$4),MIN($L142,EOMONTH(AG$4,0)),Assumptions!$F$4:$F$44))/NETWORKDAYS($K142,$L142,Assumptions!$F$4:$F$44))</f>
        <v>0</v>
      </c>
      <c r="AH142" s="21" t="n">
        <f aca="false">IF($J142=0,0,MAX(0,NETWORKDAYS(MAX($K142,AH$4),MIN($L142,EOMONTH(AH$4,0)),Assumptions!$F$4:$F$44))/NETWORKDAYS($K142,$L142,Assumptions!$F$4:$F$44))</f>
        <v>0</v>
      </c>
      <c r="AI142" s="21" t="n">
        <f aca="false">IF($J142=0,0,MAX(0,NETWORKDAYS(MAX($K142,AI$4),MIN($L142,EOMONTH(AI$4,0)),Assumptions!$F$4:$F$44))/NETWORKDAYS($K142,$L142,Assumptions!$F$4:$F$44))</f>
        <v>0</v>
      </c>
      <c r="AJ142" s="21" t="n">
        <f aca="false">IF($J142=0,0,MAX(0,NETWORKDAYS(MAX($K142,AJ$4),MIN($L142,EOMONTH(AJ$4,0)),Assumptions!$F$4:$F$44))/NETWORKDAYS($K142,$L142,Assumptions!$F$4:$F$44))</f>
        <v>0</v>
      </c>
      <c r="AK142" s="21" t="n">
        <f aca="false">IF($J142=0,0,MAX(0,NETWORKDAYS(MAX($K142,AK$4),MIN($L142,EOMONTH(AK$4,0)),Assumptions!$F$4:$F$44))/NETWORKDAYS($K142,$L142,Assumptions!$F$4:$F$44))</f>
        <v>1</v>
      </c>
      <c r="AL142" s="21" t="n">
        <f aca="false">IF($J142=0,0,MAX(0,NETWORKDAYS(MAX($K142,AL$4),MIN($L142,EOMONTH(AL$4,0)),Assumptions!$F$4:$F$44))/NETWORKDAYS($K142,$L142,Assumptions!$F$4:$F$44))</f>
        <v>0</v>
      </c>
      <c r="AM142" s="21" t="n">
        <f aca="false">IF($J142=0,0,MAX(0,NETWORKDAYS(MAX($K142,AM$4),MIN($L142,EOMONTH(AM$4,0)),Assumptions!$F$4:$F$44))/NETWORKDAYS($K142,$L142,Assumptions!$F$4:$F$44))</f>
        <v>0</v>
      </c>
      <c r="AN142" s="21" t="n">
        <f aca="false">IF($J142=0,0,MAX(0,NETWORKDAYS(MAX($K142,AN$4),MIN($L142,EOMONTH(AN$4,0)),Assumptions!$F$4:$F$44))/NETWORKDAYS($K142,$L142,Assumptions!$F$4:$F$44))</f>
        <v>0</v>
      </c>
      <c r="AO142" s="21" t="n">
        <f aca="false">IF($J142=0,0,MAX(0,NETWORKDAYS(MAX($K142,AO$4),MIN($L142,EOMONTH(AO$4,0)),Assumptions!$F$4:$F$44))/NETWORKDAYS($K142,$L142,Assumptions!$F$4:$F$44))</f>
        <v>0</v>
      </c>
      <c r="AP142" s="21" t="n">
        <f aca="false">IF($J142=0,0,MAX(0,NETWORKDAYS(MAX($K142,AP$4),MIN($L142,EOMONTH(AP$4,0)),Assumptions!$F$4:$F$44))/NETWORKDAYS($K142,$L142,Assumptions!$F$4:$F$44))</f>
        <v>0</v>
      </c>
      <c r="AQ142" s="21" t="n">
        <f aca="false">IF($J142=0,0,MAX(0,NETWORKDAYS(MAX($K142,AQ$4),MIN($L142,EOMONTH(AQ$4,0)),Assumptions!$F$4:$F$44))/NETWORKDAYS($K142,$L142,Assumptions!$F$4:$F$44))</f>
        <v>0</v>
      </c>
      <c r="AR142" s="21" t="n">
        <f aca="false">IF($J142=0,0,MAX(0,NETWORKDAYS(MAX($K142,AR$4),MIN($L142,EOMONTH(AR$4,0)),Assumptions!$F$4:$F$44))/NETWORKDAYS($K142,$L142,Assumptions!$F$4:$F$44))</f>
        <v>0</v>
      </c>
      <c r="AS142" s="21" t="n">
        <f aca="false">IF($J142=0,0,MAX(0,NETWORKDAYS(MAX($K142,AS$4),MIN($L142,EOMONTH(AS$4,0)),Assumptions!$F$4:$F$44))/NETWORKDAYS($K142,$L142,Assumptions!$F$4:$F$44))</f>
        <v>0</v>
      </c>
      <c r="AT142" s="21" t="n">
        <f aca="false">IF($J142=0,0,MAX(0,NETWORKDAYS(MAX($K142,AT$4),MIN($L142,EOMONTH(AT$4,0)),Assumptions!$F$4:$F$44))/NETWORKDAYS($K142,$L142,Assumptions!$F$4:$F$44))</f>
        <v>0</v>
      </c>
      <c r="AU142" s="21" t="n">
        <f aca="false">IF($J142=0,0,MAX(0,NETWORKDAYS(MAX($K142,AU$4),MIN($L142,EOMONTH(AU$4,0)),Assumptions!$F$4:$F$44))/NETWORKDAYS($K142,$L142,Assumptions!$F$4:$F$44))</f>
        <v>0</v>
      </c>
      <c r="AV142" s="21" t="n">
        <f aca="false">IF($J142=0,0,MAX(0,NETWORKDAYS(MAX($K142,AV$4),MIN($L142,EOMONTH(AV$4,0)),Assumptions!$F$4:$F$44))/NETWORKDAYS($K142,$L142,Assumptions!$F$4:$F$44))</f>
        <v>0</v>
      </c>
      <c r="AW142" s="21" t="n">
        <f aca="false">IF($J142=0,0,MAX(0,NETWORKDAYS(MAX($K142,AW$4),MIN($L142,EOMONTH(AW$4,0)),Assumptions!$F$4:$F$44))/NETWORKDAYS($K142,$L142,Assumptions!$F$4:$F$44))</f>
        <v>0</v>
      </c>
      <c r="AX142" s="21" t="n">
        <f aca="false">IF($J142=0,0,MAX(0,NETWORKDAYS(MAX($K142,AX$4),MIN($L142,EOMONTH(AX$4,0)),Assumptions!$F$4:$F$44))/NETWORKDAYS($K142,$L142,Assumptions!$F$4:$F$44))</f>
        <v>0</v>
      </c>
      <c r="AY142" s="21" t="n">
        <f aca="false">IF($J142=0,0,MAX(0,NETWORKDAYS(MAX($K142,AY$4),MIN($L142,EOMONTH(AY$4,0)),Assumptions!$F$4:$F$44))/NETWORKDAYS($K142,$L142,Assumptions!$F$4:$F$44))</f>
        <v>0</v>
      </c>
      <c r="AZ142" s="21" t="n">
        <f aca="false">IF($J142=0,0,MAX(0,NETWORKDAYS(MAX($K142,AZ$4),MIN($L142,EOMONTH(AZ$4,0)),Assumptions!$F$4:$F$44))/NETWORKDAYS($K142,$L142,Assumptions!$F$4:$F$44))</f>
        <v>0</v>
      </c>
      <c r="BA142" s="21" t="n">
        <f aca="false">IF($J142=0,0,MAX(0,NETWORKDAYS(MAX($K142,BA$4),MIN($L142,EOMONTH(BA$4,0)),Assumptions!$F$4:$F$44))/NETWORKDAYS($K142,$L142,Assumptions!$F$4:$F$44))</f>
        <v>0</v>
      </c>
      <c r="BB142" s="21" t="n">
        <f aca="false">IF($J142=0,0,MAX(0,NETWORKDAYS(MAX($K142,BB$4),MIN($L142,EOMONTH(BB$4,0)),Assumptions!$F$4:$F$44))/NETWORKDAYS($K142,$L142,Assumptions!$F$4:$F$44))</f>
        <v>0</v>
      </c>
      <c r="BC142" s="21" t="n">
        <f aca="false">IF($J142=0,0,MAX(0,NETWORKDAYS(MAX($K142,BC$4),MIN($L142,EOMONTH(BC$4,0)),Assumptions!$F$4:$F$44))/NETWORKDAYS($K142,$L142,Assumptions!$F$4:$F$44))</f>
        <v>0</v>
      </c>
    </row>
    <row r="143" customFormat="false" ht="15" hidden="false" customHeight="false" outlineLevel="1" collapsed="false">
      <c r="A143" s="22" t="n">
        <v>139</v>
      </c>
      <c r="B143" s="22" t="s">
        <v>381</v>
      </c>
      <c r="C143" s="22" t="n">
        <v>2</v>
      </c>
      <c r="D143" s="22" t="s">
        <v>89</v>
      </c>
      <c r="E143" s="23" t="s">
        <v>382</v>
      </c>
      <c r="F143" s="22" t="s">
        <v>154</v>
      </c>
      <c r="G143" s="22" t="s">
        <v>383</v>
      </c>
      <c r="H143" s="22"/>
      <c r="I143" s="22"/>
      <c r="J143" s="22" t="n">
        <f aca="false">NETWORKDAYS(K143,L143,Assumptions!$F$4:$F$44)</f>
        <v>101</v>
      </c>
      <c r="K143" s="24" t="n">
        <f aca="false">MIN(K144:K158)</f>
        <v>46356</v>
      </c>
      <c r="L143" s="24" t="n">
        <f aca="false">MAX(L144:L158)</f>
        <v>46496</v>
      </c>
      <c r="M143" s="22"/>
      <c r="N143" s="25" t="n">
        <f aca="false">SUMPRODUCT(($C$144:$C$158=3)*(N144:N158))</f>
        <v>1</v>
      </c>
      <c r="O143" s="25" t="n">
        <f aca="false">SUMPRODUCT(($C$144:$C$158=3)*(O144:O158))</f>
        <v>35</v>
      </c>
      <c r="P143" s="25" t="n">
        <f aca="false">SUMPRODUCT(($C$144:$C$158=3)*(P144:P158))</f>
        <v>11</v>
      </c>
      <c r="Q143" s="25" t="n">
        <f aca="false">SUMPRODUCT(($C$144:$C$158=3)*(Q144:Q158))</f>
        <v>124</v>
      </c>
      <c r="R143" s="25" t="n">
        <f aca="false">SUMPRODUCT(($C$144:$C$158=3)*(R144:R158))</f>
        <v>79</v>
      </c>
      <c r="S143" s="25" t="n">
        <f aca="false">SUMPRODUCT(($C$144:$C$158=3)*(S144:S158))</f>
        <v>9</v>
      </c>
      <c r="T143" s="25" t="n">
        <f aca="false">SUMPRODUCT(($C$144:$C$158=3)*(T144:T158))</f>
        <v>15</v>
      </c>
      <c r="U143" s="25" t="n">
        <f aca="false">SUMPRODUCT(($C$144:$C$158=3)*(U144:U158))</f>
        <v>0</v>
      </c>
      <c r="V143" s="25" t="n">
        <f aca="false">SUMPRODUCT(($C$144:$C$158=3)*(V144:V158))</f>
        <v>50</v>
      </c>
      <c r="W143" s="25" t="n">
        <f aca="false">SUMPRODUCT(($C$144:$C$158=3)*(W144:W158))</f>
        <v>0</v>
      </c>
      <c r="X143" s="25" t="n">
        <f aca="false">SUMPRODUCT(($C$144:$C$158=3)*(X144:X158))</f>
        <v>9</v>
      </c>
      <c r="Y143" s="25" t="n">
        <f aca="false">SUM(N143:X143)</f>
        <v>333</v>
      </c>
      <c r="Z143" s="25" t="n">
        <f aca="false">Y143*(1+Assumptions!$C$5)</f>
        <v>382.95</v>
      </c>
      <c r="AA143" s="22" t="s">
        <v>384</v>
      </c>
      <c r="AB143" s="22"/>
      <c r="AC143" s="22"/>
      <c r="AD143" s="26"/>
      <c r="AF143" s="21" t="n">
        <v>0</v>
      </c>
      <c r="AG143" s="21" t="n">
        <v>0</v>
      </c>
      <c r="AH143" s="21" t="n">
        <v>0</v>
      </c>
      <c r="AI143" s="21" t="n">
        <v>0</v>
      </c>
      <c r="AJ143" s="21" t="n">
        <v>0</v>
      </c>
      <c r="AK143" s="21" t="n">
        <v>0</v>
      </c>
      <c r="AL143" s="21" t="n">
        <v>0</v>
      </c>
      <c r="AM143" s="21" t="n">
        <v>0</v>
      </c>
      <c r="AN143" s="21" t="n">
        <v>0</v>
      </c>
      <c r="AO143" s="21" t="n">
        <v>0</v>
      </c>
      <c r="AP143" s="21" t="n">
        <v>0</v>
      </c>
      <c r="AQ143" s="21" t="n">
        <v>0</v>
      </c>
      <c r="AR143" s="21" t="n">
        <v>0</v>
      </c>
      <c r="AS143" s="21" t="n">
        <v>0</v>
      </c>
      <c r="AT143" s="21" t="n">
        <v>0</v>
      </c>
      <c r="AU143" s="21" t="n">
        <v>0</v>
      </c>
      <c r="AV143" s="21" t="n">
        <v>0</v>
      </c>
      <c r="AW143" s="21" t="n">
        <v>0</v>
      </c>
      <c r="AX143" s="21" t="n">
        <v>0</v>
      </c>
      <c r="AY143" s="21" t="n">
        <v>0</v>
      </c>
      <c r="AZ143" s="21" t="n">
        <v>0</v>
      </c>
      <c r="BA143" s="21" t="n">
        <v>0</v>
      </c>
      <c r="BB143" s="21" t="n">
        <v>0</v>
      </c>
      <c r="BC143" s="21" t="n">
        <v>0</v>
      </c>
    </row>
    <row r="144" customFormat="false" ht="15" hidden="false" customHeight="false" outlineLevel="2" collapsed="false">
      <c r="A144" s="27" t="n">
        <v>140</v>
      </c>
      <c r="B144" s="27" t="s">
        <v>385</v>
      </c>
      <c r="C144" s="27" t="n">
        <v>3</v>
      </c>
      <c r="D144" s="27" t="s">
        <v>92</v>
      </c>
      <c r="E144" s="28" t="s">
        <v>292</v>
      </c>
      <c r="F144" s="27" t="s">
        <v>154</v>
      </c>
      <c r="G144" s="27" t="s">
        <v>383</v>
      </c>
      <c r="H144" s="27" t="s">
        <v>43</v>
      </c>
      <c r="I144" s="29" t="n">
        <v>20</v>
      </c>
      <c r="J144" s="29" t="n">
        <v>13</v>
      </c>
      <c r="K144" s="30" t="n">
        <f aca="false">WORKDAY(Assumptions!$C$4,I144,Assumptions!$F$4:$F$44)</f>
        <v>46356</v>
      </c>
      <c r="L144" s="30" t="n">
        <f aca="false">IF(J144=0,K144,WORKDAY(K144,J144-1,Assumptions!$F$4:$F$44))</f>
        <v>46372</v>
      </c>
      <c r="M144" s="29" t="s">
        <v>293</v>
      </c>
      <c r="N144" s="31" t="n">
        <v>1</v>
      </c>
      <c r="O144" s="31" t="n">
        <v>12</v>
      </c>
      <c r="P144" s="31" t="n">
        <v>3</v>
      </c>
      <c r="Q144" s="31" t="n">
        <v>0</v>
      </c>
      <c r="R144" s="31" t="n">
        <v>0</v>
      </c>
      <c r="S144" s="31" t="n">
        <v>0</v>
      </c>
      <c r="T144" s="31" t="n">
        <v>0</v>
      </c>
      <c r="U144" s="31" t="n">
        <v>0</v>
      </c>
      <c r="V144" s="31" t="n">
        <v>0</v>
      </c>
      <c r="W144" s="31" t="n">
        <v>0</v>
      </c>
      <c r="X144" s="31" t="n">
        <v>0</v>
      </c>
      <c r="Y144" s="32" t="n">
        <f aca="false">SUM(N144:X144)</f>
        <v>16</v>
      </c>
      <c r="Z144" s="32" t="n">
        <f aca="false">Y144*(1+Assumptions!$C$5)</f>
        <v>18.4</v>
      </c>
      <c r="AA144" s="27" t="s">
        <v>294</v>
      </c>
      <c r="AB144" s="27" t="s">
        <v>95</v>
      </c>
      <c r="AC144" s="27"/>
      <c r="AD144" s="33" t="n">
        <v>0</v>
      </c>
      <c r="AF144" s="21" t="n">
        <f aca="false">IF($J144=0,0,MAX(0,NETWORKDAYS(MAX($K144,AF$4),MIN($L144,EOMONTH(AF$4,0)),Assumptions!$F$4:$F$44))/NETWORKDAYS($K144,$L144,Assumptions!$F$4:$F$44))</f>
        <v>0.0769230769230769</v>
      </c>
      <c r="AG144" s="21" t="n">
        <f aca="false">IF($J144=0,0,MAX(0,NETWORKDAYS(MAX($K144,AG$4),MIN($L144,EOMONTH(AG$4,0)),Assumptions!$F$4:$F$44))/NETWORKDAYS($K144,$L144,Assumptions!$F$4:$F$44))</f>
        <v>0.923076923076923</v>
      </c>
      <c r="AH144" s="21" t="n">
        <f aca="false">IF($J144=0,0,MAX(0,NETWORKDAYS(MAX($K144,AH$4),MIN($L144,EOMONTH(AH$4,0)),Assumptions!$F$4:$F$44))/NETWORKDAYS($K144,$L144,Assumptions!$F$4:$F$44))</f>
        <v>0</v>
      </c>
      <c r="AI144" s="21" t="n">
        <f aca="false">IF($J144=0,0,MAX(0,NETWORKDAYS(MAX($K144,AI$4),MIN($L144,EOMONTH(AI$4,0)),Assumptions!$F$4:$F$44))/NETWORKDAYS($K144,$L144,Assumptions!$F$4:$F$44))</f>
        <v>0</v>
      </c>
      <c r="AJ144" s="21" t="n">
        <f aca="false">IF($J144=0,0,MAX(0,NETWORKDAYS(MAX($K144,AJ$4),MIN($L144,EOMONTH(AJ$4,0)),Assumptions!$F$4:$F$44))/NETWORKDAYS($K144,$L144,Assumptions!$F$4:$F$44))</f>
        <v>0</v>
      </c>
      <c r="AK144" s="21" t="n">
        <f aca="false">IF($J144=0,0,MAX(0,NETWORKDAYS(MAX($K144,AK$4),MIN($L144,EOMONTH(AK$4,0)),Assumptions!$F$4:$F$44))/NETWORKDAYS($K144,$L144,Assumptions!$F$4:$F$44))</f>
        <v>0</v>
      </c>
      <c r="AL144" s="21" t="n">
        <f aca="false">IF($J144=0,0,MAX(0,NETWORKDAYS(MAX($K144,AL$4),MIN($L144,EOMONTH(AL$4,0)),Assumptions!$F$4:$F$44))/NETWORKDAYS($K144,$L144,Assumptions!$F$4:$F$44))</f>
        <v>0</v>
      </c>
      <c r="AM144" s="21" t="n">
        <f aca="false">IF($J144=0,0,MAX(0,NETWORKDAYS(MAX($K144,AM$4),MIN($L144,EOMONTH(AM$4,0)),Assumptions!$F$4:$F$44))/NETWORKDAYS($K144,$L144,Assumptions!$F$4:$F$44))</f>
        <v>0</v>
      </c>
      <c r="AN144" s="21" t="n">
        <f aca="false">IF($J144=0,0,MAX(0,NETWORKDAYS(MAX($K144,AN$4),MIN($L144,EOMONTH(AN$4,0)),Assumptions!$F$4:$F$44))/NETWORKDAYS($K144,$L144,Assumptions!$F$4:$F$44))</f>
        <v>0</v>
      </c>
      <c r="AO144" s="21" t="n">
        <f aca="false">IF($J144=0,0,MAX(0,NETWORKDAYS(MAX($K144,AO$4),MIN($L144,EOMONTH(AO$4,0)),Assumptions!$F$4:$F$44))/NETWORKDAYS($K144,$L144,Assumptions!$F$4:$F$44))</f>
        <v>0</v>
      </c>
      <c r="AP144" s="21" t="n">
        <f aca="false">IF($J144=0,0,MAX(0,NETWORKDAYS(MAX($K144,AP$4),MIN($L144,EOMONTH(AP$4,0)),Assumptions!$F$4:$F$44))/NETWORKDAYS($K144,$L144,Assumptions!$F$4:$F$44))</f>
        <v>0</v>
      </c>
      <c r="AQ144" s="21" t="n">
        <f aca="false">IF($J144=0,0,MAX(0,NETWORKDAYS(MAX($K144,AQ$4),MIN($L144,EOMONTH(AQ$4,0)),Assumptions!$F$4:$F$44))/NETWORKDAYS($K144,$L144,Assumptions!$F$4:$F$44))</f>
        <v>0</v>
      </c>
      <c r="AR144" s="21" t="n">
        <f aca="false">IF($J144=0,0,MAX(0,NETWORKDAYS(MAX($K144,AR$4),MIN($L144,EOMONTH(AR$4,0)),Assumptions!$F$4:$F$44))/NETWORKDAYS($K144,$L144,Assumptions!$F$4:$F$44))</f>
        <v>0</v>
      </c>
      <c r="AS144" s="21" t="n">
        <f aca="false">IF($J144=0,0,MAX(0,NETWORKDAYS(MAX($K144,AS$4),MIN($L144,EOMONTH(AS$4,0)),Assumptions!$F$4:$F$44))/NETWORKDAYS($K144,$L144,Assumptions!$F$4:$F$44))</f>
        <v>0</v>
      </c>
      <c r="AT144" s="21" t="n">
        <f aca="false">IF($J144=0,0,MAX(0,NETWORKDAYS(MAX($K144,AT$4),MIN($L144,EOMONTH(AT$4,0)),Assumptions!$F$4:$F$44))/NETWORKDAYS($K144,$L144,Assumptions!$F$4:$F$44))</f>
        <v>0</v>
      </c>
      <c r="AU144" s="21" t="n">
        <f aca="false">IF($J144=0,0,MAX(0,NETWORKDAYS(MAX($K144,AU$4),MIN($L144,EOMONTH(AU$4,0)),Assumptions!$F$4:$F$44))/NETWORKDAYS($K144,$L144,Assumptions!$F$4:$F$44))</f>
        <v>0</v>
      </c>
      <c r="AV144" s="21" t="n">
        <f aca="false">IF($J144=0,0,MAX(0,NETWORKDAYS(MAX($K144,AV$4),MIN($L144,EOMONTH(AV$4,0)),Assumptions!$F$4:$F$44))/NETWORKDAYS($K144,$L144,Assumptions!$F$4:$F$44))</f>
        <v>0</v>
      </c>
      <c r="AW144" s="21" t="n">
        <f aca="false">IF($J144=0,0,MAX(0,NETWORKDAYS(MAX($K144,AW$4),MIN($L144,EOMONTH(AW$4,0)),Assumptions!$F$4:$F$44))/NETWORKDAYS($K144,$L144,Assumptions!$F$4:$F$44))</f>
        <v>0</v>
      </c>
      <c r="AX144" s="21" t="n">
        <f aca="false">IF($J144=0,0,MAX(0,NETWORKDAYS(MAX($K144,AX$4),MIN($L144,EOMONTH(AX$4,0)),Assumptions!$F$4:$F$44))/NETWORKDAYS($K144,$L144,Assumptions!$F$4:$F$44))</f>
        <v>0</v>
      </c>
      <c r="AY144" s="21" t="n">
        <f aca="false">IF($J144=0,0,MAX(0,NETWORKDAYS(MAX($K144,AY$4),MIN($L144,EOMONTH(AY$4,0)),Assumptions!$F$4:$F$44))/NETWORKDAYS($K144,$L144,Assumptions!$F$4:$F$44))</f>
        <v>0</v>
      </c>
      <c r="AZ144" s="21" t="n">
        <f aca="false">IF($J144=0,0,MAX(0,NETWORKDAYS(MAX($K144,AZ$4),MIN($L144,EOMONTH(AZ$4,0)),Assumptions!$F$4:$F$44))/NETWORKDAYS($K144,$L144,Assumptions!$F$4:$F$44))</f>
        <v>0</v>
      </c>
      <c r="BA144" s="21" t="n">
        <f aca="false">IF($J144=0,0,MAX(0,NETWORKDAYS(MAX($K144,BA$4),MIN($L144,EOMONTH(BA$4,0)),Assumptions!$F$4:$F$44))/NETWORKDAYS($K144,$L144,Assumptions!$F$4:$F$44))</f>
        <v>0</v>
      </c>
      <c r="BB144" s="21" t="n">
        <f aca="false">IF($J144=0,0,MAX(0,NETWORKDAYS(MAX($K144,BB$4),MIN($L144,EOMONTH(BB$4,0)),Assumptions!$F$4:$F$44))/NETWORKDAYS($K144,$L144,Assumptions!$F$4:$F$44))</f>
        <v>0</v>
      </c>
      <c r="BC144" s="21" t="n">
        <f aca="false">IF($J144=0,0,MAX(0,NETWORKDAYS(MAX($K144,BC$4),MIN($L144,EOMONTH(BC$4,0)),Assumptions!$F$4:$F$44))/NETWORKDAYS($K144,$L144,Assumptions!$F$4:$F$44))</f>
        <v>0</v>
      </c>
    </row>
    <row r="145" customFormat="false" ht="15" hidden="false" customHeight="false" outlineLevel="2" collapsed="false">
      <c r="A145" s="27" t="n">
        <v>141</v>
      </c>
      <c r="B145" s="27" t="s">
        <v>386</v>
      </c>
      <c r="C145" s="27" t="n">
        <v>3</v>
      </c>
      <c r="D145" s="27" t="s">
        <v>92</v>
      </c>
      <c r="E145" s="28" t="s">
        <v>296</v>
      </c>
      <c r="F145" s="27" t="s">
        <v>154</v>
      </c>
      <c r="G145" s="27" t="s">
        <v>383</v>
      </c>
      <c r="H145" s="27" t="s">
        <v>45</v>
      </c>
      <c r="I145" s="29" t="n">
        <v>29</v>
      </c>
      <c r="J145" s="29" t="n">
        <v>13</v>
      </c>
      <c r="K145" s="30" t="n">
        <f aca="false">WORKDAY(Assumptions!$C$4,I145,Assumptions!$F$4:$F$44)</f>
        <v>46367</v>
      </c>
      <c r="L145" s="30" t="n">
        <f aca="false">IF(J145=0,K145,WORKDAY(K145,J145-1,Assumptions!$F$4:$F$44))</f>
        <v>46385</v>
      </c>
      <c r="M145" s="29" t="s">
        <v>387</v>
      </c>
      <c r="N145" s="31" t="n">
        <v>0</v>
      </c>
      <c r="O145" s="31" t="n">
        <v>0</v>
      </c>
      <c r="P145" s="31" t="n">
        <v>8</v>
      </c>
      <c r="Q145" s="31" t="n">
        <v>8</v>
      </c>
      <c r="R145" s="31" t="n">
        <v>0</v>
      </c>
      <c r="S145" s="31" t="n">
        <v>0</v>
      </c>
      <c r="T145" s="31" t="n">
        <v>0</v>
      </c>
      <c r="U145" s="31" t="n">
        <v>0</v>
      </c>
      <c r="V145" s="31" t="n">
        <v>0</v>
      </c>
      <c r="W145" s="31" t="n">
        <v>0</v>
      </c>
      <c r="X145" s="31" t="n">
        <v>0</v>
      </c>
      <c r="Y145" s="32" t="n">
        <f aca="false">SUM(N145:X145)</f>
        <v>16</v>
      </c>
      <c r="Z145" s="32" t="n">
        <f aca="false">Y145*(1+Assumptions!$C$5)</f>
        <v>18.4</v>
      </c>
      <c r="AA145" s="27" t="s">
        <v>298</v>
      </c>
      <c r="AB145" s="27" t="s">
        <v>95</v>
      </c>
      <c r="AC145" s="27"/>
      <c r="AD145" s="33" t="n">
        <v>0</v>
      </c>
      <c r="AF145" s="21" t="n">
        <f aca="false">IF($J145=0,0,MAX(0,NETWORKDAYS(MAX($K145,AF$4),MIN($L145,EOMONTH(AF$4,0)),Assumptions!$F$4:$F$44))/NETWORKDAYS($K145,$L145,Assumptions!$F$4:$F$44))</f>
        <v>0</v>
      </c>
      <c r="AG145" s="21" t="n">
        <f aca="false">IF($J145=0,0,MAX(0,NETWORKDAYS(MAX($K145,AG$4),MIN($L145,EOMONTH(AG$4,0)),Assumptions!$F$4:$F$44))/NETWORKDAYS($K145,$L145,Assumptions!$F$4:$F$44))</f>
        <v>1</v>
      </c>
      <c r="AH145" s="21" t="n">
        <f aca="false">IF($J145=0,0,MAX(0,NETWORKDAYS(MAX($K145,AH$4),MIN($L145,EOMONTH(AH$4,0)),Assumptions!$F$4:$F$44))/NETWORKDAYS($K145,$L145,Assumptions!$F$4:$F$44))</f>
        <v>0</v>
      </c>
      <c r="AI145" s="21" t="n">
        <f aca="false">IF($J145=0,0,MAX(0,NETWORKDAYS(MAX($K145,AI$4),MIN($L145,EOMONTH(AI$4,0)),Assumptions!$F$4:$F$44))/NETWORKDAYS($K145,$L145,Assumptions!$F$4:$F$44))</f>
        <v>0</v>
      </c>
      <c r="AJ145" s="21" t="n">
        <f aca="false">IF($J145=0,0,MAX(0,NETWORKDAYS(MAX($K145,AJ$4),MIN($L145,EOMONTH(AJ$4,0)),Assumptions!$F$4:$F$44))/NETWORKDAYS($K145,$L145,Assumptions!$F$4:$F$44))</f>
        <v>0</v>
      </c>
      <c r="AK145" s="21" t="n">
        <f aca="false">IF($J145=0,0,MAX(0,NETWORKDAYS(MAX($K145,AK$4),MIN($L145,EOMONTH(AK$4,0)),Assumptions!$F$4:$F$44))/NETWORKDAYS($K145,$L145,Assumptions!$F$4:$F$44))</f>
        <v>0</v>
      </c>
      <c r="AL145" s="21" t="n">
        <f aca="false">IF($J145=0,0,MAX(0,NETWORKDAYS(MAX($K145,AL$4),MIN($L145,EOMONTH(AL$4,0)),Assumptions!$F$4:$F$44))/NETWORKDAYS($K145,$L145,Assumptions!$F$4:$F$44))</f>
        <v>0</v>
      </c>
      <c r="AM145" s="21" t="n">
        <f aca="false">IF($J145=0,0,MAX(0,NETWORKDAYS(MAX($K145,AM$4),MIN($L145,EOMONTH(AM$4,0)),Assumptions!$F$4:$F$44))/NETWORKDAYS($K145,$L145,Assumptions!$F$4:$F$44))</f>
        <v>0</v>
      </c>
      <c r="AN145" s="21" t="n">
        <f aca="false">IF($J145=0,0,MAX(0,NETWORKDAYS(MAX($K145,AN$4),MIN($L145,EOMONTH(AN$4,0)),Assumptions!$F$4:$F$44))/NETWORKDAYS($K145,$L145,Assumptions!$F$4:$F$44))</f>
        <v>0</v>
      </c>
      <c r="AO145" s="21" t="n">
        <f aca="false">IF($J145=0,0,MAX(0,NETWORKDAYS(MAX($K145,AO$4),MIN($L145,EOMONTH(AO$4,0)),Assumptions!$F$4:$F$44))/NETWORKDAYS($K145,$L145,Assumptions!$F$4:$F$44))</f>
        <v>0</v>
      </c>
      <c r="AP145" s="21" t="n">
        <f aca="false">IF($J145=0,0,MAX(0,NETWORKDAYS(MAX($K145,AP$4),MIN($L145,EOMONTH(AP$4,0)),Assumptions!$F$4:$F$44))/NETWORKDAYS($K145,$L145,Assumptions!$F$4:$F$44))</f>
        <v>0</v>
      </c>
      <c r="AQ145" s="21" t="n">
        <f aca="false">IF($J145=0,0,MAX(0,NETWORKDAYS(MAX($K145,AQ$4),MIN($L145,EOMONTH(AQ$4,0)),Assumptions!$F$4:$F$44))/NETWORKDAYS($K145,$L145,Assumptions!$F$4:$F$44))</f>
        <v>0</v>
      </c>
      <c r="AR145" s="21" t="n">
        <f aca="false">IF($J145=0,0,MAX(0,NETWORKDAYS(MAX($K145,AR$4),MIN($L145,EOMONTH(AR$4,0)),Assumptions!$F$4:$F$44))/NETWORKDAYS($K145,$L145,Assumptions!$F$4:$F$44))</f>
        <v>0</v>
      </c>
      <c r="AS145" s="21" t="n">
        <f aca="false">IF($J145=0,0,MAX(0,NETWORKDAYS(MAX($K145,AS$4),MIN($L145,EOMONTH(AS$4,0)),Assumptions!$F$4:$F$44))/NETWORKDAYS($K145,$L145,Assumptions!$F$4:$F$44))</f>
        <v>0</v>
      </c>
      <c r="AT145" s="21" t="n">
        <f aca="false">IF($J145=0,0,MAX(0,NETWORKDAYS(MAX($K145,AT$4),MIN($L145,EOMONTH(AT$4,0)),Assumptions!$F$4:$F$44))/NETWORKDAYS($K145,$L145,Assumptions!$F$4:$F$44))</f>
        <v>0</v>
      </c>
      <c r="AU145" s="21" t="n">
        <f aca="false">IF($J145=0,0,MAX(0,NETWORKDAYS(MAX($K145,AU$4),MIN($L145,EOMONTH(AU$4,0)),Assumptions!$F$4:$F$44))/NETWORKDAYS($K145,$L145,Assumptions!$F$4:$F$44))</f>
        <v>0</v>
      </c>
      <c r="AV145" s="21" t="n">
        <f aca="false">IF($J145=0,0,MAX(0,NETWORKDAYS(MAX($K145,AV$4),MIN($L145,EOMONTH(AV$4,0)),Assumptions!$F$4:$F$44))/NETWORKDAYS($K145,$L145,Assumptions!$F$4:$F$44))</f>
        <v>0</v>
      </c>
      <c r="AW145" s="21" t="n">
        <f aca="false">IF($J145=0,0,MAX(0,NETWORKDAYS(MAX($K145,AW$4),MIN($L145,EOMONTH(AW$4,0)),Assumptions!$F$4:$F$44))/NETWORKDAYS($K145,$L145,Assumptions!$F$4:$F$44))</f>
        <v>0</v>
      </c>
      <c r="AX145" s="21" t="n">
        <f aca="false">IF($J145=0,0,MAX(0,NETWORKDAYS(MAX($K145,AX$4),MIN($L145,EOMONTH(AX$4,0)),Assumptions!$F$4:$F$44))/NETWORKDAYS($K145,$L145,Assumptions!$F$4:$F$44))</f>
        <v>0</v>
      </c>
      <c r="AY145" s="21" t="n">
        <f aca="false">IF($J145=0,0,MAX(0,NETWORKDAYS(MAX($K145,AY$4),MIN($L145,EOMONTH(AY$4,0)),Assumptions!$F$4:$F$44))/NETWORKDAYS($K145,$L145,Assumptions!$F$4:$F$44))</f>
        <v>0</v>
      </c>
      <c r="AZ145" s="21" t="n">
        <f aca="false">IF($J145=0,0,MAX(0,NETWORKDAYS(MAX($K145,AZ$4),MIN($L145,EOMONTH(AZ$4,0)),Assumptions!$F$4:$F$44))/NETWORKDAYS($K145,$L145,Assumptions!$F$4:$F$44))</f>
        <v>0</v>
      </c>
      <c r="BA145" s="21" t="n">
        <f aca="false">IF($J145=0,0,MAX(0,NETWORKDAYS(MAX($K145,BA$4),MIN($L145,EOMONTH(BA$4,0)),Assumptions!$F$4:$F$44))/NETWORKDAYS($K145,$L145,Assumptions!$F$4:$F$44))</f>
        <v>0</v>
      </c>
      <c r="BB145" s="21" t="n">
        <f aca="false">IF($J145=0,0,MAX(0,NETWORKDAYS(MAX($K145,BB$4),MIN($L145,EOMONTH(BB$4,0)),Assumptions!$F$4:$F$44))/NETWORKDAYS($K145,$L145,Assumptions!$F$4:$F$44))</f>
        <v>0</v>
      </c>
      <c r="BC145" s="21" t="n">
        <f aca="false">IF($J145=0,0,MAX(0,NETWORKDAYS(MAX($K145,BC$4),MIN($L145,EOMONTH(BC$4,0)),Assumptions!$F$4:$F$44))/NETWORKDAYS($K145,$L145,Assumptions!$F$4:$F$44))</f>
        <v>0</v>
      </c>
    </row>
    <row r="146" customFormat="false" ht="15" hidden="false" customHeight="false" outlineLevel="2" collapsed="false">
      <c r="A146" s="27" t="n">
        <v>142</v>
      </c>
      <c r="B146" s="27" t="s">
        <v>388</v>
      </c>
      <c r="C146" s="27" t="n">
        <v>3</v>
      </c>
      <c r="D146" s="27" t="s">
        <v>92</v>
      </c>
      <c r="E146" s="28" t="s">
        <v>300</v>
      </c>
      <c r="F146" s="27" t="s">
        <v>154</v>
      </c>
      <c r="G146" s="27" t="s">
        <v>383</v>
      </c>
      <c r="H146" s="27" t="s">
        <v>49</v>
      </c>
      <c r="I146" s="29" t="n">
        <v>29</v>
      </c>
      <c r="J146" s="29" t="n">
        <v>13</v>
      </c>
      <c r="K146" s="30" t="n">
        <f aca="false">WORKDAY(Assumptions!$C$4,I146,Assumptions!$F$4:$F$44)</f>
        <v>46367</v>
      </c>
      <c r="L146" s="30" t="n">
        <f aca="false">IF(J146=0,K146,WORKDAY(K146,J146-1,Assumptions!$F$4:$F$44))</f>
        <v>46385</v>
      </c>
      <c r="M146" s="29" t="s">
        <v>387</v>
      </c>
      <c r="N146" s="31" t="n">
        <v>0</v>
      </c>
      <c r="O146" s="31" t="n">
        <v>3</v>
      </c>
      <c r="P146" s="31" t="n">
        <v>0</v>
      </c>
      <c r="Q146" s="31" t="n">
        <v>0</v>
      </c>
      <c r="R146" s="31" t="n">
        <v>9</v>
      </c>
      <c r="S146" s="31" t="n">
        <v>0</v>
      </c>
      <c r="T146" s="31" t="n">
        <v>0</v>
      </c>
      <c r="U146" s="31" t="n">
        <v>0</v>
      </c>
      <c r="V146" s="31" t="n">
        <v>0</v>
      </c>
      <c r="W146" s="31" t="n">
        <v>0</v>
      </c>
      <c r="X146" s="31" t="n">
        <v>0</v>
      </c>
      <c r="Y146" s="32" t="n">
        <f aca="false">SUM(N146:X146)</f>
        <v>12</v>
      </c>
      <c r="Z146" s="32" t="n">
        <f aca="false">Y146*(1+Assumptions!$C$5)</f>
        <v>13.8</v>
      </c>
      <c r="AA146" s="27" t="s">
        <v>301</v>
      </c>
      <c r="AB146" s="27" t="s">
        <v>95</v>
      </c>
      <c r="AC146" s="27"/>
      <c r="AD146" s="33" t="n">
        <v>0</v>
      </c>
      <c r="AF146" s="21" t="n">
        <f aca="false">IF($J146=0,0,MAX(0,NETWORKDAYS(MAX($K146,AF$4),MIN($L146,EOMONTH(AF$4,0)),Assumptions!$F$4:$F$44))/NETWORKDAYS($K146,$L146,Assumptions!$F$4:$F$44))</f>
        <v>0</v>
      </c>
      <c r="AG146" s="21" t="n">
        <f aca="false">IF($J146=0,0,MAX(0,NETWORKDAYS(MAX($K146,AG$4),MIN($L146,EOMONTH(AG$4,0)),Assumptions!$F$4:$F$44))/NETWORKDAYS($K146,$L146,Assumptions!$F$4:$F$44))</f>
        <v>1</v>
      </c>
      <c r="AH146" s="21" t="n">
        <f aca="false">IF($J146=0,0,MAX(0,NETWORKDAYS(MAX($K146,AH$4),MIN($L146,EOMONTH(AH$4,0)),Assumptions!$F$4:$F$44))/NETWORKDAYS($K146,$L146,Assumptions!$F$4:$F$44))</f>
        <v>0</v>
      </c>
      <c r="AI146" s="21" t="n">
        <f aca="false">IF($J146=0,0,MAX(0,NETWORKDAYS(MAX($K146,AI$4),MIN($L146,EOMONTH(AI$4,0)),Assumptions!$F$4:$F$44))/NETWORKDAYS($K146,$L146,Assumptions!$F$4:$F$44))</f>
        <v>0</v>
      </c>
      <c r="AJ146" s="21" t="n">
        <f aca="false">IF($J146=0,0,MAX(0,NETWORKDAYS(MAX($K146,AJ$4),MIN($L146,EOMONTH(AJ$4,0)),Assumptions!$F$4:$F$44))/NETWORKDAYS($K146,$L146,Assumptions!$F$4:$F$44))</f>
        <v>0</v>
      </c>
      <c r="AK146" s="21" t="n">
        <f aca="false">IF($J146=0,0,MAX(0,NETWORKDAYS(MAX($K146,AK$4),MIN($L146,EOMONTH(AK$4,0)),Assumptions!$F$4:$F$44))/NETWORKDAYS($K146,$L146,Assumptions!$F$4:$F$44))</f>
        <v>0</v>
      </c>
      <c r="AL146" s="21" t="n">
        <f aca="false">IF($J146=0,0,MAX(0,NETWORKDAYS(MAX($K146,AL$4),MIN($L146,EOMONTH(AL$4,0)),Assumptions!$F$4:$F$44))/NETWORKDAYS($K146,$L146,Assumptions!$F$4:$F$44))</f>
        <v>0</v>
      </c>
      <c r="AM146" s="21" t="n">
        <f aca="false">IF($J146=0,0,MAX(0,NETWORKDAYS(MAX($K146,AM$4),MIN($L146,EOMONTH(AM$4,0)),Assumptions!$F$4:$F$44))/NETWORKDAYS($K146,$L146,Assumptions!$F$4:$F$44))</f>
        <v>0</v>
      </c>
      <c r="AN146" s="21" t="n">
        <f aca="false">IF($J146=0,0,MAX(0,NETWORKDAYS(MAX($K146,AN$4),MIN($L146,EOMONTH(AN$4,0)),Assumptions!$F$4:$F$44))/NETWORKDAYS($K146,$L146,Assumptions!$F$4:$F$44))</f>
        <v>0</v>
      </c>
      <c r="AO146" s="21" t="n">
        <f aca="false">IF($J146=0,0,MAX(0,NETWORKDAYS(MAX($K146,AO$4),MIN($L146,EOMONTH(AO$4,0)),Assumptions!$F$4:$F$44))/NETWORKDAYS($K146,$L146,Assumptions!$F$4:$F$44))</f>
        <v>0</v>
      </c>
      <c r="AP146" s="21" t="n">
        <f aca="false">IF($J146=0,0,MAX(0,NETWORKDAYS(MAX($K146,AP$4),MIN($L146,EOMONTH(AP$4,0)),Assumptions!$F$4:$F$44))/NETWORKDAYS($K146,$L146,Assumptions!$F$4:$F$44))</f>
        <v>0</v>
      </c>
      <c r="AQ146" s="21" t="n">
        <f aca="false">IF($J146=0,0,MAX(0,NETWORKDAYS(MAX($K146,AQ$4),MIN($L146,EOMONTH(AQ$4,0)),Assumptions!$F$4:$F$44))/NETWORKDAYS($K146,$L146,Assumptions!$F$4:$F$44))</f>
        <v>0</v>
      </c>
      <c r="AR146" s="21" t="n">
        <f aca="false">IF($J146=0,0,MAX(0,NETWORKDAYS(MAX($K146,AR$4),MIN($L146,EOMONTH(AR$4,0)),Assumptions!$F$4:$F$44))/NETWORKDAYS($K146,$L146,Assumptions!$F$4:$F$44))</f>
        <v>0</v>
      </c>
      <c r="AS146" s="21" t="n">
        <f aca="false">IF($J146=0,0,MAX(0,NETWORKDAYS(MAX($K146,AS$4),MIN($L146,EOMONTH(AS$4,0)),Assumptions!$F$4:$F$44))/NETWORKDAYS($K146,$L146,Assumptions!$F$4:$F$44))</f>
        <v>0</v>
      </c>
      <c r="AT146" s="21" t="n">
        <f aca="false">IF($J146=0,0,MAX(0,NETWORKDAYS(MAX($K146,AT$4),MIN($L146,EOMONTH(AT$4,0)),Assumptions!$F$4:$F$44))/NETWORKDAYS($K146,$L146,Assumptions!$F$4:$F$44))</f>
        <v>0</v>
      </c>
      <c r="AU146" s="21" t="n">
        <f aca="false">IF($J146=0,0,MAX(0,NETWORKDAYS(MAX($K146,AU$4),MIN($L146,EOMONTH(AU$4,0)),Assumptions!$F$4:$F$44))/NETWORKDAYS($K146,$L146,Assumptions!$F$4:$F$44))</f>
        <v>0</v>
      </c>
      <c r="AV146" s="21" t="n">
        <f aca="false">IF($J146=0,0,MAX(0,NETWORKDAYS(MAX($K146,AV$4),MIN($L146,EOMONTH(AV$4,0)),Assumptions!$F$4:$F$44))/NETWORKDAYS($K146,$L146,Assumptions!$F$4:$F$44))</f>
        <v>0</v>
      </c>
      <c r="AW146" s="21" t="n">
        <f aca="false">IF($J146=0,0,MAX(0,NETWORKDAYS(MAX($K146,AW$4),MIN($L146,EOMONTH(AW$4,0)),Assumptions!$F$4:$F$44))/NETWORKDAYS($K146,$L146,Assumptions!$F$4:$F$44))</f>
        <v>0</v>
      </c>
      <c r="AX146" s="21" t="n">
        <f aca="false">IF($J146=0,0,MAX(0,NETWORKDAYS(MAX($K146,AX$4),MIN($L146,EOMONTH(AX$4,0)),Assumptions!$F$4:$F$44))/NETWORKDAYS($K146,$L146,Assumptions!$F$4:$F$44))</f>
        <v>0</v>
      </c>
      <c r="AY146" s="21" t="n">
        <f aca="false">IF($J146=0,0,MAX(0,NETWORKDAYS(MAX($K146,AY$4),MIN($L146,EOMONTH(AY$4,0)),Assumptions!$F$4:$F$44))/NETWORKDAYS($K146,$L146,Assumptions!$F$4:$F$44))</f>
        <v>0</v>
      </c>
      <c r="AZ146" s="21" t="n">
        <f aca="false">IF($J146=0,0,MAX(0,NETWORKDAYS(MAX($K146,AZ$4),MIN($L146,EOMONTH(AZ$4,0)),Assumptions!$F$4:$F$44))/NETWORKDAYS($K146,$L146,Assumptions!$F$4:$F$44))</f>
        <v>0</v>
      </c>
      <c r="BA146" s="21" t="n">
        <f aca="false">IF($J146=0,0,MAX(0,NETWORKDAYS(MAX($K146,BA$4),MIN($L146,EOMONTH(BA$4,0)),Assumptions!$F$4:$F$44))/NETWORKDAYS($K146,$L146,Assumptions!$F$4:$F$44))</f>
        <v>0</v>
      </c>
      <c r="BB146" s="21" t="n">
        <f aca="false">IF($J146=0,0,MAX(0,NETWORKDAYS(MAX($K146,BB$4),MIN($L146,EOMONTH(BB$4,0)),Assumptions!$F$4:$F$44))/NETWORKDAYS($K146,$L146,Assumptions!$F$4:$F$44))</f>
        <v>0</v>
      </c>
      <c r="BC146" s="21" t="n">
        <f aca="false">IF($J146=0,0,MAX(0,NETWORKDAYS(MAX($K146,BC$4),MIN($L146,EOMONTH(BC$4,0)),Assumptions!$F$4:$F$44))/NETWORKDAYS($K146,$L146,Assumptions!$F$4:$F$44))</f>
        <v>0</v>
      </c>
    </row>
    <row r="147" customFormat="false" ht="15" hidden="false" customHeight="false" outlineLevel="2" collapsed="false">
      <c r="A147" s="27" t="n">
        <v>143</v>
      </c>
      <c r="B147" s="27" t="s">
        <v>389</v>
      </c>
      <c r="C147" s="27" t="n">
        <v>3</v>
      </c>
      <c r="D147" s="27" t="s">
        <v>92</v>
      </c>
      <c r="E147" s="28" t="s">
        <v>303</v>
      </c>
      <c r="F147" s="27" t="s">
        <v>154</v>
      </c>
      <c r="G147" s="27" t="s">
        <v>383</v>
      </c>
      <c r="H147" s="27" t="s">
        <v>47</v>
      </c>
      <c r="I147" s="29" t="n">
        <v>40</v>
      </c>
      <c r="J147" s="29" t="n">
        <v>47</v>
      </c>
      <c r="K147" s="30" t="n">
        <f aca="false">WORKDAY(Assumptions!$C$4,I147,Assumptions!$F$4:$F$44)</f>
        <v>46384</v>
      </c>
      <c r="L147" s="30" t="n">
        <f aca="false">IF(J147=0,K147,WORKDAY(K147,J147-1,Assumptions!$F$4:$F$44))</f>
        <v>46448</v>
      </c>
      <c r="M147" s="29" t="s">
        <v>390</v>
      </c>
      <c r="N147" s="31" t="n">
        <v>0</v>
      </c>
      <c r="O147" s="31" t="n">
        <v>0</v>
      </c>
      <c r="P147" s="31" t="n">
        <v>0</v>
      </c>
      <c r="Q147" s="31" t="n">
        <v>45</v>
      </c>
      <c r="R147" s="31" t="n">
        <v>0</v>
      </c>
      <c r="S147" s="31" t="n">
        <v>0</v>
      </c>
      <c r="T147" s="31" t="n">
        <v>0</v>
      </c>
      <c r="U147" s="31" t="n">
        <v>0</v>
      </c>
      <c r="V147" s="31" t="n">
        <v>0</v>
      </c>
      <c r="W147" s="31" t="n">
        <v>0</v>
      </c>
      <c r="X147" s="31" t="n">
        <v>0</v>
      </c>
      <c r="Y147" s="32" t="n">
        <f aca="false">SUM(N147:X147)</f>
        <v>45</v>
      </c>
      <c r="Z147" s="32" t="n">
        <f aca="false">Y147*(1+Assumptions!$C$5)</f>
        <v>51.75</v>
      </c>
      <c r="AA147" s="27" t="s">
        <v>305</v>
      </c>
      <c r="AB147" s="27" t="s">
        <v>95</v>
      </c>
      <c r="AC147" s="27"/>
      <c r="AD147" s="33" t="n">
        <v>0</v>
      </c>
      <c r="AF147" s="21" t="n">
        <f aca="false">IF($J147=0,0,MAX(0,NETWORKDAYS(MAX($K147,AF$4),MIN($L147,EOMONTH(AF$4,0)),Assumptions!$F$4:$F$44))/NETWORKDAYS($K147,$L147,Assumptions!$F$4:$F$44))</f>
        <v>0</v>
      </c>
      <c r="AG147" s="21" t="n">
        <f aca="false">IF($J147=0,0,MAX(0,NETWORKDAYS(MAX($K147,AG$4),MIN($L147,EOMONTH(AG$4,0)),Assumptions!$F$4:$F$44))/NETWORKDAYS($K147,$L147,Assumptions!$F$4:$F$44))</f>
        <v>0.0851063829787234</v>
      </c>
      <c r="AH147" s="21" t="n">
        <f aca="false">IF($J147=0,0,MAX(0,NETWORKDAYS(MAX($K147,AH$4),MIN($L147,EOMONTH(AH$4,0)),Assumptions!$F$4:$F$44))/NETWORKDAYS($K147,$L147,Assumptions!$F$4:$F$44))</f>
        <v>0.446808510638298</v>
      </c>
      <c r="AI147" s="21" t="n">
        <f aca="false">IF($J147=0,0,MAX(0,NETWORKDAYS(MAX($K147,AI$4),MIN($L147,EOMONTH(AI$4,0)),Assumptions!$F$4:$F$44))/NETWORKDAYS($K147,$L147,Assumptions!$F$4:$F$44))</f>
        <v>0.425531914893617</v>
      </c>
      <c r="AJ147" s="21" t="n">
        <f aca="false">IF($J147=0,0,MAX(0,NETWORKDAYS(MAX($K147,AJ$4),MIN($L147,EOMONTH(AJ$4,0)),Assumptions!$F$4:$F$44))/NETWORKDAYS($K147,$L147,Assumptions!$F$4:$F$44))</f>
        <v>0.0425531914893617</v>
      </c>
      <c r="AK147" s="21" t="n">
        <f aca="false">IF($J147=0,0,MAX(0,NETWORKDAYS(MAX($K147,AK$4),MIN($L147,EOMONTH(AK$4,0)),Assumptions!$F$4:$F$44))/NETWORKDAYS($K147,$L147,Assumptions!$F$4:$F$44))</f>
        <v>0</v>
      </c>
      <c r="AL147" s="21" t="n">
        <f aca="false">IF($J147=0,0,MAX(0,NETWORKDAYS(MAX($K147,AL$4),MIN($L147,EOMONTH(AL$4,0)),Assumptions!$F$4:$F$44))/NETWORKDAYS($K147,$L147,Assumptions!$F$4:$F$44))</f>
        <v>0</v>
      </c>
      <c r="AM147" s="21" t="n">
        <f aca="false">IF($J147=0,0,MAX(0,NETWORKDAYS(MAX($K147,AM$4),MIN($L147,EOMONTH(AM$4,0)),Assumptions!$F$4:$F$44))/NETWORKDAYS($K147,$L147,Assumptions!$F$4:$F$44))</f>
        <v>0</v>
      </c>
      <c r="AN147" s="21" t="n">
        <f aca="false">IF($J147=0,0,MAX(0,NETWORKDAYS(MAX($K147,AN$4),MIN($L147,EOMONTH(AN$4,0)),Assumptions!$F$4:$F$44))/NETWORKDAYS($K147,$L147,Assumptions!$F$4:$F$44))</f>
        <v>0</v>
      </c>
      <c r="AO147" s="21" t="n">
        <f aca="false">IF($J147=0,0,MAX(0,NETWORKDAYS(MAX($K147,AO$4),MIN($L147,EOMONTH(AO$4,0)),Assumptions!$F$4:$F$44))/NETWORKDAYS($K147,$L147,Assumptions!$F$4:$F$44))</f>
        <v>0</v>
      </c>
      <c r="AP147" s="21" t="n">
        <f aca="false">IF($J147=0,0,MAX(0,NETWORKDAYS(MAX($K147,AP$4),MIN($L147,EOMONTH(AP$4,0)),Assumptions!$F$4:$F$44))/NETWORKDAYS($K147,$L147,Assumptions!$F$4:$F$44))</f>
        <v>0</v>
      </c>
      <c r="AQ147" s="21" t="n">
        <f aca="false">IF($J147=0,0,MAX(0,NETWORKDAYS(MAX($K147,AQ$4),MIN($L147,EOMONTH(AQ$4,0)),Assumptions!$F$4:$F$44))/NETWORKDAYS($K147,$L147,Assumptions!$F$4:$F$44))</f>
        <v>0</v>
      </c>
      <c r="AR147" s="21" t="n">
        <f aca="false">IF($J147=0,0,MAX(0,NETWORKDAYS(MAX($K147,AR$4),MIN($L147,EOMONTH(AR$4,0)),Assumptions!$F$4:$F$44))/NETWORKDAYS($K147,$L147,Assumptions!$F$4:$F$44))</f>
        <v>0</v>
      </c>
      <c r="AS147" s="21" t="n">
        <f aca="false">IF($J147=0,0,MAX(0,NETWORKDAYS(MAX($K147,AS$4),MIN($L147,EOMONTH(AS$4,0)),Assumptions!$F$4:$F$44))/NETWORKDAYS($K147,$L147,Assumptions!$F$4:$F$44))</f>
        <v>0</v>
      </c>
      <c r="AT147" s="21" t="n">
        <f aca="false">IF($J147=0,0,MAX(0,NETWORKDAYS(MAX($K147,AT$4),MIN($L147,EOMONTH(AT$4,0)),Assumptions!$F$4:$F$44))/NETWORKDAYS($K147,$L147,Assumptions!$F$4:$F$44))</f>
        <v>0</v>
      </c>
      <c r="AU147" s="21" t="n">
        <f aca="false">IF($J147=0,0,MAX(0,NETWORKDAYS(MAX($K147,AU$4),MIN($L147,EOMONTH(AU$4,0)),Assumptions!$F$4:$F$44))/NETWORKDAYS($K147,$L147,Assumptions!$F$4:$F$44))</f>
        <v>0</v>
      </c>
      <c r="AV147" s="21" t="n">
        <f aca="false">IF($J147=0,0,MAX(0,NETWORKDAYS(MAX($K147,AV$4),MIN($L147,EOMONTH(AV$4,0)),Assumptions!$F$4:$F$44))/NETWORKDAYS($K147,$L147,Assumptions!$F$4:$F$44))</f>
        <v>0</v>
      </c>
      <c r="AW147" s="21" t="n">
        <f aca="false">IF($J147=0,0,MAX(0,NETWORKDAYS(MAX($K147,AW$4),MIN($L147,EOMONTH(AW$4,0)),Assumptions!$F$4:$F$44))/NETWORKDAYS($K147,$L147,Assumptions!$F$4:$F$44))</f>
        <v>0</v>
      </c>
      <c r="AX147" s="21" t="n">
        <f aca="false">IF($J147=0,0,MAX(0,NETWORKDAYS(MAX($K147,AX$4),MIN($L147,EOMONTH(AX$4,0)),Assumptions!$F$4:$F$44))/NETWORKDAYS($K147,$L147,Assumptions!$F$4:$F$44))</f>
        <v>0</v>
      </c>
      <c r="AY147" s="21" t="n">
        <f aca="false">IF($J147=0,0,MAX(0,NETWORKDAYS(MAX($K147,AY$4),MIN($L147,EOMONTH(AY$4,0)),Assumptions!$F$4:$F$44))/NETWORKDAYS($K147,$L147,Assumptions!$F$4:$F$44))</f>
        <v>0</v>
      </c>
      <c r="AZ147" s="21" t="n">
        <f aca="false">IF($J147=0,0,MAX(0,NETWORKDAYS(MAX($K147,AZ$4),MIN($L147,EOMONTH(AZ$4,0)),Assumptions!$F$4:$F$44))/NETWORKDAYS($K147,$L147,Assumptions!$F$4:$F$44))</f>
        <v>0</v>
      </c>
      <c r="BA147" s="21" t="n">
        <f aca="false">IF($J147=0,0,MAX(0,NETWORKDAYS(MAX($K147,BA$4),MIN($L147,EOMONTH(BA$4,0)),Assumptions!$F$4:$F$44))/NETWORKDAYS($K147,$L147,Assumptions!$F$4:$F$44))</f>
        <v>0</v>
      </c>
      <c r="BB147" s="21" t="n">
        <f aca="false">IF($J147=0,0,MAX(0,NETWORKDAYS(MAX($K147,BB$4),MIN($L147,EOMONTH(BB$4,0)),Assumptions!$F$4:$F$44))/NETWORKDAYS($K147,$L147,Assumptions!$F$4:$F$44))</f>
        <v>0</v>
      </c>
      <c r="BC147" s="21" t="n">
        <f aca="false">IF($J147=0,0,MAX(0,NETWORKDAYS(MAX($K147,BC$4),MIN($L147,EOMONTH(BC$4,0)),Assumptions!$F$4:$F$44))/NETWORKDAYS($K147,$L147,Assumptions!$F$4:$F$44))</f>
        <v>0</v>
      </c>
    </row>
    <row r="148" customFormat="false" ht="15" hidden="false" customHeight="false" outlineLevel="2" collapsed="false">
      <c r="A148" s="27" t="n">
        <v>144</v>
      </c>
      <c r="B148" s="27" t="s">
        <v>391</v>
      </c>
      <c r="C148" s="27" t="n">
        <v>3</v>
      </c>
      <c r="D148" s="27" t="s">
        <v>92</v>
      </c>
      <c r="E148" s="28" t="s">
        <v>307</v>
      </c>
      <c r="F148" s="27" t="s">
        <v>154</v>
      </c>
      <c r="G148" s="27" t="s">
        <v>383</v>
      </c>
      <c r="H148" s="27" t="s">
        <v>47</v>
      </c>
      <c r="I148" s="29" t="n">
        <v>54</v>
      </c>
      <c r="J148" s="29" t="n">
        <v>34</v>
      </c>
      <c r="K148" s="30" t="n">
        <f aca="false">WORKDAY(Assumptions!$C$4,I148,Assumptions!$F$4:$F$44)</f>
        <v>46402</v>
      </c>
      <c r="L148" s="30" t="n">
        <f aca="false">IF(J148=0,K148,WORKDAY(K148,J148-1,Assumptions!$F$4:$F$44))</f>
        <v>46449</v>
      </c>
      <c r="M148" s="29" t="s">
        <v>390</v>
      </c>
      <c r="N148" s="31" t="n">
        <v>0</v>
      </c>
      <c r="O148" s="31" t="n">
        <v>6</v>
      </c>
      <c r="P148" s="31" t="n">
        <v>0</v>
      </c>
      <c r="Q148" s="31" t="n">
        <v>15</v>
      </c>
      <c r="R148" s="31" t="n">
        <v>0</v>
      </c>
      <c r="S148" s="31" t="n">
        <v>0</v>
      </c>
      <c r="T148" s="31" t="n">
        <v>0</v>
      </c>
      <c r="U148" s="31" t="n">
        <v>0</v>
      </c>
      <c r="V148" s="31" t="n">
        <v>0</v>
      </c>
      <c r="W148" s="31" t="n">
        <v>0</v>
      </c>
      <c r="X148" s="31" t="n">
        <v>0</v>
      </c>
      <c r="Y148" s="32" t="n">
        <f aca="false">SUM(N148:X148)</f>
        <v>21</v>
      </c>
      <c r="Z148" s="32" t="n">
        <f aca="false">Y148*(1+Assumptions!$C$5)</f>
        <v>24.15</v>
      </c>
      <c r="AA148" s="27" t="s">
        <v>308</v>
      </c>
      <c r="AB148" s="27" t="s">
        <v>95</v>
      </c>
      <c r="AC148" s="27"/>
      <c r="AD148" s="33" t="n">
        <v>0</v>
      </c>
      <c r="AF148" s="21" t="n">
        <f aca="false">IF($J148=0,0,MAX(0,NETWORKDAYS(MAX($K148,AF$4),MIN($L148,EOMONTH(AF$4,0)),Assumptions!$F$4:$F$44))/NETWORKDAYS($K148,$L148,Assumptions!$F$4:$F$44))</f>
        <v>0</v>
      </c>
      <c r="AG148" s="21" t="n">
        <f aca="false">IF($J148=0,0,MAX(0,NETWORKDAYS(MAX($K148,AG$4),MIN($L148,EOMONTH(AG$4,0)),Assumptions!$F$4:$F$44))/NETWORKDAYS($K148,$L148,Assumptions!$F$4:$F$44))</f>
        <v>0</v>
      </c>
      <c r="AH148" s="21" t="n">
        <f aca="false">IF($J148=0,0,MAX(0,NETWORKDAYS(MAX($K148,AH$4),MIN($L148,EOMONTH(AH$4,0)),Assumptions!$F$4:$F$44))/NETWORKDAYS($K148,$L148,Assumptions!$F$4:$F$44))</f>
        <v>0.323529411764706</v>
      </c>
      <c r="AI148" s="21" t="n">
        <f aca="false">IF($J148=0,0,MAX(0,NETWORKDAYS(MAX($K148,AI$4),MIN($L148,EOMONTH(AI$4,0)),Assumptions!$F$4:$F$44))/NETWORKDAYS($K148,$L148,Assumptions!$F$4:$F$44))</f>
        <v>0.588235294117647</v>
      </c>
      <c r="AJ148" s="21" t="n">
        <f aca="false">IF($J148=0,0,MAX(0,NETWORKDAYS(MAX($K148,AJ$4),MIN($L148,EOMONTH(AJ$4,0)),Assumptions!$F$4:$F$44))/NETWORKDAYS($K148,$L148,Assumptions!$F$4:$F$44))</f>
        <v>0.0882352941176471</v>
      </c>
      <c r="AK148" s="21" t="n">
        <f aca="false">IF($J148=0,0,MAX(0,NETWORKDAYS(MAX($K148,AK$4),MIN($L148,EOMONTH(AK$4,0)),Assumptions!$F$4:$F$44))/NETWORKDAYS($K148,$L148,Assumptions!$F$4:$F$44))</f>
        <v>0</v>
      </c>
      <c r="AL148" s="21" t="n">
        <f aca="false">IF($J148=0,0,MAX(0,NETWORKDAYS(MAX($K148,AL$4),MIN($L148,EOMONTH(AL$4,0)),Assumptions!$F$4:$F$44))/NETWORKDAYS($K148,$L148,Assumptions!$F$4:$F$44))</f>
        <v>0</v>
      </c>
      <c r="AM148" s="21" t="n">
        <f aca="false">IF($J148=0,0,MAX(0,NETWORKDAYS(MAX($K148,AM$4),MIN($L148,EOMONTH(AM$4,0)),Assumptions!$F$4:$F$44))/NETWORKDAYS($K148,$L148,Assumptions!$F$4:$F$44))</f>
        <v>0</v>
      </c>
      <c r="AN148" s="21" t="n">
        <f aca="false">IF($J148=0,0,MAX(0,NETWORKDAYS(MAX($K148,AN$4),MIN($L148,EOMONTH(AN$4,0)),Assumptions!$F$4:$F$44))/NETWORKDAYS($K148,$L148,Assumptions!$F$4:$F$44))</f>
        <v>0</v>
      </c>
      <c r="AO148" s="21" t="n">
        <f aca="false">IF($J148=0,0,MAX(0,NETWORKDAYS(MAX($K148,AO$4),MIN($L148,EOMONTH(AO$4,0)),Assumptions!$F$4:$F$44))/NETWORKDAYS($K148,$L148,Assumptions!$F$4:$F$44))</f>
        <v>0</v>
      </c>
      <c r="AP148" s="21" t="n">
        <f aca="false">IF($J148=0,0,MAX(0,NETWORKDAYS(MAX($K148,AP$4),MIN($L148,EOMONTH(AP$4,0)),Assumptions!$F$4:$F$44))/NETWORKDAYS($K148,$L148,Assumptions!$F$4:$F$44))</f>
        <v>0</v>
      </c>
      <c r="AQ148" s="21" t="n">
        <f aca="false">IF($J148=0,0,MAX(0,NETWORKDAYS(MAX($K148,AQ$4),MIN($L148,EOMONTH(AQ$4,0)),Assumptions!$F$4:$F$44))/NETWORKDAYS($K148,$L148,Assumptions!$F$4:$F$44))</f>
        <v>0</v>
      </c>
      <c r="AR148" s="21" t="n">
        <f aca="false">IF($J148=0,0,MAX(0,NETWORKDAYS(MAX($K148,AR$4),MIN($L148,EOMONTH(AR$4,0)),Assumptions!$F$4:$F$44))/NETWORKDAYS($K148,$L148,Assumptions!$F$4:$F$44))</f>
        <v>0</v>
      </c>
      <c r="AS148" s="21" t="n">
        <f aca="false">IF($J148=0,0,MAX(0,NETWORKDAYS(MAX($K148,AS$4),MIN($L148,EOMONTH(AS$4,0)),Assumptions!$F$4:$F$44))/NETWORKDAYS($K148,$L148,Assumptions!$F$4:$F$44))</f>
        <v>0</v>
      </c>
      <c r="AT148" s="21" t="n">
        <f aca="false">IF($J148=0,0,MAX(0,NETWORKDAYS(MAX($K148,AT$4),MIN($L148,EOMONTH(AT$4,0)),Assumptions!$F$4:$F$44))/NETWORKDAYS($K148,$L148,Assumptions!$F$4:$F$44))</f>
        <v>0</v>
      </c>
      <c r="AU148" s="21" t="n">
        <f aca="false">IF($J148=0,0,MAX(0,NETWORKDAYS(MAX($K148,AU$4),MIN($L148,EOMONTH(AU$4,0)),Assumptions!$F$4:$F$44))/NETWORKDAYS($K148,$L148,Assumptions!$F$4:$F$44))</f>
        <v>0</v>
      </c>
      <c r="AV148" s="21" t="n">
        <f aca="false">IF($J148=0,0,MAX(0,NETWORKDAYS(MAX($K148,AV$4),MIN($L148,EOMONTH(AV$4,0)),Assumptions!$F$4:$F$44))/NETWORKDAYS($K148,$L148,Assumptions!$F$4:$F$44))</f>
        <v>0</v>
      </c>
      <c r="AW148" s="21" t="n">
        <f aca="false">IF($J148=0,0,MAX(0,NETWORKDAYS(MAX($K148,AW$4),MIN($L148,EOMONTH(AW$4,0)),Assumptions!$F$4:$F$44))/NETWORKDAYS($K148,$L148,Assumptions!$F$4:$F$44))</f>
        <v>0</v>
      </c>
      <c r="AX148" s="21" t="n">
        <f aca="false">IF($J148=0,0,MAX(0,NETWORKDAYS(MAX($K148,AX$4),MIN($L148,EOMONTH(AX$4,0)),Assumptions!$F$4:$F$44))/NETWORKDAYS($K148,$L148,Assumptions!$F$4:$F$44))</f>
        <v>0</v>
      </c>
      <c r="AY148" s="21" t="n">
        <f aca="false">IF($J148=0,0,MAX(0,NETWORKDAYS(MAX($K148,AY$4),MIN($L148,EOMONTH(AY$4,0)),Assumptions!$F$4:$F$44))/NETWORKDAYS($K148,$L148,Assumptions!$F$4:$F$44))</f>
        <v>0</v>
      </c>
      <c r="AZ148" s="21" t="n">
        <f aca="false">IF($J148=0,0,MAX(0,NETWORKDAYS(MAX($K148,AZ$4),MIN($L148,EOMONTH(AZ$4,0)),Assumptions!$F$4:$F$44))/NETWORKDAYS($K148,$L148,Assumptions!$F$4:$F$44))</f>
        <v>0</v>
      </c>
      <c r="BA148" s="21" t="n">
        <f aca="false">IF($J148=0,0,MAX(0,NETWORKDAYS(MAX($K148,BA$4),MIN($L148,EOMONTH(BA$4,0)),Assumptions!$F$4:$F$44))/NETWORKDAYS($K148,$L148,Assumptions!$F$4:$F$44))</f>
        <v>0</v>
      </c>
      <c r="BB148" s="21" t="n">
        <f aca="false">IF($J148=0,0,MAX(0,NETWORKDAYS(MAX($K148,BB$4),MIN($L148,EOMONTH(BB$4,0)),Assumptions!$F$4:$F$44))/NETWORKDAYS($K148,$L148,Assumptions!$F$4:$F$44))</f>
        <v>0</v>
      </c>
      <c r="BC148" s="21" t="n">
        <f aca="false">IF($J148=0,0,MAX(0,NETWORKDAYS(MAX($K148,BC$4),MIN($L148,EOMONTH(BC$4,0)),Assumptions!$F$4:$F$44))/NETWORKDAYS($K148,$L148,Assumptions!$F$4:$F$44))</f>
        <v>0</v>
      </c>
    </row>
    <row r="149" customFormat="false" ht="15" hidden="false" customHeight="false" outlineLevel="2" collapsed="false">
      <c r="A149" s="27" t="n">
        <v>145</v>
      </c>
      <c r="B149" s="27" t="s">
        <v>392</v>
      </c>
      <c r="C149" s="27" t="n">
        <v>3</v>
      </c>
      <c r="D149" s="27" t="s">
        <v>92</v>
      </c>
      <c r="E149" s="28" t="s">
        <v>310</v>
      </c>
      <c r="F149" s="27" t="s">
        <v>154</v>
      </c>
      <c r="G149" s="27" t="s">
        <v>383</v>
      </c>
      <c r="H149" s="27" t="s">
        <v>49</v>
      </c>
      <c r="I149" s="29" t="n">
        <v>48</v>
      </c>
      <c r="J149" s="29" t="n">
        <v>45</v>
      </c>
      <c r="K149" s="30" t="n">
        <f aca="false">WORKDAY(Assumptions!$C$4,I149,Assumptions!$F$4:$F$44)</f>
        <v>46394</v>
      </c>
      <c r="L149" s="30" t="n">
        <f aca="false">IF(J149=0,K149,WORKDAY(K149,J149-1,Assumptions!$F$4:$F$44))</f>
        <v>46456</v>
      </c>
      <c r="M149" s="29" t="s">
        <v>393</v>
      </c>
      <c r="N149" s="31" t="n">
        <v>0</v>
      </c>
      <c r="O149" s="31" t="n">
        <v>0</v>
      </c>
      <c r="P149" s="31" t="n">
        <v>0</v>
      </c>
      <c r="Q149" s="31" t="n">
        <v>0</v>
      </c>
      <c r="R149" s="31" t="n">
        <v>38</v>
      </c>
      <c r="S149" s="31" t="n">
        <v>0</v>
      </c>
      <c r="T149" s="31" t="n">
        <v>0</v>
      </c>
      <c r="U149" s="31" t="n">
        <v>0</v>
      </c>
      <c r="V149" s="31" t="n">
        <v>0</v>
      </c>
      <c r="W149" s="31" t="n">
        <v>0</v>
      </c>
      <c r="X149" s="31" t="n">
        <v>0</v>
      </c>
      <c r="Y149" s="32" t="n">
        <f aca="false">SUM(N149:X149)</f>
        <v>38</v>
      </c>
      <c r="Z149" s="32" t="n">
        <f aca="false">Y149*(1+Assumptions!$C$5)</f>
        <v>43.7</v>
      </c>
      <c r="AA149" s="27" t="s">
        <v>312</v>
      </c>
      <c r="AB149" s="27" t="s">
        <v>95</v>
      </c>
      <c r="AC149" s="27"/>
      <c r="AD149" s="33" t="n">
        <v>0</v>
      </c>
      <c r="AF149" s="21" t="n">
        <f aca="false">IF($J149=0,0,MAX(0,NETWORKDAYS(MAX($K149,AF$4),MIN($L149,EOMONTH(AF$4,0)),Assumptions!$F$4:$F$44))/NETWORKDAYS($K149,$L149,Assumptions!$F$4:$F$44))</f>
        <v>0</v>
      </c>
      <c r="AG149" s="21" t="n">
        <f aca="false">IF($J149=0,0,MAX(0,NETWORKDAYS(MAX($K149,AG$4),MIN($L149,EOMONTH(AG$4,0)),Assumptions!$F$4:$F$44))/NETWORKDAYS($K149,$L149,Assumptions!$F$4:$F$44))</f>
        <v>0</v>
      </c>
      <c r="AH149" s="21" t="n">
        <f aca="false">IF($J149=0,0,MAX(0,NETWORKDAYS(MAX($K149,AH$4),MIN($L149,EOMONTH(AH$4,0)),Assumptions!$F$4:$F$44))/NETWORKDAYS($K149,$L149,Assumptions!$F$4:$F$44))</f>
        <v>0.377777777777778</v>
      </c>
      <c r="AI149" s="21" t="n">
        <f aca="false">IF($J149=0,0,MAX(0,NETWORKDAYS(MAX($K149,AI$4),MIN($L149,EOMONTH(AI$4,0)),Assumptions!$F$4:$F$44))/NETWORKDAYS($K149,$L149,Assumptions!$F$4:$F$44))</f>
        <v>0.444444444444444</v>
      </c>
      <c r="AJ149" s="21" t="n">
        <f aca="false">IF($J149=0,0,MAX(0,NETWORKDAYS(MAX($K149,AJ$4),MIN($L149,EOMONTH(AJ$4,0)),Assumptions!$F$4:$F$44))/NETWORKDAYS($K149,$L149,Assumptions!$F$4:$F$44))</f>
        <v>0.177777777777778</v>
      </c>
      <c r="AK149" s="21" t="n">
        <f aca="false">IF($J149=0,0,MAX(0,NETWORKDAYS(MAX($K149,AK$4),MIN($L149,EOMONTH(AK$4,0)),Assumptions!$F$4:$F$44))/NETWORKDAYS($K149,$L149,Assumptions!$F$4:$F$44))</f>
        <v>0</v>
      </c>
      <c r="AL149" s="21" t="n">
        <f aca="false">IF($J149=0,0,MAX(0,NETWORKDAYS(MAX($K149,AL$4),MIN($L149,EOMONTH(AL$4,0)),Assumptions!$F$4:$F$44))/NETWORKDAYS($K149,$L149,Assumptions!$F$4:$F$44))</f>
        <v>0</v>
      </c>
      <c r="AM149" s="21" t="n">
        <f aca="false">IF($J149=0,0,MAX(0,NETWORKDAYS(MAX($K149,AM$4),MIN($L149,EOMONTH(AM$4,0)),Assumptions!$F$4:$F$44))/NETWORKDAYS($K149,$L149,Assumptions!$F$4:$F$44))</f>
        <v>0</v>
      </c>
      <c r="AN149" s="21" t="n">
        <f aca="false">IF($J149=0,0,MAX(0,NETWORKDAYS(MAX($K149,AN$4),MIN($L149,EOMONTH(AN$4,0)),Assumptions!$F$4:$F$44))/NETWORKDAYS($K149,$L149,Assumptions!$F$4:$F$44))</f>
        <v>0</v>
      </c>
      <c r="AO149" s="21" t="n">
        <f aca="false">IF($J149=0,0,MAX(0,NETWORKDAYS(MAX($K149,AO$4),MIN($L149,EOMONTH(AO$4,0)),Assumptions!$F$4:$F$44))/NETWORKDAYS($K149,$L149,Assumptions!$F$4:$F$44))</f>
        <v>0</v>
      </c>
      <c r="AP149" s="21" t="n">
        <f aca="false">IF($J149=0,0,MAX(0,NETWORKDAYS(MAX($K149,AP$4),MIN($L149,EOMONTH(AP$4,0)),Assumptions!$F$4:$F$44))/NETWORKDAYS($K149,$L149,Assumptions!$F$4:$F$44))</f>
        <v>0</v>
      </c>
      <c r="AQ149" s="21" t="n">
        <f aca="false">IF($J149=0,0,MAX(0,NETWORKDAYS(MAX($K149,AQ$4),MIN($L149,EOMONTH(AQ$4,0)),Assumptions!$F$4:$F$44))/NETWORKDAYS($K149,$L149,Assumptions!$F$4:$F$44))</f>
        <v>0</v>
      </c>
      <c r="AR149" s="21" t="n">
        <f aca="false">IF($J149=0,0,MAX(0,NETWORKDAYS(MAX($K149,AR$4),MIN($L149,EOMONTH(AR$4,0)),Assumptions!$F$4:$F$44))/NETWORKDAYS($K149,$L149,Assumptions!$F$4:$F$44))</f>
        <v>0</v>
      </c>
      <c r="AS149" s="21" t="n">
        <f aca="false">IF($J149=0,0,MAX(0,NETWORKDAYS(MAX($K149,AS$4),MIN($L149,EOMONTH(AS$4,0)),Assumptions!$F$4:$F$44))/NETWORKDAYS($K149,$L149,Assumptions!$F$4:$F$44))</f>
        <v>0</v>
      </c>
      <c r="AT149" s="21" t="n">
        <f aca="false">IF($J149=0,0,MAX(0,NETWORKDAYS(MAX($K149,AT$4),MIN($L149,EOMONTH(AT$4,0)),Assumptions!$F$4:$F$44))/NETWORKDAYS($K149,$L149,Assumptions!$F$4:$F$44))</f>
        <v>0</v>
      </c>
      <c r="AU149" s="21" t="n">
        <f aca="false">IF($J149=0,0,MAX(0,NETWORKDAYS(MAX($K149,AU$4),MIN($L149,EOMONTH(AU$4,0)),Assumptions!$F$4:$F$44))/NETWORKDAYS($K149,$L149,Assumptions!$F$4:$F$44))</f>
        <v>0</v>
      </c>
      <c r="AV149" s="21" t="n">
        <f aca="false">IF($J149=0,0,MAX(0,NETWORKDAYS(MAX($K149,AV$4),MIN($L149,EOMONTH(AV$4,0)),Assumptions!$F$4:$F$44))/NETWORKDAYS($K149,$L149,Assumptions!$F$4:$F$44))</f>
        <v>0</v>
      </c>
      <c r="AW149" s="21" t="n">
        <f aca="false">IF($J149=0,0,MAX(0,NETWORKDAYS(MAX($K149,AW$4),MIN($L149,EOMONTH(AW$4,0)),Assumptions!$F$4:$F$44))/NETWORKDAYS($K149,$L149,Assumptions!$F$4:$F$44))</f>
        <v>0</v>
      </c>
      <c r="AX149" s="21" t="n">
        <f aca="false">IF($J149=0,0,MAX(0,NETWORKDAYS(MAX($K149,AX$4),MIN($L149,EOMONTH(AX$4,0)),Assumptions!$F$4:$F$44))/NETWORKDAYS($K149,$L149,Assumptions!$F$4:$F$44))</f>
        <v>0</v>
      </c>
      <c r="AY149" s="21" t="n">
        <f aca="false">IF($J149=0,0,MAX(0,NETWORKDAYS(MAX($K149,AY$4),MIN($L149,EOMONTH(AY$4,0)),Assumptions!$F$4:$F$44))/NETWORKDAYS($K149,$L149,Assumptions!$F$4:$F$44))</f>
        <v>0</v>
      </c>
      <c r="AZ149" s="21" t="n">
        <f aca="false">IF($J149=0,0,MAX(0,NETWORKDAYS(MAX($K149,AZ$4),MIN($L149,EOMONTH(AZ$4,0)),Assumptions!$F$4:$F$44))/NETWORKDAYS($K149,$L149,Assumptions!$F$4:$F$44))</f>
        <v>0</v>
      </c>
      <c r="BA149" s="21" t="n">
        <f aca="false">IF($J149=0,0,MAX(0,NETWORKDAYS(MAX($K149,BA$4),MIN($L149,EOMONTH(BA$4,0)),Assumptions!$F$4:$F$44))/NETWORKDAYS($K149,$L149,Assumptions!$F$4:$F$44))</f>
        <v>0</v>
      </c>
      <c r="BB149" s="21" t="n">
        <f aca="false">IF($J149=0,0,MAX(0,NETWORKDAYS(MAX($K149,BB$4),MIN($L149,EOMONTH(BB$4,0)),Assumptions!$F$4:$F$44))/NETWORKDAYS($K149,$L149,Assumptions!$F$4:$F$44))</f>
        <v>0</v>
      </c>
      <c r="BC149" s="21" t="n">
        <f aca="false">IF($J149=0,0,MAX(0,NETWORKDAYS(MAX($K149,BC$4),MIN($L149,EOMONTH(BC$4,0)),Assumptions!$F$4:$F$44))/NETWORKDAYS($K149,$L149,Assumptions!$F$4:$F$44))</f>
        <v>0</v>
      </c>
    </row>
    <row r="150" customFormat="false" ht="15" hidden="false" customHeight="false" outlineLevel="2" collapsed="false">
      <c r="A150" s="27" t="n">
        <v>146</v>
      </c>
      <c r="B150" s="27" t="s">
        <v>394</v>
      </c>
      <c r="C150" s="27" t="n">
        <v>3</v>
      </c>
      <c r="D150" s="27" t="s">
        <v>92</v>
      </c>
      <c r="E150" s="28" t="s">
        <v>314</v>
      </c>
      <c r="F150" s="27" t="s">
        <v>154</v>
      </c>
      <c r="G150" s="27" t="s">
        <v>383</v>
      </c>
      <c r="H150" s="27" t="s">
        <v>49</v>
      </c>
      <c r="I150" s="29" t="n">
        <v>59</v>
      </c>
      <c r="J150" s="29" t="n">
        <v>34</v>
      </c>
      <c r="K150" s="30" t="n">
        <f aca="false">WORKDAY(Assumptions!$C$4,I150,Assumptions!$F$4:$F$44)</f>
        <v>46409</v>
      </c>
      <c r="L150" s="30" t="n">
        <f aca="false">IF(J150=0,K150,WORKDAY(K150,J150-1,Assumptions!$F$4:$F$44))</f>
        <v>46456</v>
      </c>
      <c r="M150" s="29" t="s">
        <v>393</v>
      </c>
      <c r="N150" s="31" t="n">
        <v>0</v>
      </c>
      <c r="O150" s="31" t="n">
        <v>0</v>
      </c>
      <c r="P150" s="31" t="n">
        <v>0</v>
      </c>
      <c r="Q150" s="31" t="n">
        <v>0</v>
      </c>
      <c r="R150" s="31" t="n">
        <v>18</v>
      </c>
      <c r="S150" s="31" t="n">
        <v>9</v>
      </c>
      <c r="T150" s="31" t="n">
        <v>0</v>
      </c>
      <c r="U150" s="31" t="n">
        <v>0</v>
      </c>
      <c r="V150" s="31" t="n">
        <v>0</v>
      </c>
      <c r="W150" s="31" t="n">
        <v>0</v>
      </c>
      <c r="X150" s="31" t="n">
        <v>0</v>
      </c>
      <c r="Y150" s="32" t="n">
        <f aca="false">SUM(N150:X150)</f>
        <v>27</v>
      </c>
      <c r="Z150" s="32" t="n">
        <f aca="false">Y150*(1+Assumptions!$C$5)</f>
        <v>31.05</v>
      </c>
      <c r="AA150" s="27" t="s">
        <v>315</v>
      </c>
      <c r="AB150" s="27" t="s">
        <v>95</v>
      </c>
      <c r="AC150" s="27"/>
      <c r="AD150" s="33" t="n">
        <v>0</v>
      </c>
      <c r="AF150" s="21" t="n">
        <f aca="false">IF($J150=0,0,MAX(0,NETWORKDAYS(MAX($K150,AF$4),MIN($L150,EOMONTH(AF$4,0)),Assumptions!$F$4:$F$44))/NETWORKDAYS($K150,$L150,Assumptions!$F$4:$F$44))</f>
        <v>0</v>
      </c>
      <c r="AG150" s="21" t="n">
        <f aca="false">IF($J150=0,0,MAX(0,NETWORKDAYS(MAX($K150,AG$4),MIN($L150,EOMONTH(AG$4,0)),Assumptions!$F$4:$F$44))/NETWORKDAYS($K150,$L150,Assumptions!$F$4:$F$44))</f>
        <v>0</v>
      </c>
      <c r="AH150" s="21" t="n">
        <f aca="false">IF($J150=0,0,MAX(0,NETWORKDAYS(MAX($K150,AH$4),MIN($L150,EOMONTH(AH$4,0)),Assumptions!$F$4:$F$44))/NETWORKDAYS($K150,$L150,Assumptions!$F$4:$F$44))</f>
        <v>0.176470588235294</v>
      </c>
      <c r="AI150" s="21" t="n">
        <f aca="false">IF($J150=0,0,MAX(0,NETWORKDAYS(MAX($K150,AI$4),MIN($L150,EOMONTH(AI$4,0)),Assumptions!$F$4:$F$44))/NETWORKDAYS($K150,$L150,Assumptions!$F$4:$F$44))</f>
        <v>0.588235294117647</v>
      </c>
      <c r="AJ150" s="21" t="n">
        <f aca="false">IF($J150=0,0,MAX(0,NETWORKDAYS(MAX($K150,AJ$4),MIN($L150,EOMONTH(AJ$4,0)),Assumptions!$F$4:$F$44))/NETWORKDAYS($K150,$L150,Assumptions!$F$4:$F$44))</f>
        <v>0.235294117647059</v>
      </c>
      <c r="AK150" s="21" t="n">
        <f aca="false">IF($J150=0,0,MAX(0,NETWORKDAYS(MAX($K150,AK$4),MIN($L150,EOMONTH(AK$4,0)),Assumptions!$F$4:$F$44))/NETWORKDAYS($K150,$L150,Assumptions!$F$4:$F$44))</f>
        <v>0</v>
      </c>
      <c r="AL150" s="21" t="n">
        <f aca="false">IF($J150=0,0,MAX(0,NETWORKDAYS(MAX($K150,AL$4),MIN($L150,EOMONTH(AL$4,0)),Assumptions!$F$4:$F$44))/NETWORKDAYS($K150,$L150,Assumptions!$F$4:$F$44))</f>
        <v>0</v>
      </c>
      <c r="AM150" s="21" t="n">
        <f aca="false">IF($J150=0,0,MAX(0,NETWORKDAYS(MAX($K150,AM$4),MIN($L150,EOMONTH(AM$4,0)),Assumptions!$F$4:$F$44))/NETWORKDAYS($K150,$L150,Assumptions!$F$4:$F$44))</f>
        <v>0</v>
      </c>
      <c r="AN150" s="21" t="n">
        <f aca="false">IF($J150=0,0,MAX(0,NETWORKDAYS(MAX($K150,AN$4),MIN($L150,EOMONTH(AN$4,0)),Assumptions!$F$4:$F$44))/NETWORKDAYS($K150,$L150,Assumptions!$F$4:$F$44))</f>
        <v>0</v>
      </c>
      <c r="AO150" s="21" t="n">
        <f aca="false">IF($J150=0,0,MAX(0,NETWORKDAYS(MAX($K150,AO$4),MIN($L150,EOMONTH(AO$4,0)),Assumptions!$F$4:$F$44))/NETWORKDAYS($K150,$L150,Assumptions!$F$4:$F$44))</f>
        <v>0</v>
      </c>
      <c r="AP150" s="21" t="n">
        <f aca="false">IF($J150=0,0,MAX(0,NETWORKDAYS(MAX($K150,AP$4),MIN($L150,EOMONTH(AP$4,0)),Assumptions!$F$4:$F$44))/NETWORKDAYS($K150,$L150,Assumptions!$F$4:$F$44))</f>
        <v>0</v>
      </c>
      <c r="AQ150" s="21" t="n">
        <f aca="false">IF($J150=0,0,MAX(0,NETWORKDAYS(MAX($K150,AQ$4),MIN($L150,EOMONTH(AQ$4,0)),Assumptions!$F$4:$F$44))/NETWORKDAYS($K150,$L150,Assumptions!$F$4:$F$44))</f>
        <v>0</v>
      </c>
      <c r="AR150" s="21" t="n">
        <f aca="false">IF($J150=0,0,MAX(0,NETWORKDAYS(MAX($K150,AR$4),MIN($L150,EOMONTH(AR$4,0)),Assumptions!$F$4:$F$44))/NETWORKDAYS($K150,$L150,Assumptions!$F$4:$F$44))</f>
        <v>0</v>
      </c>
      <c r="AS150" s="21" t="n">
        <f aca="false">IF($J150=0,0,MAX(0,NETWORKDAYS(MAX($K150,AS$4),MIN($L150,EOMONTH(AS$4,0)),Assumptions!$F$4:$F$44))/NETWORKDAYS($K150,$L150,Assumptions!$F$4:$F$44))</f>
        <v>0</v>
      </c>
      <c r="AT150" s="21" t="n">
        <f aca="false">IF($J150=0,0,MAX(0,NETWORKDAYS(MAX($K150,AT$4),MIN($L150,EOMONTH(AT$4,0)),Assumptions!$F$4:$F$44))/NETWORKDAYS($K150,$L150,Assumptions!$F$4:$F$44))</f>
        <v>0</v>
      </c>
      <c r="AU150" s="21" t="n">
        <f aca="false">IF($J150=0,0,MAX(0,NETWORKDAYS(MAX($K150,AU$4),MIN($L150,EOMONTH(AU$4,0)),Assumptions!$F$4:$F$44))/NETWORKDAYS($K150,$L150,Assumptions!$F$4:$F$44))</f>
        <v>0</v>
      </c>
      <c r="AV150" s="21" t="n">
        <f aca="false">IF($J150=0,0,MAX(0,NETWORKDAYS(MAX($K150,AV$4),MIN($L150,EOMONTH(AV$4,0)),Assumptions!$F$4:$F$44))/NETWORKDAYS($K150,$L150,Assumptions!$F$4:$F$44))</f>
        <v>0</v>
      </c>
      <c r="AW150" s="21" t="n">
        <f aca="false">IF($J150=0,0,MAX(0,NETWORKDAYS(MAX($K150,AW$4),MIN($L150,EOMONTH(AW$4,0)),Assumptions!$F$4:$F$44))/NETWORKDAYS($K150,$L150,Assumptions!$F$4:$F$44))</f>
        <v>0</v>
      </c>
      <c r="AX150" s="21" t="n">
        <f aca="false">IF($J150=0,0,MAX(0,NETWORKDAYS(MAX($K150,AX$4),MIN($L150,EOMONTH(AX$4,0)),Assumptions!$F$4:$F$44))/NETWORKDAYS($K150,$L150,Assumptions!$F$4:$F$44))</f>
        <v>0</v>
      </c>
      <c r="AY150" s="21" t="n">
        <f aca="false">IF($J150=0,0,MAX(0,NETWORKDAYS(MAX($K150,AY$4),MIN($L150,EOMONTH(AY$4,0)),Assumptions!$F$4:$F$44))/NETWORKDAYS($K150,$L150,Assumptions!$F$4:$F$44))</f>
        <v>0</v>
      </c>
      <c r="AZ150" s="21" t="n">
        <f aca="false">IF($J150=0,0,MAX(0,NETWORKDAYS(MAX($K150,AZ$4),MIN($L150,EOMONTH(AZ$4,0)),Assumptions!$F$4:$F$44))/NETWORKDAYS($K150,$L150,Assumptions!$F$4:$F$44))</f>
        <v>0</v>
      </c>
      <c r="BA150" s="21" t="n">
        <f aca="false">IF($J150=0,0,MAX(0,NETWORKDAYS(MAX($K150,BA$4),MIN($L150,EOMONTH(BA$4,0)),Assumptions!$F$4:$F$44))/NETWORKDAYS($K150,$L150,Assumptions!$F$4:$F$44))</f>
        <v>0</v>
      </c>
      <c r="BB150" s="21" t="n">
        <f aca="false">IF($J150=0,0,MAX(0,NETWORKDAYS(MAX($K150,BB$4),MIN($L150,EOMONTH(BB$4,0)),Assumptions!$F$4:$F$44))/NETWORKDAYS($K150,$L150,Assumptions!$F$4:$F$44))</f>
        <v>0</v>
      </c>
      <c r="BC150" s="21" t="n">
        <f aca="false">IF($J150=0,0,MAX(0,NETWORKDAYS(MAX($K150,BC$4),MIN($L150,EOMONTH(BC$4,0)),Assumptions!$F$4:$F$44))/NETWORKDAYS($K150,$L150,Assumptions!$F$4:$F$44))</f>
        <v>0</v>
      </c>
    </row>
    <row r="151" customFormat="false" ht="15" hidden="false" customHeight="false" outlineLevel="2" collapsed="false">
      <c r="A151" s="27" t="n">
        <v>147</v>
      </c>
      <c r="B151" s="27" t="s">
        <v>395</v>
      </c>
      <c r="C151" s="27" t="n">
        <v>3</v>
      </c>
      <c r="D151" s="27" t="s">
        <v>92</v>
      </c>
      <c r="E151" s="28" t="s">
        <v>320</v>
      </c>
      <c r="F151" s="27" t="s">
        <v>154</v>
      </c>
      <c r="G151" s="27" t="s">
        <v>383</v>
      </c>
      <c r="H151" s="27" t="s">
        <v>53</v>
      </c>
      <c r="I151" s="29" t="n">
        <v>48</v>
      </c>
      <c r="J151" s="29" t="n">
        <v>39</v>
      </c>
      <c r="K151" s="30" t="n">
        <f aca="false">WORKDAY(Assumptions!$C$4,I151,Assumptions!$F$4:$F$44)</f>
        <v>46394</v>
      </c>
      <c r="L151" s="30" t="n">
        <f aca="false">IF(J151=0,K151,WORKDAY(K151,J151-1,Assumptions!$F$4:$F$44))</f>
        <v>46448</v>
      </c>
      <c r="M151" s="29" t="s">
        <v>390</v>
      </c>
      <c r="N151" s="31" t="n">
        <v>0</v>
      </c>
      <c r="O151" s="31" t="n">
        <v>0</v>
      </c>
      <c r="P151" s="31" t="n">
        <v>0</v>
      </c>
      <c r="Q151" s="31" t="n">
        <v>0</v>
      </c>
      <c r="R151" s="31" t="n">
        <v>0</v>
      </c>
      <c r="S151" s="31" t="n">
        <v>0</v>
      </c>
      <c r="T151" s="31" t="n">
        <v>15</v>
      </c>
      <c r="U151" s="31" t="n">
        <v>0</v>
      </c>
      <c r="V151" s="31" t="n">
        <v>0</v>
      </c>
      <c r="W151" s="31" t="n">
        <v>0</v>
      </c>
      <c r="X151" s="31" t="n">
        <v>0</v>
      </c>
      <c r="Y151" s="32" t="n">
        <f aca="false">SUM(N151:X151)</f>
        <v>15</v>
      </c>
      <c r="Z151" s="32" t="n">
        <f aca="false">Y151*(1+Assumptions!$C$5)</f>
        <v>17.25</v>
      </c>
      <c r="AA151" s="27" t="s">
        <v>321</v>
      </c>
      <c r="AB151" s="27" t="s">
        <v>95</v>
      </c>
      <c r="AC151" s="27"/>
      <c r="AD151" s="33" t="n">
        <v>0</v>
      </c>
      <c r="AF151" s="21" t="n">
        <f aca="false">IF($J151=0,0,MAX(0,NETWORKDAYS(MAX($K151,AF$4),MIN($L151,EOMONTH(AF$4,0)),Assumptions!$F$4:$F$44))/NETWORKDAYS($K151,$L151,Assumptions!$F$4:$F$44))</f>
        <v>0</v>
      </c>
      <c r="AG151" s="21" t="n">
        <f aca="false">IF($J151=0,0,MAX(0,NETWORKDAYS(MAX($K151,AG$4),MIN($L151,EOMONTH(AG$4,0)),Assumptions!$F$4:$F$44))/NETWORKDAYS($K151,$L151,Assumptions!$F$4:$F$44))</f>
        <v>0</v>
      </c>
      <c r="AH151" s="21" t="n">
        <f aca="false">IF($J151=0,0,MAX(0,NETWORKDAYS(MAX($K151,AH$4),MIN($L151,EOMONTH(AH$4,0)),Assumptions!$F$4:$F$44))/NETWORKDAYS($K151,$L151,Assumptions!$F$4:$F$44))</f>
        <v>0.435897435897436</v>
      </c>
      <c r="AI151" s="21" t="n">
        <f aca="false">IF($J151=0,0,MAX(0,NETWORKDAYS(MAX($K151,AI$4),MIN($L151,EOMONTH(AI$4,0)),Assumptions!$F$4:$F$44))/NETWORKDAYS($K151,$L151,Assumptions!$F$4:$F$44))</f>
        <v>0.512820512820513</v>
      </c>
      <c r="AJ151" s="21" t="n">
        <f aca="false">IF($J151=0,0,MAX(0,NETWORKDAYS(MAX($K151,AJ$4),MIN($L151,EOMONTH(AJ$4,0)),Assumptions!$F$4:$F$44))/NETWORKDAYS($K151,$L151,Assumptions!$F$4:$F$44))</f>
        <v>0.0512820512820513</v>
      </c>
      <c r="AK151" s="21" t="n">
        <f aca="false">IF($J151=0,0,MAX(0,NETWORKDAYS(MAX($K151,AK$4),MIN($L151,EOMONTH(AK$4,0)),Assumptions!$F$4:$F$44))/NETWORKDAYS($K151,$L151,Assumptions!$F$4:$F$44))</f>
        <v>0</v>
      </c>
      <c r="AL151" s="21" t="n">
        <f aca="false">IF($J151=0,0,MAX(0,NETWORKDAYS(MAX($K151,AL$4),MIN($L151,EOMONTH(AL$4,0)),Assumptions!$F$4:$F$44))/NETWORKDAYS($K151,$L151,Assumptions!$F$4:$F$44))</f>
        <v>0</v>
      </c>
      <c r="AM151" s="21" t="n">
        <f aca="false">IF($J151=0,0,MAX(0,NETWORKDAYS(MAX($K151,AM$4),MIN($L151,EOMONTH(AM$4,0)),Assumptions!$F$4:$F$44))/NETWORKDAYS($K151,$L151,Assumptions!$F$4:$F$44))</f>
        <v>0</v>
      </c>
      <c r="AN151" s="21" t="n">
        <f aca="false">IF($J151=0,0,MAX(0,NETWORKDAYS(MAX($K151,AN$4),MIN($L151,EOMONTH(AN$4,0)),Assumptions!$F$4:$F$44))/NETWORKDAYS($K151,$L151,Assumptions!$F$4:$F$44))</f>
        <v>0</v>
      </c>
      <c r="AO151" s="21" t="n">
        <f aca="false">IF($J151=0,0,MAX(0,NETWORKDAYS(MAX($K151,AO$4),MIN($L151,EOMONTH(AO$4,0)),Assumptions!$F$4:$F$44))/NETWORKDAYS($K151,$L151,Assumptions!$F$4:$F$44))</f>
        <v>0</v>
      </c>
      <c r="AP151" s="21" t="n">
        <f aca="false">IF($J151=0,0,MAX(0,NETWORKDAYS(MAX($K151,AP$4),MIN($L151,EOMONTH(AP$4,0)),Assumptions!$F$4:$F$44))/NETWORKDAYS($K151,$L151,Assumptions!$F$4:$F$44))</f>
        <v>0</v>
      </c>
      <c r="AQ151" s="21" t="n">
        <f aca="false">IF($J151=0,0,MAX(0,NETWORKDAYS(MAX($K151,AQ$4),MIN($L151,EOMONTH(AQ$4,0)),Assumptions!$F$4:$F$44))/NETWORKDAYS($K151,$L151,Assumptions!$F$4:$F$44))</f>
        <v>0</v>
      </c>
      <c r="AR151" s="21" t="n">
        <f aca="false">IF($J151=0,0,MAX(0,NETWORKDAYS(MAX($K151,AR$4),MIN($L151,EOMONTH(AR$4,0)),Assumptions!$F$4:$F$44))/NETWORKDAYS($K151,$L151,Assumptions!$F$4:$F$44))</f>
        <v>0</v>
      </c>
      <c r="AS151" s="21" t="n">
        <f aca="false">IF($J151=0,0,MAX(0,NETWORKDAYS(MAX($K151,AS$4),MIN($L151,EOMONTH(AS$4,0)),Assumptions!$F$4:$F$44))/NETWORKDAYS($K151,$L151,Assumptions!$F$4:$F$44))</f>
        <v>0</v>
      </c>
      <c r="AT151" s="21" t="n">
        <f aca="false">IF($J151=0,0,MAX(0,NETWORKDAYS(MAX($K151,AT$4),MIN($L151,EOMONTH(AT$4,0)),Assumptions!$F$4:$F$44))/NETWORKDAYS($K151,$L151,Assumptions!$F$4:$F$44))</f>
        <v>0</v>
      </c>
      <c r="AU151" s="21" t="n">
        <f aca="false">IF($J151=0,0,MAX(0,NETWORKDAYS(MAX($K151,AU$4),MIN($L151,EOMONTH(AU$4,0)),Assumptions!$F$4:$F$44))/NETWORKDAYS($K151,$L151,Assumptions!$F$4:$F$44))</f>
        <v>0</v>
      </c>
      <c r="AV151" s="21" t="n">
        <f aca="false">IF($J151=0,0,MAX(0,NETWORKDAYS(MAX($K151,AV$4),MIN($L151,EOMONTH(AV$4,0)),Assumptions!$F$4:$F$44))/NETWORKDAYS($K151,$L151,Assumptions!$F$4:$F$44))</f>
        <v>0</v>
      </c>
      <c r="AW151" s="21" t="n">
        <f aca="false">IF($J151=0,0,MAX(0,NETWORKDAYS(MAX($K151,AW$4),MIN($L151,EOMONTH(AW$4,0)),Assumptions!$F$4:$F$44))/NETWORKDAYS($K151,$L151,Assumptions!$F$4:$F$44))</f>
        <v>0</v>
      </c>
      <c r="AX151" s="21" t="n">
        <f aca="false">IF($J151=0,0,MAX(0,NETWORKDAYS(MAX($K151,AX$4),MIN($L151,EOMONTH(AX$4,0)),Assumptions!$F$4:$F$44))/NETWORKDAYS($K151,$L151,Assumptions!$F$4:$F$44))</f>
        <v>0</v>
      </c>
      <c r="AY151" s="21" t="n">
        <f aca="false">IF($J151=0,0,MAX(0,NETWORKDAYS(MAX($K151,AY$4),MIN($L151,EOMONTH(AY$4,0)),Assumptions!$F$4:$F$44))/NETWORKDAYS($K151,$L151,Assumptions!$F$4:$F$44))</f>
        <v>0</v>
      </c>
      <c r="AZ151" s="21" t="n">
        <f aca="false">IF($J151=0,0,MAX(0,NETWORKDAYS(MAX($K151,AZ$4),MIN($L151,EOMONTH(AZ$4,0)),Assumptions!$F$4:$F$44))/NETWORKDAYS($K151,$L151,Assumptions!$F$4:$F$44))</f>
        <v>0</v>
      </c>
      <c r="BA151" s="21" t="n">
        <f aca="false">IF($J151=0,0,MAX(0,NETWORKDAYS(MAX($K151,BA$4),MIN($L151,EOMONTH(BA$4,0)),Assumptions!$F$4:$F$44))/NETWORKDAYS($K151,$L151,Assumptions!$F$4:$F$44))</f>
        <v>0</v>
      </c>
      <c r="BB151" s="21" t="n">
        <f aca="false">IF($J151=0,0,MAX(0,NETWORKDAYS(MAX($K151,BB$4),MIN($L151,EOMONTH(BB$4,0)),Assumptions!$F$4:$F$44))/NETWORKDAYS($K151,$L151,Assumptions!$F$4:$F$44))</f>
        <v>0</v>
      </c>
      <c r="BC151" s="21" t="n">
        <f aca="false">IF($J151=0,0,MAX(0,NETWORKDAYS(MAX($K151,BC$4),MIN($L151,EOMONTH(BC$4,0)),Assumptions!$F$4:$F$44))/NETWORKDAYS($K151,$L151,Assumptions!$F$4:$F$44))</f>
        <v>0</v>
      </c>
    </row>
    <row r="152" customFormat="false" ht="15" hidden="false" customHeight="false" outlineLevel="2" collapsed="false">
      <c r="A152" s="27" t="n">
        <v>148</v>
      </c>
      <c r="B152" s="27" t="s">
        <v>396</v>
      </c>
      <c r="C152" s="27" t="n">
        <v>3</v>
      </c>
      <c r="D152" s="27" t="s">
        <v>92</v>
      </c>
      <c r="E152" s="28" t="s">
        <v>397</v>
      </c>
      <c r="F152" s="27" t="s">
        <v>154</v>
      </c>
      <c r="G152" s="27" t="s">
        <v>383</v>
      </c>
      <c r="H152" s="27" t="s">
        <v>47</v>
      </c>
      <c r="I152" s="29" t="n">
        <v>65</v>
      </c>
      <c r="J152" s="29" t="n">
        <v>31</v>
      </c>
      <c r="K152" s="30" t="n">
        <f aca="false">WORKDAY(Assumptions!$C$4,I152,Assumptions!$F$4:$F$44)</f>
        <v>46419</v>
      </c>
      <c r="L152" s="30" t="n">
        <f aca="false">IF(J152=0,K152,WORKDAY(K152,J152-1,Assumptions!$F$4:$F$44))</f>
        <v>46461</v>
      </c>
      <c r="M152" s="29" t="s">
        <v>398</v>
      </c>
      <c r="N152" s="31" t="n">
        <v>0</v>
      </c>
      <c r="O152" s="31" t="n">
        <v>0</v>
      </c>
      <c r="P152" s="31" t="n">
        <v>0</v>
      </c>
      <c r="Q152" s="31" t="n">
        <v>8</v>
      </c>
      <c r="R152" s="31" t="n">
        <v>0</v>
      </c>
      <c r="S152" s="31" t="n">
        <v>0</v>
      </c>
      <c r="T152" s="31" t="n">
        <v>0</v>
      </c>
      <c r="U152" s="31" t="n">
        <v>0</v>
      </c>
      <c r="V152" s="31" t="n">
        <v>0</v>
      </c>
      <c r="W152" s="31" t="n">
        <v>0</v>
      </c>
      <c r="X152" s="31" t="n">
        <v>0</v>
      </c>
      <c r="Y152" s="32" t="n">
        <f aca="false">SUM(N152:X152)</f>
        <v>8</v>
      </c>
      <c r="Z152" s="32" t="n">
        <f aca="false">Y152*(1+Assumptions!$C$5)</f>
        <v>9.2</v>
      </c>
      <c r="AA152" s="27" t="s">
        <v>325</v>
      </c>
      <c r="AB152" s="27" t="s">
        <v>95</v>
      </c>
      <c r="AC152" s="27"/>
      <c r="AD152" s="33" t="n">
        <v>0</v>
      </c>
      <c r="AF152" s="21" t="n">
        <f aca="false">IF($J152=0,0,MAX(0,NETWORKDAYS(MAX($K152,AF$4),MIN($L152,EOMONTH(AF$4,0)),Assumptions!$F$4:$F$44))/NETWORKDAYS($K152,$L152,Assumptions!$F$4:$F$44))</f>
        <v>0</v>
      </c>
      <c r="AG152" s="21" t="n">
        <f aca="false">IF($J152=0,0,MAX(0,NETWORKDAYS(MAX($K152,AG$4),MIN($L152,EOMONTH(AG$4,0)),Assumptions!$F$4:$F$44))/NETWORKDAYS($K152,$L152,Assumptions!$F$4:$F$44))</f>
        <v>0</v>
      </c>
      <c r="AH152" s="21" t="n">
        <f aca="false">IF($J152=0,0,MAX(0,NETWORKDAYS(MAX($K152,AH$4),MIN($L152,EOMONTH(AH$4,0)),Assumptions!$F$4:$F$44))/NETWORKDAYS($K152,$L152,Assumptions!$F$4:$F$44))</f>
        <v>0</v>
      </c>
      <c r="AI152" s="21" t="n">
        <f aca="false">IF($J152=0,0,MAX(0,NETWORKDAYS(MAX($K152,AI$4),MIN($L152,EOMONTH(AI$4,0)),Assumptions!$F$4:$F$44))/NETWORKDAYS($K152,$L152,Assumptions!$F$4:$F$44))</f>
        <v>0.645161290322581</v>
      </c>
      <c r="AJ152" s="21" t="n">
        <f aca="false">IF($J152=0,0,MAX(0,NETWORKDAYS(MAX($K152,AJ$4),MIN($L152,EOMONTH(AJ$4,0)),Assumptions!$F$4:$F$44))/NETWORKDAYS($K152,$L152,Assumptions!$F$4:$F$44))</f>
        <v>0.354838709677419</v>
      </c>
      <c r="AK152" s="21" t="n">
        <f aca="false">IF($J152=0,0,MAX(0,NETWORKDAYS(MAX($K152,AK$4),MIN($L152,EOMONTH(AK$4,0)),Assumptions!$F$4:$F$44))/NETWORKDAYS($K152,$L152,Assumptions!$F$4:$F$44))</f>
        <v>0</v>
      </c>
      <c r="AL152" s="21" t="n">
        <f aca="false">IF($J152=0,0,MAX(0,NETWORKDAYS(MAX($K152,AL$4),MIN($L152,EOMONTH(AL$4,0)),Assumptions!$F$4:$F$44))/NETWORKDAYS($K152,$L152,Assumptions!$F$4:$F$44))</f>
        <v>0</v>
      </c>
      <c r="AM152" s="21" t="n">
        <f aca="false">IF($J152=0,0,MAX(0,NETWORKDAYS(MAX($K152,AM$4),MIN($L152,EOMONTH(AM$4,0)),Assumptions!$F$4:$F$44))/NETWORKDAYS($K152,$L152,Assumptions!$F$4:$F$44))</f>
        <v>0</v>
      </c>
      <c r="AN152" s="21" t="n">
        <f aca="false">IF($J152=0,0,MAX(0,NETWORKDAYS(MAX($K152,AN$4),MIN($L152,EOMONTH(AN$4,0)),Assumptions!$F$4:$F$44))/NETWORKDAYS($K152,$L152,Assumptions!$F$4:$F$44))</f>
        <v>0</v>
      </c>
      <c r="AO152" s="21" t="n">
        <f aca="false">IF($J152=0,0,MAX(0,NETWORKDAYS(MAX($K152,AO$4),MIN($L152,EOMONTH(AO$4,0)),Assumptions!$F$4:$F$44))/NETWORKDAYS($K152,$L152,Assumptions!$F$4:$F$44))</f>
        <v>0</v>
      </c>
      <c r="AP152" s="21" t="n">
        <f aca="false">IF($J152=0,0,MAX(0,NETWORKDAYS(MAX($K152,AP$4),MIN($L152,EOMONTH(AP$4,0)),Assumptions!$F$4:$F$44))/NETWORKDAYS($K152,$L152,Assumptions!$F$4:$F$44))</f>
        <v>0</v>
      </c>
      <c r="AQ152" s="21" t="n">
        <f aca="false">IF($J152=0,0,MAX(0,NETWORKDAYS(MAX($K152,AQ$4),MIN($L152,EOMONTH(AQ$4,0)),Assumptions!$F$4:$F$44))/NETWORKDAYS($K152,$L152,Assumptions!$F$4:$F$44))</f>
        <v>0</v>
      </c>
      <c r="AR152" s="21" t="n">
        <f aca="false">IF($J152=0,0,MAX(0,NETWORKDAYS(MAX($K152,AR$4),MIN($L152,EOMONTH(AR$4,0)),Assumptions!$F$4:$F$44))/NETWORKDAYS($K152,$L152,Assumptions!$F$4:$F$44))</f>
        <v>0</v>
      </c>
      <c r="AS152" s="21" t="n">
        <f aca="false">IF($J152=0,0,MAX(0,NETWORKDAYS(MAX($K152,AS$4),MIN($L152,EOMONTH(AS$4,0)),Assumptions!$F$4:$F$44))/NETWORKDAYS($K152,$L152,Assumptions!$F$4:$F$44))</f>
        <v>0</v>
      </c>
      <c r="AT152" s="21" t="n">
        <f aca="false">IF($J152=0,0,MAX(0,NETWORKDAYS(MAX($K152,AT$4),MIN($L152,EOMONTH(AT$4,0)),Assumptions!$F$4:$F$44))/NETWORKDAYS($K152,$L152,Assumptions!$F$4:$F$44))</f>
        <v>0</v>
      </c>
      <c r="AU152" s="21" t="n">
        <f aca="false">IF($J152=0,0,MAX(0,NETWORKDAYS(MAX($K152,AU$4),MIN($L152,EOMONTH(AU$4,0)),Assumptions!$F$4:$F$44))/NETWORKDAYS($K152,$L152,Assumptions!$F$4:$F$44))</f>
        <v>0</v>
      </c>
      <c r="AV152" s="21" t="n">
        <f aca="false">IF($J152=0,0,MAX(0,NETWORKDAYS(MAX($K152,AV$4),MIN($L152,EOMONTH(AV$4,0)),Assumptions!$F$4:$F$44))/NETWORKDAYS($K152,$L152,Assumptions!$F$4:$F$44))</f>
        <v>0</v>
      </c>
      <c r="AW152" s="21" t="n">
        <f aca="false">IF($J152=0,0,MAX(0,NETWORKDAYS(MAX($K152,AW$4),MIN($L152,EOMONTH(AW$4,0)),Assumptions!$F$4:$F$44))/NETWORKDAYS($K152,$L152,Assumptions!$F$4:$F$44))</f>
        <v>0</v>
      </c>
      <c r="AX152" s="21" t="n">
        <f aca="false">IF($J152=0,0,MAX(0,NETWORKDAYS(MAX($K152,AX$4),MIN($L152,EOMONTH(AX$4,0)),Assumptions!$F$4:$F$44))/NETWORKDAYS($K152,$L152,Assumptions!$F$4:$F$44))</f>
        <v>0</v>
      </c>
      <c r="AY152" s="21" t="n">
        <f aca="false">IF($J152=0,0,MAX(0,NETWORKDAYS(MAX($K152,AY$4),MIN($L152,EOMONTH(AY$4,0)),Assumptions!$F$4:$F$44))/NETWORKDAYS($K152,$L152,Assumptions!$F$4:$F$44))</f>
        <v>0</v>
      </c>
      <c r="AZ152" s="21" t="n">
        <f aca="false">IF($J152=0,0,MAX(0,NETWORKDAYS(MAX($K152,AZ$4),MIN($L152,EOMONTH(AZ$4,0)),Assumptions!$F$4:$F$44))/NETWORKDAYS($K152,$L152,Assumptions!$F$4:$F$44))</f>
        <v>0</v>
      </c>
      <c r="BA152" s="21" t="n">
        <f aca="false">IF($J152=0,0,MAX(0,NETWORKDAYS(MAX($K152,BA$4),MIN($L152,EOMONTH(BA$4,0)),Assumptions!$F$4:$F$44))/NETWORKDAYS($K152,$L152,Assumptions!$F$4:$F$44))</f>
        <v>0</v>
      </c>
      <c r="BB152" s="21" t="n">
        <f aca="false">IF($J152=0,0,MAX(0,NETWORKDAYS(MAX($K152,BB$4),MIN($L152,EOMONTH(BB$4,0)),Assumptions!$F$4:$F$44))/NETWORKDAYS($K152,$L152,Assumptions!$F$4:$F$44))</f>
        <v>0</v>
      </c>
      <c r="BC152" s="21" t="n">
        <f aca="false">IF($J152=0,0,MAX(0,NETWORKDAYS(MAX($K152,BC$4),MIN($L152,EOMONTH(BC$4,0)),Assumptions!$F$4:$F$44))/NETWORKDAYS($K152,$L152,Assumptions!$F$4:$F$44))</f>
        <v>0</v>
      </c>
    </row>
    <row r="153" customFormat="false" ht="15" hidden="false" customHeight="false" outlineLevel="2" collapsed="false">
      <c r="A153" s="27" t="n">
        <v>149</v>
      </c>
      <c r="B153" s="27" t="s">
        <v>399</v>
      </c>
      <c r="C153" s="27" t="n">
        <v>3</v>
      </c>
      <c r="D153" s="27" t="s">
        <v>92</v>
      </c>
      <c r="E153" s="28" t="s">
        <v>400</v>
      </c>
      <c r="F153" s="27" t="s">
        <v>154</v>
      </c>
      <c r="G153" s="27" t="s">
        <v>383</v>
      </c>
      <c r="H153" s="27" t="s">
        <v>47</v>
      </c>
      <c r="I153" s="29" t="n">
        <v>59</v>
      </c>
      <c r="J153" s="29" t="n">
        <v>37</v>
      </c>
      <c r="K153" s="30" t="n">
        <f aca="false">WORKDAY(Assumptions!$C$4,I153,Assumptions!$F$4:$F$44)</f>
        <v>46409</v>
      </c>
      <c r="L153" s="30" t="n">
        <f aca="false">IF(J153=0,K153,WORKDAY(K153,J153-1,Assumptions!$F$4:$F$44))</f>
        <v>46461</v>
      </c>
      <c r="M153" s="29" t="s">
        <v>390</v>
      </c>
      <c r="N153" s="31" t="n">
        <v>0</v>
      </c>
      <c r="O153" s="31" t="n">
        <v>0</v>
      </c>
      <c r="P153" s="31" t="n">
        <v>0</v>
      </c>
      <c r="Q153" s="31" t="n">
        <v>30</v>
      </c>
      <c r="R153" s="31" t="n">
        <v>0</v>
      </c>
      <c r="S153" s="31" t="n">
        <v>0</v>
      </c>
      <c r="T153" s="31" t="n">
        <v>0</v>
      </c>
      <c r="U153" s="31" t="n">
        <v>0</v>
      </c>
      <c r="V153" s="31" t="n">
        <v>6</v>
      </c>
      <c r="W153" s="31" t="n">
        <v>0</v>
      </c>
      <c r="X153" s="31" t="n">
        <v>0</v>
      </c>
      <c r="Y153" s="32" t="n">
        <f aca="false">SUM(N153:X153)</f>
        <v>36</v>
      </c>
      <c r="Z153" s="32" t="n">
        <f aca="false">Y153*(1+Assumptions!$C$5)</f>
        <v>41.4</v>
      </c>
      <c r="AA153" s="27" t="s">
        <v>328</v>
      </c>
      <c r="AB153" s="27" t="s">
        <v>95</v>
      </c>
      <c r="AC153" s="27"/>
      <c r="AD153" s="33" t="n">
        <v>0</v>
      </c>
      <c r="AF153" s="21" t="n">
        <f aca="false">IF($J153=0,0,MAX(0,NETWORKDAYS(MAX($K153,AF$4),MIN($L153,EOMONTH(AF$4,0)),Assumptions!$F$4:$F$44))/NETWORKDAYS($K153,$L153,Assumptions!$F$4:$F$44))</f>
        <v>0</v>
      </c>
      <c r="AG153" s="21" t="n">
        <f aca="false">IF($J153=0,0,MAX(0,NETWORKDAYS(MAX($K153,AG$4),MIN($L153,EOMONTH(AG$4,0)),Assumptions!$F$4:$F$44))/NETWORKDAYS($K153,$L153,Assumptions!$F$4:$F$44))</f>
        <v>0</v>
      </c>
      <c r="AH153" s="21" t="n">
        <f aca="false">IF($J153=0,0,MAX(0,NETWORKDAYS(MAX($K153,AH$4),MIN($L153,EOMONTH(AH$4,0)),Assumptions!$F$4:$F$44))/NETWORKDAYS($K153,$L153,Assumptions!$F$4:$F$44))</f>
        <v>0.162162162162162</v>
      </c>
      <c r="AI153" s="21" t="n">
        <f aca="false">IF($J153=0,0,MAX(0,NETWORKDAYS(MAX($K153,AI$4),MIN($L153,EOMONTH(AI$4,0)),Assumptions!$F$4:$F$44))/NETWORKDAYS($K153,$L153,Assumptions!$F$4:$F$44))</f>
        <v>0.540540540540541</v>
      </c>
      <c r="AJ153" s="21" t="n">
        <f aca="false">IF($J153=0,0,MAX(0,NETWORKDAYS(MAX($K153,AJ$4),MIN($L153,EOMONTH(AJ$4,0)),Assumptions!$F$4:$F$44))/NETWORKDAYS($K153,$L153,Assumptions!$F$4:$F$44))</f>
        <v>0.297297297297297</v>
      </c>
      <c r="AK153" s="21" t="n">
        <f aca="false">IF($J153=0,0,MAX(0,NETWORKDAYS(MAX($K153,AK$4),MIN($L153,EOMONTH(AK$4,0)),Assumptions!$F$4:$F$44))/NETWORKDAYS($K153,$L153,Assumptions!$F$4:$F$44))</f>
        <v>0</v>
      </c>
      <c r="AL153" s="21" t="n">
        <f aca="false">IF($J153=0,0,MAX(0,NETWORKDAYS(MAX($K153,AL$4),MIN($L153,EOMONTH(AL$4,0)),Assumptions!$F$4:$F$44))/NETWORKDAYS($K153,$L153,Assumptions!$F$4:$F$44))</f>
        <v>0</v>
      </c>
      <c r="AM153" s="21" t="n">
        <f aca="false">IF($J153=0,0,MAX(0,NETWORKDAYS(MAX($K153,AM$4),MIN($L153,EOMONTH(AM$4,0)),Assumptions!$F$4:$F$44))/NETWORKDAYS($K153,$L153,Assumptions!$F$4:$F$44))</f>
        <v>0</v>
      </c>
      <c r="AN153" s="21" t="n">
        <f aca="false">IF($J153=0,0,MAX(0,NETWORKDAYS(MAX($K153,AN$4),MIN($L153,EOMONTH(AN$4,0)),Assumptions!$F$4:$F$44))/NETWORKDAYS($K153,$L153,Assumptions!$F$4:$F$44))</f>
        <v>0</v>
      </c>
      <c r="AO153" s="21" t="n">
        <f aca="false">IF($J153=0,0,MAX(0,NETWORKDAYS(MAX($K153,AO$4),MIN($L153,EOMONTH(AO$4,0)),Assumptions!$F$4:$F$44))/NETWORKDAYS($K153,$L153,Assumptions!$F$4:$F$44))</f>
        <v>0</v>
      </c>
      <c r="AP153" s="21" t="n">
        <f aca="false">IF($J153=0,0,MAX(0,NETWORKDAYS(MAX($K153,AP$4),MIN($L153,EOMONTH(AP$4,0)),Assumptions!$F$4:$F$44))/NETWORKDAYS($K153,$L153,Assumptions!$F$4:$F$44))</f>
        <v>0</v>
      </c>
      <c r="AQ153" s="21" t="n">
        <f aca="false">IF($J153=0,0,MAX(0,NETWORKDAYS(MAX($K153,AQ$4),MIN($L153,EOMONTH(AQ$4,0)),Assumptions!$F$4:$F$44))/NETWORKDAYS($K153,$L153,Assumptions!$F$4:$F$44))</f>
        <v>0</v>
      </c>
      <c r="AR153" s="21" t="n">
        <f aca="false">IF($J153=0,0,MAX(0,NETWORKDAYS(MAX($K153,AR$4),MIN($L153,EOMONTH(AR$4,0)),Assumptions!$F$4:$F$44))/NETWORKDAYS($K153,$L153,Assumptions!$F$4:$F$44))</f>
        <v>0</v>
      </c>
      <c r="AS153" s="21" t="n">
        <f aca="false">IF($J153=0,0,MAX(0,NETWORKDAYS(MAX($K153,AS$4),MIN($L153,EOMONTH(AS$4,0)),Assumptions!$F$4:$F$44))/NETWORKDAYS($K153,$L153,Assumptions!$F$4:$F$44))</f>
        <v>0</v>
      </c>
      <c r="AT153" s="21" t="n">
        <f aca="false">IF($J153=0,0,MAX(0,NETWORKDAYS(MAX($K153,AT$4),MIN($L153,EOMONTH(AT$4,0)),Assumptions!$F$4:$F$44))/NETWORKDAYS($K153,$L153,Assumptions!$F$4:$F$44))</f>
        <v>0</v>
      </c>
      <c r="AU153" s="21" t="n">
        <f aca="false">IF($J153=0,0,MAX(0,NETWORKDAYS(MAX($K153,AU$4),MIN($L153,EOMONTH(AU$4,0)),Assumptions!$F$4:$F$44))/NETWORKDAYS($K153,$L153,Assumptions!$F$4:$F$44))</f>
        <v>0</v>
      </c>
      <c r="AV153" s="21" t="n">
        <f aca="false">IF($J153=0,0,MAX(0,NETWORKDAYS(MAX($K153,AV$4),MIN($L153,EOMONTH(AV$4,0)),Assumptions!$F$4:$F$44))/NETWORKDAYS($K153,$L153,Assumptions!$F$4:$F$44))</f>
        <v>0</v>
      </c>
      <c r="AW153" s="21" t="n">
        <f aca="false">IF($J153=0,0,MAX(0,NETWORKDAYS(MAX($K153,AW$4),MIN($L153,EOMONTH(AW$4,0)),Assumptions!$F$4:$F$44))/NETWORKDAYS($K153,$L153,Assumptions!$F$4:$F$44))</f>
        <v>0</v>
      </c>
      <c r="AX153" s="21" t="n">
        <f aca="false">IF($J153=0,0,MAX(0,NETWORKDAYS(MAX($K153,AX$4),MIN($L153,EOMONTH(AX$4,0)),Assumptions!$F$4:$F$44))/NETWORKDAYS($K153,$L153,Assumptions!$F$4:$F$44))</f>
        <v>0</v>
      </c>
      <c r="AY153" s="21" t="n">
        <f aca="false">IF($J153=0,0,MAX(0,NETWORKDAYS(MAX($K153,AY$4),MIN($L153,EOMONTH(AY$4,0)),Assumptions!$F$4:$F$44))/NETWORKDAYS($K153,$L153,Assumptions!$F$4:$F$44))</f>
        <v>0</v>
      </c>
      <c r="AZ153" s="21" t="n">
        <f aca="false">IF($J153=0,0,MAX(0,NETWORKDAYS(MAX($K153,AZ$4),MIN($L153,EOMONTH(AZ$4,0)),Assumptions!$F$4:$F$44))/NETWORKDAYS($K153,$L153,Assumptions!$F$4:$F$44))</f>
        <v>0</v>
      </c>
      <c r="BA153" s="21" t="n">
        <f aca="false">IF($J153=0,0,MAX(0,NETWORKDAYS(MAX($K153,BA$4),MIN($L153,EOMONTH(BA$4,0)),Assumptions!$F$4:$F$44))/NETWORKDAYS($K153,$L153,Assumptions!$F$4:$F$44))</f>
        <v>0</v>
      </c>
      <c r="BB153" s="21" t="n">
        <f aca="false">IF($J153=0,0,MAX(0,NETWORKDAYS(MAX($K153,BB$4),MIN($L153,EOMONTH(BB$4,0)),Assumptions!$F$4:$F$44))/NETWORKDAYS($K153,$L153,Assumptions!$F$4:$F$44))</f>
        <v>0</v>
      </c>
      <c r="BC153" s="21" t="n">
        <f aca="false">IF($J153=0,0,MAX(0,NETWORKDAYS(MAX($K153,BC$4),MIN($L153,EOMONTH(BC$4,0)),Assumptions!$F$4:$F$44))/NETWORKDAYS($K153,$L153,Assumptions!$F$4:$F$44))</f>
        <v>0</v>
      </c>
    </row>
    <row r="154" customFormat="false" ht="15" hidden="false" customHeight="false" outlineLevel="2" collapsed="false">
      <c r="A154" s="27" t="n">
        <v>150</v>
      </c>
      <c r="B154" s="27" t="s">
        <v>401</v>
      </c>
      <c r="C154" s="27" t="n">
        <v>3</v>
      </c>
      <c r="D154" s="27" t="s">
        <v>92</v>
      </c>
      <c r="E154" s="28" t="s">
        <v>330</v>
      </c>
      <c r="F154" s="27" t="s">
        <v>154</v>
      </c>
      <c r="G154" s="27" t="s">
        <v>383</v>
      </c>
      <c r="H154" s="27" t="s">
        <v>47</v>
      </c>
      <c r="I154" s="29" t="n">
        <v>76</v>
      </c>
      <c r="J154" s="29" t="n">
        <v>22</v>
      </c>
      <c r="K154" s="30" t="n">
        <f aca="false">WORKDAY(Assumptions!$C$4,I154,Assumptions!$F$4:$F$44)</f>
        <v>46434</v>
      </c>
      <c r="L154" s="30" t="n">
        <f aca="false">IF(J154=0,K154,WORKDAY(K154,J154-1,Assumptions!$F$4:$F$44))</f>
        <v>46463</v>
      </c>
      <c r="M154" s="29" t="s">
        <v>398</v>
      </c>
      <c r="N154" s="31" t="n">
        <v>0</v>
      </c>
      <c r="O154" s="31" t="n">
        <v>3</v>
      </c>
      <c r="P154" s="31" t="n">
        <v>0</v>
      </c>
      <c r="Q154" s="31" t="n">
        <v>6</v>
      </c>
      <c r="R154" s="31" t="n">
        <v>6</v>
      </c>
      <c r="S154" s="31" t="n">
        <v>0</v>
      </c>
      <c r="T154" s="31" t="n">
        <v>0</v>
      </c>
      <c r="U154" s="31" t="n">
        <v>0</v>
      </c>
      <c r="V154" s="31" t="n">
        <v>0</v>
      </c>
      <c r="W154" s="31" t="n">
        <v>0</v>
      </c>
      <c r="X154" s="31" t="n">
        <v>0</v>
      </c>
      <c r="Y154" s="32" t="n">
        <f aca="false">SUM(N154:X154)</f>
        <v>15</v>
      </c>
      <c r="Z154" s="32" t="n">
        <f aca="false">Y154*(1+Assumptions!$C$5)</f>
        <v>17.25</v>
      </c>
      <c r="AA154" s="27" t="s">
        <v>331</v>
      </c>
      <c r="AB154" s="27" t="s">
        <v>95</v>
      </c>
      <c r="AC154" s="27"/>
      <c r="AD154" s="33" t="n">
        <v>0</v>
      </c>
      <c r="AF154" s="21" t="n">
        <f aca="false">IF($J154=0,0,MAX(0,NETWORKDAYS(MAX($K154,AF$4),MIN($L154,EOMONTH(AF$4,0)),Assumptions!$F$4:$F$44))/NETWORKDAYS($K154,$L154,Assumptions!$F$4:$F$44))</f>
        <v>0</v>
      </c>
      <c r="AG154" s="21" t="n">
        <f aca="false">IF($J154=0,0,MAX(0,NETWORKDAYS(MAX($K154,AG$4),MIN($L154,EOMONTH(AG$4,0)),Assumptions!$F$4:$F$44))/NETWORKDAYS($K154,$L154,Assumptions!$F$4:$F$44))</f>
        <v>0</v>
      </c>
      <c r="AH154" s="21" t="n">
        <f aca="false">IF($J154=0,0,MAX(0,NETWORKDAYS(MAX($K154,AH$4),MIN($L154,EOMONTH(AH$4,0)),Assumptions!$F$4:$F$44))/NETWORKDAYS($K154,$L154,Assumptions!$F$4:$F$44))</f>
        <v>0</v>
      </c>
      <c r="AI154" s="21" t="n">
        <f aca="false">IF($J154=0,0,MAX(0,NETWORKDAYS(MAX($K154,AI$4),MIN($L154,EOMONTH(AI$4,0)),Assumptions!$F$4:$F$44))/NETWORKDAYS($K154,$L154,Assumptions!$F$4:$F$44))</f>
        <v>0.409090909090909</v>
      </c>
      <c r="AJ154" s="21" t="n">
        <f aca="false">IF($J154=0,0,MAX(0,NETWORKDAYS(MAX($K154,AJ$4),MIN($L154,EOMONTH(AJ$4,0)),Assumptions!$F$4:$F$44))/NETWORKDAYS($K154,$L154,Assumptions!$F$4:$F$44))</f>
        <v>0.590909090909091</v>
      </c>
      <c r="AK154" s="21" t="n">
        <f aca="false">IF($J154=0,0,MAX(0,NETWORKDAYS(MAX($K154,AK$4),MIN($L154,EOMONTH(AK$4,0)),Assumptions!$F$4:$F$44))/NETWORKDAYS($K154,$L154,Assumptions!$F$4:$F$44))</f>
        <v>0</v>
      </c>
      <c r="AL154" s="21" t="n">
        <f aca="false">IF($J154=0,0,MAX(0,NETWORKDAYS(MAX($K154,AL$4),MIN($L154,EOMONTH(AL$4,0)),Assumptions!$F$4:$F$44))/NETWORKDAYS($K154,$L154,Assumptions!$F$4:$F$44))</f>
        <v>0</v>
      </c>
      <c r="AM154" s="21" t="n">
        <f aca="false">IF($J154=0,0,MAX(0,NETWORKDAYS(MAX($K154,AM$4),MIN($L154,EOMONTH(AM$4,0)),Assumptions!$F$4:$F$44))/NETWORKDAYS($K154,$L154,Assumptions!$F$4:$F$44))</f>
        <v>0</v>
      </c>
      <c r="AN154" s="21" t="n">
        <f aca="false">IF($J154=0,0,MAX(0,NETWORKDAYS(MAX($K154,AN$4),MIN($L154,EOMONTH(AN$4,0)),Assumptions!$F$4:$F$44))/NETWORKDAYS($K154,$L154,Assumptions!$F$4:$F$44))</f>
        <v>0</v>
      </c>
      <c r="AO154" s="21" t="n">
        <f aca="false">IF($J154=0,0,MAX(0,NETWORKDAYS(MAX($K154,AO$4),MIN($L154,EOMONTH(AO$4,0)),Assumptions!$F$4:$F$44))/NETWORKDAYS($K154,$L154,Assumptions!$F$4:$F$44))</f>
        <v>0</v>
      </c>
      <c r="AP154" s="21" t="n">
        <f aca="false">IF($J154=0,0,MAX(0,NETWORKDAYS(MAX($K154,AP$4),MIN($L154,EOMONTH(AP$4,0)),Assumptions!$F$4:$F$44))/NETWORKDAYS($K154,$L154,Assumptions!$F$4:$F$44))</f>
        <v>0</v>
      </c>
      <c r="AQ154" s="21" t="n">
        <f aca="false">IF($J154=0,0,MAX(0,NETWORKDAYS(MAX($K154,AQ$4),MIN($L154,EOMONTH(AQ$4,0)),Assumptions!$F$4:$F$44))/NETWORKDAYS($K154,$L154,Assumptions!$F$4:$F$44))</f>
        <v>0</v>
      </c>
      <c r="AR154" s="21" t="n">
        <f aca="false">IF($J154=0,0,MAX(0,NETWORKDAYS(MAX($K154,AR$4),MIN($L154,EOMONTH(AR$4,0)),Assumptions!$F$4:$F$44))/NETWORKDAYS($K154,$L154,Assumptions!$F$4:$F$44))</f>
        <v>0</v>
      </c>
      <c r="AS154" s="21" t="n">
        <f aca="false">IF($J154=0,0,MAX(0,NETWORKDAYS(MAX($K154,AS$4),MIN($L154,EOMONTH(AS$4,0)),Assumptions!$F$4:$F$44))/NETWORKDAYS($K154,$L154,Assumptions!$F$4:$F$44))</f>
        <v>0</v>
      </c>
      <c r="AT154" s="21" t="n">
        <f aca="false">IF($J154=0,0,MAX(0,NETWORKDAYS(MAX($K154,AT$4),MIN($L154,EOMONTH(AT$4,0)),Assumptions!$F$4:$F$44))/NETWORKDAYS($K154,$L154,Assumptions!$F$4:$F$44))</f>
        <v>0</v>
      </c>
      <c r="AU154" s="21" t="n">
        <f aca="false">IF($J154=0,0,MAX(0,NETWORKDAYS(MAX($K154,AU$4),MIN($L154,EOMONTH(AU$4,0)),Assumptions!$F$4:$F$44))/NETWORKDAYS($K154,$L154,Assumptions!$F$4:$F$44))</f>
        <v>0</v>
      </c>
      <c r="AV154" s="21" t="n">
        <f aca="false">IF($J154=0,0,MAX(0,NETWORKDAYS(MAX($K154,AV$4),MIN($L154,EOMONTH(AV$4,0)),Assumptions!$F$4:$F$44))/NETWORKDAYS($K154,$L154,Assumptions!$F$4:$F$44))</f>
        <v>0</v>
      </c>
      <c r="AW154" s="21" t="n">
        <f aca="false">IF($J154=0,0,MAX(0,NETWORKDAYS(MAX($K154,AW$4),MIN($L154,EOMONTH(AW$4,0)),Assumptions!$F$4:$F$44))/NETWORKDAYS($K154,$L154,Assumptions!$F$4:$F$44))</f>
        <v>0</v>
      </c>
      <c r="AX154" s="21" t="n">
        <f aca="false">IF($J154=0,0,MAX(0,NETWORKDAYS(MAX($K154,AX$4),MIN($L154,EOMONTH(AX$4,0)),Assumptions!$F$4:$F$44))/NETWORKDAYS($K154,$L154,Assumptions!$F$4:$F$44))</f>
        <v>0</v>
      </c>
      <c r="AY154" s="21" t="n">
        <f aca="false">IF($J154=0,0,MAX(0,NETWORKDAYS(MAX($K154,AY$4),MIN($L154,EOMONTH(AY$4,0)),Assumptions!$F$4:$F$44))/NETWORKDAYS($K154,$L154,Assumptions!$F$4:$F$44))</f>
        <v>0</v>
      </c>
      <c r="AZ154" s="21" t="n">
        <f aca="false">IF($J154=0,0,MAX(0,NETWORKDAYS(MAX($K154,AZ$4),MIN($L154,EOMONTH(AZ$4,0)),Assumptions!$F$4:$F$44))/NETWORKDAYS($K154,$L154,Assumptions!$F$4:$F$44))</f>
        <v>0</v>
      </c>
      <c r="BA154" s="21" t="n">
        <f aca="false">IF($J154=0,0,MAX(0,NETWORKDAYS(MAX($K154,BA$4),MIN($L154,EOMONTH(BA$4,0)),Assumptions!$F$4:$F$44))/NETWORKDAYS($K154,$L154,Assumptions!$F$4:$F$44))</f>
        <v>0</v>
      </c>
      <c r="BB154" s="21" t="n">
        <f aca="false">IF($J154=0,0,MAX(0,NETWORKDAYS(MAX($K154,BB$4),MIN($L154,EOMONTH(BB$4,0)),Assumptions!$F$4:$F$44))/NETWORKDAYS($K154,$L154,Assumptions!$F$4:$F$44))</f>
        <v>0</v>
      </c>
      <c r="BC154" s="21" t="n">
        <f aca="false">IF($J154=0,0,MAX(0,NETWORKDAYS(MAX($K154,BC$4),MIN($L154,EOMONTH(BC$4,0)),Assumptions!$F$4:$F$44))/NETWORKDAYS($K154,$L154,Assumptions!$F$4:$F$44))</f>
        <v>0</v>
      </c>
    </row>
    <row r="155" customFormat="false" ht="15" hidden="false" customHeight="false" outlineLevel="2" collapsed="false">
      <c r="A155" s="27" t="n">
        <v>151</v>
      </c>
      <c r="B155" s="27" t="s">
        <v>402</v>
      </c>
      <c r="C155" s="27" t="n">
        <v>3</v>
      </c>
      <c r="D155" s="27" t="s">
        <v>92</v>
      </c>
      <c r="E155" s="28" t="s">
        <v>336</v>
      </c>
      <c r="F155" s="27" t="s">
        <v>154</v>
      </c>
      <c r="G155" s="27" t="s">
        <v>383</v>
      </c>
      <c r="H155" s="27" t="s">
        <v>57</v>
      </c>
      <c r="I155" s="29" t="n">
        <v>89</v>
      </c>
      <c r="J155" s="29" t="n">
        <v>18</v>
      </c>
      <c r="K155" s="30" t="n">
        <f aca="false">WORKDAY(Assumptions!$C$4,I155,Assumptions!$F$4:$F$44)</f>
        <v>46451</v>
      </c>
      <c r="L155" s="30" t="n">
        <f aca="false">IF(J155=0,K155,WORKDAY(K155,J155-1,Assumptions!$F$4:$F$44))</f>
        <v>46476</v>
      </c>
      <c r="M155" s="29" t="s">
        <v>403</v>
      </c>
      <c r="N155" s="31" t="n">
        <v>0</v>
      </c>
      <c r="O155" s="31" t="n">
        <v>0</v>
      </c>
      <c r="P155" s="31" t="n">
        <v>0</v>
      </c>
      <c r="Q155" s="31" t="n">
        <v>0</v>
      </c>
      <c r="R155" s="31" t="n">
        <v>0</v>
      </c>
      <c r="S155" s="31" t="n">
        <v>0</v>
      </c>
      <c r="T155" s="31" t="n">
        <v>0</v>
      </c>
      <c r="U155" s="31" t="n">
        <v>0</v>
      </c>
      <c r="V155" s="31" t="n">
        <v>30</v>
      </c>
      <c r="W155" s="31" t="n">
        <v>0</v>
      </c>
      <c r="X155" s="31" t="n">
        <v>0</v>
      </c>
      <c r="Y155" s="32" t="n">
        <f aca="false">SUM(N155:X155)</f>
        <v>30</v>
      </c>
      <c r="Z155" s="32" t="n">
        <f aca="false">Y155*(1+Assumptions!$C$5)</f>
        <v>34.5</v>
      </c>
      <c r="AA155" s="27" t="s">
        <v>338</v>
      </c>
      <c r="AB155" s="27" t="s">
        <v>95</v>
      </c>
      <c r="AC155" s="27"/>
      <c r="AD155" s="33" t="n">
        <v>0</v>
      </c>
      <c r="AF155" s="21" t="n">
        <f aca="false">IF($J155=0,0,MAX(0,NETWORKDAYS(MAX($K155,AF$4),MIN($L155,EOMONTH(AF$4,0)),Assumptions!$F$4:$F$44))/NETWORKDAYS($K155,$L155,Assumptions!$F$4:$F$44))</f>
        <v>0</v>
      </c>
      <c r="AG155" s="21" t="n">
        <f aca="false">IF($J155=0,0,MAX(0,NETWORKDAYS(MAX($K155,AG$4),MIN($L155,EOMONTH(AG$4,0)),Assumptions!$F$4:$F$44))/NETWORKDAYS($K155,$L155,Assumptions!$F$4:$F$44))</f>
        <v>0</v>
      </c>
      <c r="AH155" s="21" t="n">
        <f aca="false">IF($J155=0,0,MAX(0,NETWORKDAYS(MAX($K155,AH$4),MIN($L155,EOMONTH(AH$4,0)),Assumptions!$F$4:$F$44))/NETWORKDAYS($K155,$L155,Assumptions!$F$4:$F$44))</f>
        <v>0</v>
      </c>
      <c r="AI155" s="21" t="n">
        <f aca="false">IF($J155=0,0,MAX(0,NETWORKDAYS(MAX($K155,AI$4),MIN($L155,EOMONTH(AI$4,0)),Assumptions!$F$4:$F$44))/NETWORKDAYS($K155,$L155,Assumptions!$F$4:$F$44))</f>
        <v>0</v>
      </c>
      <c r="AJ155" s="21" t="n">
        <f aca="false">IF($J155=0,0,MAX(0,NETWORKDAYS(MAX($K155,AJ$4),MIN($L155,EOMONTH(AJ$4,0)),Assumptions!$F$4:$F$44))/NETWORKDAYS($K155,$L155,Assumptions!$F$4:$F$44))</f>
        <v>1</v>
      </c>
      <c r="AK155" s="21" t="n">
        <f aca="false">IF($J155=0,0,MAX(0,NETWORKDAYS(MAX($K155,AK$4),MIN($L155,EOMONTH(AK$4,0)),Assumptions!$F$4:$F$44))/NETWORKDAYS($K155,$L155,Assumptions!$F$4:$F$44))</f>
        <v>0</v>
      </c>
      <c r="AL155" s="21" t="n">
        <f aca="false">IF($J155=0,0,MAX(0,NETWORKDAYS(MAX($K155,AL$4),MIN($L155,EOMONTH(AL$4,0)),Assumptions!$F$4:$F$44))/NETWORKDAYS($K155,$L155,Assumptions!$F$4:$F$44))</f>
        <v>0</v>
      </c>
      <c r="AM155" s="21" t="n">
        <f aca="false">IF($J155=0,0,MAX(0,NETWORKDAYS(MAX($K155,AM$4),MIN($L155,EOMONTH(AM$4,0)),Assumptions!$F$4:$F$44))/NETWORKDAYS($K155,$L155,Assumptions!$F$4:$F$44))</f>
        <v>0</v>
      </c>
      <c r="AN155" s="21" t="n">
        <f aca="false">IF($J155=0,0,MAX(0,NETWORKDAYS(MAX($K155,AN$4),MIN($L155,EOMONTH(AN$4,0)),Assumptions!$F$4:$F$44))/NETWORKDAYS($K155,$L155,Assumptions!$F$4:$F$44))</f>
        <v>0</v>
      </c>
      <c r="AO155" s="21" t="n">
        <f aca="false">IF($J155=0,0,MAX(0,NETWORKDAYS(MAX($K155,AO$4),MIN($L155,EOMONTH(AO$4,0)),Assumptions!$F$4:$F$44))/NETWORKDAYS($K155,$L155,Assumptions!$F$4:$F$44))</f>
        <v>0</v>
      </c>
      <c r="AP155" s="21" t="n">
        <f aca="false">IF($J155=0,0,MAX(0,NETWORKDAYS(MAX($K155,AP$4),MIN($L155,EOMONTH(AP$4,0)),Assumptions!$F$4:$F$44))/NETWORKDAYS($K155,$L155,Assumptions!$F$4:$F$44))</f>
        <v>0</v>
      </c>
      <c r="AQ155" s="21" t="n">
        <f aca="false">IF($J155=0,0,MAX(0,NETWORKDAYS(MAX($K155,AQ$4),MIN($L155,EOMONTH(AQ$4,0)),Assumptions!$F$4:$F$44))/NETWORKDAYS($K155,$L155,Assumptions!$F$4:$F$44))</f>
        <v>0</v>
      </c>
      <c r="AR155" s="21" t="n">
        <f aca="false">IF($J155=0,0,MAX(0,NETWORKDAYS(MAX($K155,AR$4),MIN($L155,EOMONTH(AR$4,0)),Assumptions!$F$4:$F$44))/NETWORKDAYS($K155,$L155,Assumptions!$F$4:$F$44))</f>
        <v>0</v>
      </c>
      <c r="AS155" s="21" t="n">
        <f aca="false">IF($J155=0,0,MAX(0,NETWORKDAYS(MAX($K155,AS$4),MIN($L155,EOMONTH(AS$4,0)),Assumptions!$F$4:$F$44))/NETWORKDAYS($K155,$L155,Assumptions!$F$4:$F$44))</f>
        <v>0</v>
      </c>
      <c r="AT155" s="21" t="n">
        <f aca="false">IF($J155=0,0,MAX(0,NETWORKDAYS(MAX($K155,AT$4),MIN($L155,EOMONTH(AT$4,0)),Assumptions!$F$4:$F$44))/NETWORKDAYS($K155,$L155,Assumptions!$F$4:$F$44))</f>
        <v>0</v>
      </c>
      <c r="AU155" s="21" t="n">
        <f aca="false">IF($J155=0,0,MAX(0,NETWORKDAYS(MAX($K155,AU$4),MIN($L155,EOMONTH(AU$4,0)),Assumptions!$F$4:$F$44))/NETWORKDAYS($K155,$L155,Assumptions!$F$4:$F$44))</f>
        <v>0</v>
      </c>
      <c r="AV155" s="21" t="n">
        <f aca="false">IF($J155=0,0,MAX(0,NETWORKDAYS(MAX($K155,AV$4),MIN($L155,EOMONTH(AV$4,0)),Assumptions!$F$4:$F$44))/NETWORKDAYS($K155,$L155,Assumptions!$F$4:$F$44))</f>
        <v>0</v>
      </c>
      <c r="AW155" s="21" t="n">
        <f aca="false">IF($J155=0,0,MAX(0,NETWORKDAYS(MAX($K155,AW$4),MIN($L155,EOMONTH(AW$4,0)),Assumptions!$F$4:$F$44))/NETWORKDAYS($K155,$L155,Assumptions!$F$4:$F$44))</f>
        <v>0</v>
      </c>
      <c r="AX155" s="21" t="n">
        <f aca="false">IF($J155=0,0,MAX(0,NETWORKDAYS(MAX($K155,AX$4),MIN($L155,EOMONTH(AX$4,0)),Assumptions!$F$4:$F$44))/NETWORKDAYS($K155,$L155,Assumptions!$F$4:$F$44))</f>
        <v>0</v>
      </c>
      <c r="AY155" s="21" t="n">
        <f aca="false">IF($J155=0,0,MAX(0,NETWORKDAYS(MAX($K155,AY$4),MIN($L155,EOMONTH(AY$4,0)),Assumptions!$F$4:$F$44))/NETWORKDAYS($K155,$L155,Assumptions!$F$4:$F$44))</f>
        <v>0</v>
      </c>
      <c r="AZ155" s="21" t="n">
        <f aca="false">IF($J155=0,0,MAX(0,NETWORKDAYS(MAX($K155,AZ$4),MIN($L155,EOMONTH(AZ$4,0)),Assumptions!$F$4:$F$44))/NETWORKDAYS($K155,$L155,Assumptions!$F$4:$F$44))</f>
        <v>0</v>
      </c>
      <c r="BA155" s="21" t="n">
        <f aca="false">IF($J155=0,0,MAX(0,NETWORKDAYS(MAX($K155,BA$4),MIN($L155,EOMONTH(BA$4,0)),Assumptions!$F$4:$F$44))/NETWORKDAYS($K155,$L155,Assumptions!$F$4:$F$44))</f>
        <v>0</v>
      </c>
      <c r="BB155" s="21" t="n">
        <f aca="false">IF($J155=0,0,MAX(0,NETWORKDAYS(MAX($K155,BB$4),MIN($L155,EOMONTH(BB$4,0)),Assumptions!$F$4:$F$44))/NETWORKDAYS($K155,$L155,Assumptions!$F$4:$F$44))</f>
        <v>0</v>
      </c>
      <c r="BC155" s="21" t="n">
        <f aca="false">IF($J155=0,0,MAX(0,NETWORKDAYS(MAX($K155,BC$4),MIN($L155,EOMONTH(BC$4,0)),Assumptions!$F$4:$F$44))/NETWORKDAYS($K155,$L155,Assumptions!$F$4:$F$44))</f>
        <v>0</v>
      </c>
    </row>
    <row r="156" customFormat="false" ht="15" hidden="false" customHeight="false" outlineLevel="2" collapsed="false">
      <c r="A156" s="27" t="n">
        <v>152</v>
      </c>
      <c r="B156" s="27" t="s">
        <v>404</v>
      </c>
      <c r="C156" s="27" t="n">
        <v>3</v>
      </c>
      <c r="D156" s="27" t="s">
        <v>92</v>
      </c>
      <c r="E156" s="28" t="s">
        <v>340</v>
      </c>
      <c r="F156" s="27" t="s">
        <v>154</v>
      </c>
      <c r="G156" s="27" t="s">
        <v>383</v>
      </c>
      <c r="H156" s="27" t="s">
        <v>47</v>
      </c>
      <c r="I156" s="29" t="n">
        <v>93</v>
      </c>
      <c r="J156" s="29" t="n">
        <v>22</v>
      </c>
      <c r="K156" s="30" t="n">
        <f aca="false">WORKDAY(Assumptions!$C$4,I156,Assumptions!$F$4:$F$44)</f>
        <v>46457</v>
      </c>
      <c r="L156" s="30" t="n">
        <f aca="false">IF(J156=0,K156,WORKDAY(K156,J156-1,Assumptions!$F$4:$F$44))</f>
        <v>46486</v>
      </c>
      <c r="M156" s="29" t="s">
        <v>405</v>
      </c>
      <c r="N156" s="31" t="n">
        <v>0</v>
      </c>
      <c r="O156" s="31" t="n">
        <v>0</v>
      </c>
      <c r="P156" s="31" t="n">
        <v>0</v>
      </c>
      <c r="Q156" s="31" t="n">
        <v>12</v>
      </c>
      <c r="R156" s="31" t="n">
        <v>8</v>
      </c>
      <c r="S156" s="31" t="n">
        <v>0</v>
      </c>
      <c r="T156" s="31" t="n">
        <v>0</v>
      </c>
      <c r="U156" s="31" t="n">
        <v>0</v>
      </c>
      <c r="V156" s="31" t="n">
        <v>6</v>
      </c>
      <c r="W156" s="31" t="n">
        <v>0</v>
      </c>
      <c r="X156" s="31" t="n">
        <v>0</v>
      </c>
      <c r="Y156" s="32" t="n">
        <f aca="false">SUM(N156:X156)</f>
        <v>26</v>
      </c>
      <c r="Z156" s="32" t="n">
        <f aca="false">Y156*(1+Assumptions!$C$5)</f>
        <v>29.9</v>
      </c>
      <c r="AA156" s="27" t="s">
        <v>342</v>
      </c>
      <c r="AB156" s="27" t="s">
        <v>95</v>
      </c>
      <c r="AC156" s="27"/>
      <c r="AD156" s="33" t="n">
        <v>0</v>
      </c>
      <c r="AF156" s="21" t="n">
        <f aca="false">IF($J156=0,0,MAX(0,NETWORKDAYS(MAX($K156,AF$4),MIN($L156,EOMONTH(AF$4,0)),Assumptions!$F$4:$F$44))/NETWORKDAYS($K156,$L156,Assumptions!$F$4:$F$44))</f>
        <v>0</v>
      </c>
      <c r="AG156" s="21" t="n">
        <f aca="false">IF($J156=0,0,MAX(0,NETWORKDAYS(MAX($K156,AG$4),MIN($L156,EOMONTH(AG$4,0)),Assumptions!$F$4:$F$44))/NETWORKDAYS($K156,$L156,Assumptions!$F$4:$F$44))</f>
        <v>0</v>
      </c>
      <c r="AH156" s="21" t="n">
        <f aca="false">IF($J156=0,0,MAX(0,NETWORKDAYS(MAX($K156,AH$4),MIN($L156,EOMONTH(AH$4,0)),Assumptions!$F$4:$F$44))/NETWORKDAYS($K156,$L156,Assumptions!$F$4:$F$44))</f>
        <v>0</v>
      </c>
      <c r="AI156" s="21" t="n">
        <f aca="false">IF($J156=0,0,MAX(0,NETWORKDAYS(MAX($K156,AI$4),MIN($L156,EOMONTH(AI$4,0)),Assumptions!$F$4:$F$44))/NETWORKDAYS($K156,$L156,Assumptions!$F$4:$F$44))</f>
        <v>0</v>
      </c>
      <c r="AJ156" s="21" t="n">
        <f aca="false">IF($J156=0,0,MAX(0,NETWORKDAYS(MAX($K156,AJ$4),MIN($L156,EOMONTH(AJ$4,0)),Assumptions!$F$4:$F$44))/NETWORKDAYS($K156,$L156,Assumptions!$F$4:$F$44))</f>
        <v>0.681818181818182</v>
      </c>
      <c r="AK156" s="21" t="n">
        <f aca="false">IF($J156=0,0,MAX(0,NETWORKDAYS(MAX($K156,AK$4),MIN($L156,EOMONTH(AK$4,0)),Assumptions!$F$4:$F$44))/NETWORKDAYS($K156,$L156,Assumptions!$F$4:$F$44))</f>
        <v>0.318181818181818</v>
      </c>
      <c r="AL156" s="21" t="n">
        <f aca="false">IF($J156=0,0,MAX(0,NETWORKDAYS(MAX($K156,AL$4),MIN($L156,EOMONTH(AL$4,0)),Assumptions!$F$4:$F$44))/NETWORKDAYS($K156,$L156,Assumptions!$F$4:$F$44))</f>
        <v>0</v>
      </c>
      <c r="AM156" s="21" t="n">
        <f aca="false">IF($J156=0,0,MAX(0,NETWORKDAYS(MAX($K156,AM$4),MIN($L156,EOMONTH(AM$4,0)),Assumptions!$F$4:$F$44))/NETWORKDAYS($K156,$L156,Assumptions!$F$4:$F$44))</f>
        <v>0</v>
      </c>
      <c r="AN156" s="21" t="n">
        <f aca="false">IF($J156=0,0,MAX(0,NETWORKDAYS(MAX($K156,AN$4),MIN($L156,EOMONTH(AN$4,0)),Assumptions!$F$4:$F$44))/NETWORKDAYS($K156,$L156,Assumptions!$F$4:$F$44))</f>
        <v>0</v>
      </c>
      <c r="AO156" s="21" t="n">
        <f aca="false">IF($J156=0,0,MAX(0,NETWORKDAYS(MAX($K156,AO$4),MIN($L156,EOMONTH(AO$4,0)),Assumptions!$F$4:$F$44))/NETWORKDAYS($K156,$L156,Assumptions!$F$4:$F$44))</f>
        <v>0</v>
      </c>
      <c r="AP156" s="21" t="n">
        <f aca="false">IF($J156=0,0,MAX(0,NETWORKDAYS(MAX($K156,AP$4),MIN($L156,EOMONTH(AP$4,0)),Assumptions!$F$4:$F$44))/NETWORKDAYS($K156,$L156,Assumptions!$F$4:$F$44))</f>
        <v>0</v>
      </c>
      <c r="AQ156" s="21" t="n">
        <f aca="false">IF($J156=0,0,MAX(0,NETWORKDAYS(MAX($K156,AQ$4),MIN($L156,EOMONTH(AQ$4,0)),Assumptions!$F$4:$F$44))/NETWORKDAYS($K156,$L156,Assumptions!$F$4:$F$44))</f>
        <v>0</v>
      </c>
      <c r="AR156" s="21" t="n">
        <f aca="false">IF($J156=0,0,MAX(0,NETWORKDAYS(MAX($K156,AR$4),MIN($L156,EOMONTH(AR$4,0)),Assumptions!$F$4:$F$44))/NETWORKDAYS($K156,$L156,Assumptions!$F$4:$F$44))</f>
        <v>0</v>
      </c>
      <c r="AS156" s="21" t="n">
        <f aca="false">IF($J156=0,0,MAX(0,NETWORKDAYS(MAX($K156,AS$4),MIN($L156,EOMONTH(AS$4,0)),Assumptions!$F$4:$F$44))/NETWORKDAYS($K156,$L156,Assumptions!$F$4:$F$44))</f>
        <v>0</v>
      </c>
      <c r="AT156" s="21" t="n">
        <f aca="false">IF($J156=0,0,MAX(0,NETWORKDAYS(MAX($K156,AT$4),MIN($L156,EOMONTH(AT$4,0)),Assumptions!$F$4:$F$44))/NETWORKDAYS($K156,$L156,Assumptions!$F$4:$F$44))</f>
        <v>0</v>
      </c>
      <c r="AU156" s="21" t="n">
        <f aca="false">IF($J156=0,0,MAX(0,NETWORKDAYS(MAX($K156,AU$4),MIN($L156,EOMONTH(AU$4,0)),Assumptions!$F$4:$F$44))/NETWORKDAYS($K156,$L156,Assumptions!$F$4:$F$44))</f>
        <v>0</v>
      </c>
      <c r="AV156" s="21" t="n">
        <f aca="false">IF($J156=0,0,MAX(0,NETWORKDAYS(MAX($K156,AV$4),MIN($L156,EOMONTH(AV$4,0)),Assumptions!$F$4:$F$44))/NETWORKDAYS($K156,$L156,Assumptions!$F$4:$F$44))</f>
        <v>0</v>
      </c>
      <c r="AW156" s="21" t="n">
        <f aca="false">IF($J156=0,0,MAX(0,NETWORKDAYS(MAX($K156,AW$4),MIN($L156,EOMONTH(AW$4,0)),Assumptions!$F$4:$F$44))/NETWORKDAYS($K156,$L156,Assumptions!$F$4:$F$44))</f>
        <v>0</v>
      </c>
      <c r="AX156" s="21" t="n">
        <f aca="false">IF($J156=0,0,MAX(0,NETWORKDAYS(MAX($K156,AX$4),MIN($L156,EOMONTH(AX$4,0)),Assumptions!$F$4:$F$44))/NETWORKDAYS($K156,$L156,Assumptions!$F$4:$F$44))</f>
        <v>0</v>
      </c>
      <c r="AY156" s="21" t="n">
        <f aca="false">IF($J156=0,0,MAX(0,NETWORKDAYS(MAX($K156,AY$4),MIN($L156,EOMONTH(AY$4,0)),Assumptions!$F$4:$F$44))/NETWORKDAYS($K156,$L156,Assumptions!$F$4:$F$44))</f>
        <v>0</v>
      </c>
      <c r="AZ156" s="21" t="n">
        <f aca="false">IF($J156=0,0,MAX(0,NETWORKDAYS(MAX($K156,AZ$4),MIN($L156,EOMONTH(AZ$4,0)),Assumptions!$F$4:$F$44))/NETWORKDAYS($K156,$L156,Assumptions!$F$4:$F$44))</f>
        <v>0</v>
      </c>
      <c r="BA156" s="21" t="n">
        <f aca="false">IF($J156=0,0,MAX(0,NETWORKDAYS(MAX($K156,BA$4),MIN($L156,EOMONTH(BA$4,0)),Assumptions!$F$4:$F$44))/NETWORKDAYS($K156,$L156,Assumptions!$F$4:$F$44))</f>
        <v>0</v>
      </c>
      <c r="BB156" s="21" t="n">
        <f aca="false">IF($J156=0,0,MAX(0,NETWORKDAYS(MAX($K156,BB$4),MIN($L156,EOMONTH(BB$4,0)),Assumptions!$F$4:$F$44))/NETWORKDAYS($K156,$L156,Assumptions!$F$4:$F$44))</f>
        <v>0</v>
      </c>
      <c r="BC156" s="21" t="n">
        <f aca="false">IF($J156=0,0,MAX(0,NETWORKDAYS(MAX($K156,BC$4),MIN($L156,EOMONTH(BC$4,0)),Assumptions!$F$4:$F$44))/NETWORKDAYS($K156,$L156,Assumptions!$F$4:$F$44))</f>
        <v>0</v>
      </c>
    </row>
    <row r="157" customFormat="false" ht="15" hidden="false" customHeight="false" outlineLevel="2" collapsed="false">
      <c r="A157" s="27" t="n">
        <v>153</v>
      </c>
      <c r="B157" s="27" t="s">
        <v>406</v>
      </c>
      <c r="C157" s="27" t="n">
        <v>3</v>
      </c>
      <c r="D157" s="27" t="s">
        <v>92</v>
      </c>
      <c r="E157" s="28" t="s">
        <v>344</v>
      </c>
      <c r="F157" s="27" t="s">
        <v>154</v>
      </c>
      <c r="G157" s="27" t="s">
        <v>383</v>
      </c>
      <c r="H157" s="27" t="s">
        <v>43</v>
      </c>
      <c r="I157" s="29" t="n">
        <v>107</v>
      </c>
      <c r="J157" s="29" t="n">
        <v>11</v>
      </c>
      <c r="K157" s="30" t="n">
        <f aca="false">WORKDAY(Assumptions!$C$4,I157,Assumptions!$F$4:$F$44)</f>
        <v>46477</v>
      </c>
      <c r="L157" s="30" t="n">
        <f aca="false">IF(J157=0,K157,WORKDAY(K157,J157-1,Assumptions!$F$4:$F$44))</f>
        <v>46491</v>
      </c>
      <c r="M157" s="29" t="s">
        <v>405</v>
      </c>
      <c r="N157" s="31" t="n">
        <v>0</v>
      </c>
      <c r="O157" s="31" t="n">
        <v>8</v>
      </c>
      <c r="P157" s="31" t="n">
        <v>0</v>
      </c>
      <c r="Q157" s="31" t="n">
        <v>0</v>
      </c>
      <c r="R157" s="31" t="n">
        <v>0</v>
      </c>
      <c r="S157" s="31" t="n">
        <v>0</v>
      </c>
      <c r="T157" s="31" t="n">
        <v>0</v>
      </c>
      <c r="U157" s="31" t="n">
        <v>0</v>
      </c>
      <c r="V157" s="31" t="n">
        <v>8</v>
      </c>
      <c r="W157" s="31" t="n">
        <v>0</v>
      </c>
      <c r="X157" s="31" t="n">
        <v>0</v>
      </c>
      <c r="Y157" s="32" t="n">
        <f aca="false">SUM(N157:X157)</f>
        <v>16</v>
      </c>
      <c r="Z157" s="32" t="n">
        <f aca="false">Y157*(1+Assumptions!$C$5)</f>
        <v>18.4</v>
      </c>
      <c r="AA157" s="27" t="s">
        <v>345</v>
      </c>
      <c r="AB157" s="27" t="s">
        <v>95</v>
      </c>
      <c r="AC157" s="27"/>
      <c r="AD157" s="33" t="n">
        <v>0</v>
      </c>
      <c r="AF157" s="21" t="n">
        <f aca="false">IF($J157=0,0,MAX(0,NETWORKDAYS(MAX($K157,AF$4),MIN($L157,EOMONTH(AF$4,0)),Assumptions!$F$4:$F$44))/NETWORKDAYS($K157,$L157,Assumptions!$F$4:$F$44))</f>
        <v>0</v>
      </c>
      <c r="AG157" s="21" t="n">
        <f aca="false">IF($J157=0,0,MAX(0,NETWORKDAYS(MAX($K157,AG$4),MIN($L157,EOMONTH(AG$4,0)),Assumptions!$F$4:$F$44))/NETWORKDAYS($K157,$L157,Assumptions!$F$4:$F$44))</f>
        <v>0</v>
      </c>
      <c r="AH157" s="21" t="n">
        <f aca="false">IF($J157=0,0,MAX(0,NETWORKDAYS(MAX($K157,AH$4),MIN($L157,EOMONTH(AH$4,0)),Assumptions!$F$4:$F$44))/NETWORKDAYS($K157,$L157,Assumptions!$F$4:$F$44))</f>
        <v>0</v>
      </c>
      <c r="AI157" s="21" t="n">
        <f aca="false">IF($J157=0,0,MAX(0,NETWORKDAYS(MAX($K157,AI$4),MIN($L157,EOMONTH(AI$4,0)),Assumptions!$F$4:$F$44))/NETWORKDAYS($K157,$L157,Assumptions!$F$4:$F$44))</f>
        <v>0</v>
      </c>
      <c r="AJ157" s="21" t="n">
        <f aca="false">IF($J157=0,0,MAX(0,NETWORKDAYS(MAX($K157,AJ$4),MIN($L157,EOMONTH(AJ$4,0)),Assumptions!$F$4:$F$44))/NETWORKDAYS($K157,$L157,Assumptions!$F$4:$F$44))</f>
        <v>0.0909090909090909</v>
      </c>
      <c r="AK157" s="21" t="n">
        <f aca="false">IF($J157=0,0,MAX(0,NETWORKDAYS(MAX($K157,AK$4),MIN($L157,EOMONTH(AK$4,0)),Assumptions!$F$4:$F$44))/NETWORKDAYS($K157,$L157,Assumptions!$F$4:$F$44))</f>
        <v>0.909090909090909</v>
      </c>
      <c r="AL157" s="21" t="n">
        <f aca="false">IF($J157=0,0,MAX(0,NETWORKDAYS(MAX($K157,AL$4),MIN($L157,EOMONTH(AL$4,0)),Assumptions!$F$4:$F$44))/NETWORKDAYS($K157,$L157,Assumptions!$F$4:$F$44))</f>
        <v>0</v>
      </c>
      <c r="AM157" s="21" t="n">
        <f aca="false">IF($J157=0,0,MAX(0,NETWORKDAYS(MAX($K157,AM$4),MIN($L157,EOMONTH(AM$4,0)),Assumptions!$F$4:$F$44))/NETWORKDAYS($K157,$L157,Assumptions!$F$4:$F$44))</f>
        <v>0</v>
      </c>
      <c r="AN157" s="21" t="n">
        <f aca="false">IF($J157=0,0,MAX(0,NETWORKDAYS(MAX($K157,AN$4),MIN($L157,EOMONTH(AN$4,0)),Assumptions!$F$4:$F$44))/NETWORKDAYS($K157,$L157,Assumptions!$F$4:$F$44))</f>
        <v>0</v>
      </c>
      <c r="AO157" s="21" t="n">
        <f aca="false">IF($J157=0,0,MAX(0,NETWORKDAYS(MAX($K157,AO$4),MIN($L157,EOMONTH(AO$4,0)),Assumptions!$F$4:$F$44))/NETWORKDAYS($K157,$L157,Assumptions!$F$4:$F$44))</f>
        <v>0</v>
      </c>
      <c r="AP157" s="21" t="n">
        <f aca="false">IF($J157=0,0,MAX(0,NETWORKDAYS(MAX($K157,AP$4),MIN($L157,EOMONTH(AP$4,0)),Assumptions!$F$4:$F$44))/NETWORKDAYS($K157,$L157,Assumptions!$F$4:$F$44))</f>
        <v>0</v>
      </c>
      <c r="AQ157" s="21" t="n">
        <f aca="false">IF($J157=0,0,MAX(0,NETWORKDAYS(MAX($K157,AQ$4),MIN($L157,EOMONTH(AQ$4,0)),Assumptions!$F$4:$F$44))/NETWORKDAYS($K157,$L157,Assumptions!$F$4:$F$44))</f>
        <v>0</v>
      </c>
      <c r="AR157" s="21" t="n">
        <f aca="false">IF($J157=0,0,MAX(0,NETWORKDAYS(MAX($K157,AR$4),MIN($L157,EOMONTH(AR$4,0)),Assumptions!$F$4:$F$44))/NETWORKDAYS($K157,$L157,Assumptions!$F$4:$F$44))</f>
        <v>0</v>
      </c>
      <c r="AS157" s="21" t="n">
        <f aca="false">IF($J157=0,0,MAX(0,NETWORKDAYS(MAX($K157,AS$4),MIN($L157,EOMONTH(AS$4,0)),Assumptions!$F$4:$F$44))/NETWORKDAYS($K157,$L157,Assumptions!$F$4:$F$44))</f>
        <v>0</v>
      </c>
      <c r="AT157" s="21" t="n">
        <f aca="false">IF($J157=0,0,MAX(0,NETWORKDAYS(MAX($K157,AT$4),MIN($L157,EOMONTH(AT$4,0)),Assumptions!$F$4:$F$44))/NETWORKDAYS($K157,$L157,Assumptions!$F$4:$F$44))</f>
        <v>0</v>
      </c>
      <c r="AU157" s="21" t="n">
        <f aca="false">IF($J157=0,0,MAX(0,NETWORKDAYS(MAX($K157,AU$4),MIN($L157,EOMONTH(AU$4,0)),Assumptions!$F$4:$F$44))/NETWORKDAYS($K157,$L157,Assumptions!$F$4:$F$44))</f>
        <v>0</v>
      </c>
      <c r="AV157" s="21" t="n">
        <f aca="false">IF($J157=0,0,MAX(0,NETWORKDAYS(MAX($K157,AV$4),MIN($L157,EOMONTH(AV$4,0)),Assumptions!$F$4:$F$44))/NETWORKDAYS($K157,$L157,Assumptions!$F$4:$F$44))</f>
        <v>0</v>
      </c>
      <c r="AW157" s="21" t="n">
        <f aca="false">IF($J157=0,0,MAX(0,NETWORKDAYS(MAX($K157,AW$4),MIN($L157,EOMONTH(AW$4,0)),Assumptions!$F$4:$F$44))/NETWORKDAYS($K157,$L157,Assumptions!$F$4:$F$44))</f>
        <v>0</v>
      </c>
      <c r="AX157" s="21" t="n">
        <f aca="false">IF($J157=0,0,MAX(0,NETWORKDAYS(MAX($K157,AX$4),MIN($L157,EOMONTH(AX$4,0)),Assumptions!$F$4:$F$44))/NETWORKDAYS($K157,$L157,Assumptions!$F$4:$F$44))</f>
        <v>0</v>
      </c>
      <c r="AY157" s="21" t="n">
        <f aca="false">IF($J157=0,0,MAX(0,NETWORKDAYS(MAX($K157,AY$4),MIN($L157,EOMONTH(AY$4,0)),Assumptions!$F$4:$F$44))/NETWORKDAYS($K157,$L157,Assumptions!$F$4:$F$44))</f>
        <v>0</v>
      </c>
      <c r="AZ157" s="21" t="n">
        <f aca="false">IF($J157=0,0,MAX(0,NETWORKDAYS(MAX($K157,AZ$4),MIN($L157,EOMONTH(AZ$4,0)),Assumptions!$F$4:$F$44))/NETWORKDAYS($K157,$L157,Assumptions!$F$4:$F$44))</f>
        <v>0</v>
      </c>
      <c r="BA157" s="21" t="n">
        <f aca="false">IF($J157=0,0,MAX(0,NETWORKDAYS(MAX($K157,BA$4),MIN($L157,EOMONTH(BA$4,0)),Assumptions!$F$4:$F$44))/NETWORKDAYS($K157,$L157,Assumptions!$F$4:$F$44))</f>
        <v>0</v>
      </c>
      <c r="BB157" s="21" t="n">
        <f aca="false">IF($J157=0,0,MAX(0,NETWORKDAYS(MAX($K157,BB$4),MIN($L157,EOMONTH(BB$4,0)),Assumptions!$F$4:$F$44))/NETWORKDAYS($K157,$L157,Assumptions!$F$4:$F$44))</f>
        <v>0</v>
      </c>
      <c r="BC157" s="21" t="n">
        <f aca="false">IF($J157=0,0,MAX(0,NETWORKDAYS(MAX($K157,BC$4),MIN($L157,EOMONTH(BC$4,0)),Assumptions!$F$4:$F$44))/NETWORKDAYS($K157,$L157,Assumptions!$F$4:$F$44))</f>
        <v>0</v>
      </c>
    </row>
    <row r="158" customFormat="false" ht="15" hidden="false" customHeight="false" outlineLevel="2" collapsed="false">
      <c r="A158" s="27" t="n">
        <v>154</v>
      </c>
      <c r="B158" s="27" t="s">
        <v>407</v>
      </c>
      <c r="C158" s="27" t="n">
        <v>3</v>
      </c>
      <c r="D158" s="27" t="s">
        <v>92</v>
      </c>
      <c r="E158" s="28" t="s">
        <v>347</v>
      </c>
      <c r="F158" s="27" t="s">
        <v>154</v>
      </c>
      <c r="G158" s="27" t="s">
        <v>383</v>
      </c>
      <c r="H158" s="27" t="s">
        <v>61</v>
      </c>
      <c r="I158" s="29" t="n">
        <v>110</v>
      </c>
      <c r="J158" s="29" t="n">
        <v>11</v>
      </c>
      <c r="K158" s="30" t="n">
        <f aca="false">WORKDAY(Assumptions!$C$4,I158,Assumptions!$F$4:$F$44)</f>
        <v>46482</v>
      </c>
      <c r="L158" s="30" t="n">
        <f aca="false">IF(J158=0,K158,WORKDAY(K158,J158-1,Assumptions!$F$4:$F$44))</f>
        <v>46496</v>
      </c>
      <c r="M158" s="29" t="s">
        <v>408</v>
      </c>
      <c r="N158" s="31" t="n">
        <v>0</v>
      </c>
      <c r="O158" s="31" t="n">
        <v>3</v>
      </c>
      <c r="P158" s="31" t="n">
        <v>0</v>
      </c>
      <c r="Q158" s="31" t="n">
        <v>0</v>
      </c>
      <c r="R158" s="31" t="n">
        <v>0</v>
      </c>
      <c r="S158" s="31" t="n">
        <v>0</v>
      </c>
      <c r="T158" s="31" t="n">
        <v>0</v>
      </c>
      <c r="U158" s="31" t="n">
        <v>0</v>
      </c>
      <c r="V158" s="31" t="n">
        <v>0</v>
      </c>
      <c r="W158" s="31" t="n">
        <v>0</v>
      </c>
      <c r="X158" s="31" t="n">
        <v>9</v>
      </c>
      <c r="Y158" s="32" t="n">
        <f aca="false">SUM(N158:X158)</f>
        <v>12</v>
      </c>
      <c r="Z158" s="32" t="n">
        <f aca="false">Y158*(1+Assumptions!$C$5)</f>
        <v>13.8</v>
      </c>
      <c r="AA158" s="27" t="s">
        <v>349</v>
      </c>
      <c r="AB158" s="27" t="s">
        <v>95</v>
      </c>
      <c r="AC158" s="27"/>
      <c r="AD158" s="33" t="n">
        <v>0</v>
      </c>
      <c r="AF158" s="21" t="n">
        <f aca="false">IF($J158=0,0,MAX(0,NETWORKDAYS(MAX($K158,AF$4),MIN($L158,EOMONTH(AF$4,0)),Assumptions!$F$4:$F$44))/NETWORKDAYS($K158,$L158,Assumptions!$F$4:$F$44))</f>
        <v>0</v>
      </c>
      <c r="AG158" s="21" t="n">
        <f aca="false">IF($J158=0,0,MAX(0,NETWORKDAYS(MAX($K158,AG$4),MIN($L158,EOMONTH(AG$4,0)),Assumptions!$F$4:$F$44))/NETWORKDAYS($K158,$L158,Assumptions!$F$4:$F$44))</f>
        <v>0</v>
      </c>
      <c r="AH158" s="21" t="n">
        <f aca="false">IF($J158=0,0,MAX(0,NETWORKDAYS(MAX($K158,AH$4),MIN($L158,EOMONTH(AH$4,0)),Assumptions!$F$4:$F$44))/NETWORKDAYS($K158,$L158,Assumptions!$F$4:$F$44))</f>
        <v>0</v>
      </c>
      <c r="AI158" s="21" t="n">
        <f aca="false">IF($J158=0,0,MAX(0,NETWORKDAYS(MAX($K158,AI$4),MIN($L158,EOMONTH(AI$4,0)),Assumptions!$F$4:$F$44))/NETWORKDAYS($K158,$L158,Assumptions!$F$4:$F$44))</f>
        <v>0</v>
      </c>
      <c r="AJ158" s="21" t="n">
        <f aca="false">IF($J158=0,0,MAX(0,NETWORKDAYS(MAX($K158,AJ$4),MIN($L158,EOMONTH(AJ$4,0)),Assumptions!$F$4:$F$44))/NETWORKDAYS($K158,$L158,Assumptions!$F$4:$F$44))</f>
        <v>0</v>
      </c>
      <c r="AK158" s="21" t="n">
        <f aca="false">IF($J158=0,0,MAX(0,NETWORKDAYS(MAX($K158,AK$4),MIN($L158,EOMONTH(AK$4,0)),Assumptions!$F$4:$F$44))/NETWORKDAYS($K158,$L158,Assumptions!$F$4:$F$44))</f>
        <v>1</v>
      </c>
      <c r="AL158" s="21" t="n">
        <f aca="false">IF($J158=0,0,MAX(0,NETWORKDAYS(MAX($K158,AL$4),MIN($L158,EOMONTH(AL$4,0)),Assumptions!$F$4:$F$44))/NETWORKDAYS($K158,$L158,Assumptions!$F$4:$F$44))</f>
        <v>0</v>
      </c>
      <c r="AM158" s="21" t="n">
        <f aca="false">IF($J158=0,0,MAX(0,NETWORKDAYS(MAX($K158,AM$4),MIN($L158,EOMONTH(AM$4,0)),Assumptions!$F$4:$F$44))/NETWORKDAYS($K158,$L158,Assumptions!$F$4:$F$44))</f>
        <v>0</v>
      </c>
      <c r="AN158" s="21" t="n">
        <f aca="false">IF($J158=0,0,MAX(0,NETWORKDAYS(MAX($K158,AN$4),MIN($L158,EOMONTH(AN$4,0)),Assumptions!$F$4:$F$44))/NETWORKDAYS($K158,$L158,Assumptions!$F$4:$F$44))</f>
        <v>0</v>
      </c>
      <c r="AO158" s="21" t="n">
        <f aca="false">IF($J158=0,0,MAX(0,NETWORKDAYS(MAX($K158,AO$4),MIN($L158,EOMONTH(AO$4,0)),Assumptions!$F$4:$F$44))/NETWORKDAYS($K158,$L158,Assumptions!$F$4:$F$44))</f>
        <v>0</v>
      </c>
      <c r="AP158" s="21" t="n">
        <f aca="false">IF($J158=0,0,MAX(0,NETWORKDAYS(MAX($K158,AP$4),MIN($L158,EOMONTH(AP$4,0)),Assumptions!$F$4:$F$44))/NETWORKDAYS($K158,$L158,Assumptions!$F$4:$F$44))</f>
        <v>0</v>
      </c>
      <c r="AQ158" s="21" t="n">
        <f aca="false">IF($J158=0,0,MAX(0,NETWORKDAYS(MAX($K158,AQ$4),MIN($L158,EOMONTH(AQ$4,0)),Assumptions!$F$4:$F$44))/NETWORKDAYS($K158,$L158,Assumptions!$F$4:$F$44))</f>
        <v>0</v>
      </c>
      <c r="AR158" s="21" t="n">
        <f aca="false">IF($J158=0,0,MAX(0,NETWORKDAYS(MAX($K158,AR$4),MIN($L158,EOMONTH(AR$4,0)),Assumptions!$F$4:$F$44))/NETWORKDAYS($K158,$L158,Assumptions!$F$4:$F$44))</f>
        <v>0</v>
      </c>
      <c r="AS158" s="21" t="n">
        <f aca="false">IF($J158=0,0,MAX(0,NETWORKDAYS(MAX($K158,AS$4),MIN($L158,EOMONTH(AS$4,0)),Assumptions!$F$4:$F$44))/NETWORKDAYS($K158,$L158,Assumptions!$F$4:$F$44))</f>
        <v>0</v>
      </c>
      <c r="AT158" s="21" t="n">
        <f aca="false">IF($J158=0,0,MAX(0,NETWORKDAYS(MAX($K158,AT$4),MIN($L158,EOMONTH(AT$4,0)),Assumptions!$F$4:$F$44))/NETWORKDAYS($K158,$L158,Assumptions!$F$4:$F$44))</f>
        <v>0</v>
      </c>
      <c r="AU158" s="21" t="n">
        <f aca="false">IF($J158=0,0,MAX(0,NETWORKDAYS(MAX($K158,AU$4),MIN($L158,EOMONTH(AU$4,0)),Assumptions!$F$4:$F$44))/NETWORKDAYS($K158,$L158,Assumptions!$F$4:$F$44))</f>
        <v>0</v>
      </c>
      <c r="AV158" s="21" t="n">
        <f aca="false">IF($J158=0,0,MAX(0,NETWORKDAYS(MAX($K158,AV$4),MIN($L158,EOMONTH(AV$4,0)),Assumptions!$F$4:$F$44))/NETWORKDAYS($K158,$L158,Assumptions!$F$4:$F$44))</f>
        <v>0</v>
      </c>
      <c r="AW158" s="21" t="n">
        <f aca="false">IF($J158=0,0,MAX(0,NETWORKDAYS(MAX($K158,AW$4),MIN($L158,EOMONTH(AW$4,0)),Assumptions!$F$4:$F$44))/NETWORKDAYS($K158,$L158,Assumptions!$F$4:$F$44))</f>
        <v>0</v>
      </c>
      <c r="AX158" s="21" t="n">
        <f aca="false">IF($J158=0,0,MAX(0,NETWORKDAYS(MAX($K158,AX$4),MIN($L158,EOMONTH(AX$4,0)),Assumptions!$F$4:$F$44))/NETWORKDAYS($K158,$L158,Assumptions!$F$4:$F$44))</f>
        <v>0</v>
      </c>
      <c r="AY158" s="21" t="n">
        <f aca="false">IF($J158=0,0,MAX(0,NETWORKDAYS(MAX($K158,AY$4),MIN($L158,EOMONTH(AY$4,0)),Assumptions!$F$4:$F$44))/NETWORKDAYS($K158,$L158,Assumptions!$F$4:$F$44))</f>
        <v>0</v>
      </c>
      <c r="AZ158" s="21" t="n">
        <f aca="false">IF($J158=0,0,MAX(0,NETWORKDAYS(MAX($K158,AZ$4),MIN($L158,EOMONTH(AZ$4,0)),Assumptions!$F$4:$F$44))/NETWORKDAYS($K158,$L158,Assumptions!$F$4:$F$44))</f>
        <v>0</v>
      </c>
      <c r="BA158" s="21" t="n">
        <f aca="false">IF($J158=0,0,MAX(0,NETWORKDAYS(MAX($K158,BA$4),MIN($L158,EOMONTH(BA$4,0)),Assumptions!$F$4:$F$44))/NETWORKDAYS($K158,$L158,Assumptions!$F$4:$F$44))</f>
        <v>0</v>
      </c>
      <c r="BB158" s="21" t="n">
        <f aca="false">IF($J158=0,0,MAX(0,NETWORKDAYS(MAX($K158,BB$4),MIN($L158,EOMONTH(BB$4,0)),Assumptions!$F$4:$F$44))/NETWORKDAYS($K158,$L158,Assumptions!$F$4:$F$44))</f>
        <v>0</v>
      </c>
      <c r="BC158" s="21" t="n">
        <f aca="false">IF($J158=0,0,MAX(0,NETWORKDAYS(MAX($K158,BC$4),MIN($L158,EOMONTH(BC$4,0)),Assumptions!$F$4:$F$44))/NETWORKDAYS($K158,$L158,Assumptions!$F$4:$F$44))</f>
        <v>0</v>
      </c>
    </row>
    <row r="159" customFormat="false" ht="15" hidden="false" customHeight="false" outlineLevel="1" collapsed="false">
      <c r="A159" s="22" t="n">
        <v>155</v>
      </c>
      <c r="B159" s="22" t="s">
        <v>409</v>
      </c>
      <c r="C159" s="22" t="n">
        <v>2</v>
      </c>
      <c r="D159" s="22" t="s">
        <v>89</v>
      </c>
      <c r="E159" s="23" t="s">
        <v>410</v>
      </c>
      <c r="F159" s="22" t="s">
        <v>154</v>
      </c>
      <c r="G159" s="22" t="s">
        <v>411</v>
      </c>
      <c r="H159" s="22"/>
      <c r="I159" s="22"/>
      <c r="J159" s="22" t="n">
        <f aca="false">NETWORKDAYS(K159,L159,Assumptions!$F$4:$F$44)</f>
        <v>101</v>
      </c>
      <c r="K159" s="24" t="n">
        <f aca="false">MIN(K160:K173)</f>
        <v>46356</v>
      </c>
      <c r="L159" s="24" t="n">
        <f aca="false">MAX(L160:L173)</f>
        <v>46496</v>
      </c>
      <c r="M159" s="22"/>
      <c r="N159" s="25" t="n">
        <f aca="false">SUMPRODUCT(($C$160:$C$173=3)*(N160:N173))</f>
        <v>1</v>
      </c>
      <c r="O159" s="25" t="n">
        <f aca="false">SUMPRODUCT(($C$160:$C$173=3)*(O160:O173))</f>
        <v>38</v>
      </c>
      <c r="P159" s="25" t="n">
        <f aca="false">SUMPRODUCT(($C$160:$C$173=3)*(P160:P173))</f>
        <v>11</v>
      </c>
      <c r="Q159" s="25" t="n">
        <f aca="false">SUMPRODUCT(($C$160:$C$173=3)*(Q160:Q173))</f>
        <v>126</v>
      </c>
      <c r="R159" s="25" t="n">
        <f aca="false">SUMPRODUCT(($C$160:$C$173=3)*(R160:R173))</f>
        <v>61</v>
      </c>
      <c r="S159" s="25" t="n">
        <f aca="false">SUMPRODUCT(($C$160:$C$173=3)*(S160:S173))</f>
        <v>0</v>
      </c>
      <c r="T159" s="25" t="n">
        <f aca="false">SUMPRODUCT(($C$160:$C$173=3)*(T160:T173))</f>
        <v>0</v>
      </c>
      <c r="U159" s="25" t="n">
        <f aca="false">SUMPRODUCT(($C$160:$C$173=3)*(U160:U173))</f>
        <v>0</v>
      </c>
      <c r="V159" s="25" t="n">
        <f aca="false">SUMPRODUCT(($C$160:$C$173=3)*(V160:V173))</f>
        <v>49</v>
      </c>
      <c r="W159" s="25" t="n">
        <f aca="false">SUMPRODUCT(($C$160:$C$173=3)*(W160:W173))</f>
        <v>18</v>
      </c>
      <c r="X159" s="25" t="n">
        <f aca="false">SUMPRODUCT(($C$160:$C$173=3)*(X160:X173))</f>
        <v>9</v>
      </c>
      <c r="Y159" s="25" t="n">
        <f aca="false">SUM(N159:X159)</f>
        <v>313</v>
      </c>
      <c r="Z159" s="25" t="n">
        <f aca="false">Y159*(1+Assumptions!$C$5)</f>
        <v>359.95</v>
      </c>
      <c r="AA159" s="22" t="s">
        <v>412</v>
      </c>
      <c r="AB159" s="22"/>
      <c r="AC159" s="22"/>
      <c r="AD159" s="26"/>
      <c r="AF159" s="21" t="n">
        <v>0</v>
      </c>
      <c r="AG159" s="21" t="n">
        <v>0</v>
      </c>
      <c r="AH159" s="21" t="n">
        <v>0</v>
      </c>
      <c r="AI159" s="21" t="n">
        <v>0</v>
      </c>
      <c r="AJ159" s="21" t="n">
        <v>0</v>
      </c>
      <c r="AK159" s="21" t="n">
        <v>0</v>
      </c>
      <c r="AL159" s="21" t="n">
        <v>0</v>
      </c>
      <c r="AM159" s="21" t="n">
        <v>0</v>
      </c>
      <c r="AN159" s="21" t="n">
        <v>0</v>
      </c>
      <c r="AO159" s="21" t="n">
        <v>0</v>
      </c>
      <c r="AP159" s="21" t="n">
        <v>0</v>
      </c>
      <c r="AQ159" s="21" t="n">
        <v>0</v>
      </c>
      <c r="AR159" s="21" t="n">
        <v>0</v>
      </c>
      <c r="AS159" s="21" t="n">
        <v>0</v>
      </c>
      <c r="AT159" s="21" t="n">
        <v>0</v>
      </c>
      <c r="AU159" s="21" t="n">
        <v>0</v>
      </c>
      <c r="AV159" s="21" t="n">
        <v>0</v>
      </c>
      <c r="AW159" s="21" t="n">
        <v>0</v>
      </c>
      <c r="AX159" s="21" t="n">
        <v>0</v>
      </c>
      <c r="AY159" s="21" t="n">
        <v>0</v>
      </c>
      <c r="AZ159" s="21" t="n">
        <v>0</v>
      </c>
      <c r="BA159" s="21" t="n">
        <v>0</v>
      </c>
      <c r="BB159" s="21" t="n">
        <v>0</v>
      </c>
      <c r="BC159" s="21" t="n">
        <v>0</v>
      </c>
    </row>
    <row r="160" customFormat="false" ht="15" hidden="false" customHeight="false" outlineLevel="2" collapsed="false">
      <c r="A160" s="27" t="n">
        <v>156</v>
      </c>
      <c r="B160" s="27" t="s">
        <v>413</v>
      </c>
      <c r="C160" s="27" t="n">
        <v>3</v>
      </c>
      <c r="D160" s="27" t="s">
        <v>92</v>
      </c>
      <c r="E160" s="28" t="s">
        <v>292</v>
      </c>
      <c r="F160" s="27" t="s">
        <v>154</v>
      </c>
      <c r="G160" s="27" t="s">
        <v>411</v>
      </c>
      <c r="H160" s="27" t="s">
        <v>43</v>
      </c>
      <c r="I160" s="29" t="n">
        <v>20</v>
      </c>
      <c r="J160" s="29" t="n">
        <v>13</v>
      </c>
      <c r="K160" s="30" t="n">
        <f aca="false">WORKDAY(Assumptions!$C$4,I160,Assumptions!$F$4:$F$44)</f>
        <v>46356</v>
      </c>
      <c r="L160" s="30" t="n">
        <f aca="false">IF(J160=0,K160,WORKDAY(K160,J160-1,Assumptions!$F$4:$F$44))</f>
        <v>46372</v>
      </c>
      <c r="M160" s="29" t="s">
        <v>293</v>
      </c>
      <c r="N160" s="31" t="n">
        <v>1</v>
      </c>
      <c r="O160" s="31" t="n">
        <v>12</v>
      </c>
      <c r="P160" s="31" t="n">
        <v>3</v>
      </c>
      <c r="Q160" s="31" t="n">
        <v>0</v>
      </c>
      <c r="R160" s="31" t="n">
        <v>0</v>
      </c>
      <c r="S160" s="31" t="n">
        <v>0</v>
      </c>
      <c r="T160" s="31" t="n">
        <v>0</v>
      </c>
      <c r="U160" s="31" t="n">
        <v>0</v>
      </c>
      <c r="V160" s="31" t="n">
        <v>0</v>
      </c>
      <c r="W160" s="31" t="n">
        <v>0</v>
      </c>
      <c r="X160" s="31" t="n">
        <v>0</v>
      </c>
      <c r="Y160" s="32" t="n">
        <f aca="false">SUM(N160:X160)</f>
        <v>16</v>
      </c>
      <c r="Z160" s="32" t="n">
        <f aca="false">Y160*(1+Assumptions!$C$5)</f>
        <v>18.4</v>
      </c>
      <c r="AA160" s="27" t="s">
        <v>294</v>
      </c>
      <c r="AB160" s="27" t="s">
        <v>95</v>
      </c>
      <c r="AC160" s="27"/>
      <c r="AD160" s="33" t="n">
        <v>0</v>
      </c>
      <c r="AF160" s="21" t="n">
        <f aca="false">IF($J160=0,0,MAX(0,NETWORKDAYS(MAX($K160,AF$4),MIN($L160,EOMONTH(AF$4,0)),Assumptions!$F$4:$F$44))/NETWORKDAYS($K160,$L160,Assumptions!$F$4:$F$44))</f>
        <v>0.0769230769230769</v>
      </c>
      <c r="AG160" s="21" t="n">
        <f aca="false">IF($J160=0,0,MAX(0,NETWORKDAYS(MAX($K160,AG$4),MIN($L160,EOMONTH(AG$4,0)),Assumptions!$F$4:$F$44))/NETWORKDAYS($K160,$L160,Assumptions!$F$4:$F$44))</f>
        <v>0.923076923076923</v>
      </c>
      <c r="AH160" s="21" t="n">
        <f aca="false">IF($J160=0,0,MAX(0,NETWORKDAYS(MAX($K160,AH$4),MIN($L160,EOMONTH(AH$4,0)),Assumptions!$F$4:$F$44))/NETWORKDAYS($K160,$L160,Assumptions!$F$4:$F$44))</f>
        <v>0</v>
      </c>
      <c r="AI160" s="21" t="n">
        <f aca="false">IF($J160=0,0,MAX(0,NETWORKDAYS(MAX($K160,AI$4),MIN($L160,EOMONTH(AI$4,0)),Assumptions!$F$4:$F$44))/NETWORKDAYS($K160,$L160,Assumptions!$F$4:$F$44))</f>
        <v>0</v>
      </c>
      <c r="AJ160" s="21" t="n">
        <f aca="false">IF($J160=0,0,MAX(0,NETWORKDAYS(MAX($K160,AJ$4),MIN($L160,EOMONTH(AJ$4,0)),Assumptions!$F$4:$F$44))/NETWORKDAYS($K160,$L160,Assumptions!$F$4:$F$44))</f>
        <v>0</v>
      </c>
      <c r="AK160" s="21" t="n">
        <f aca="false">IF($J160=0,0,MAX(0,NETWORKDAYS(MAX($K160,AK$4),MIN($L160,EOMONTH(AK$4,0)),Assumptions!$F$4:$F$44))/NETWORKDAYS($K160,$L160,Assumptions!$F$4:$F$44))</f>
        <v>0</v>
      </c>
      <c r="AL160" s="21" t="n">
        <f aca="false">IF($J160=0,0,MAX(0,NETWORKDAYS(MAX($K160,AL$4),MIN($L160,EOMONTH(AL$4,0)),Assumptions!$F$4:$F$44))/NETWORKDAYS($K160,$L160,Assumptions!$F$4:$F$44))</f>
        <v>0</v>
      </c>
      <c r="AM160" s="21" t="n">
        <f aca="false">IF($J160=0,0,MAX(0,NETWORKDAYS(MAX($K160,AM$4),MIN($L160,EOMONTH(AM$4,0)),Assumptions!$F$4:$F$44))/NETWORKDAYS($K160,$L160,Assumptions!$F$4:$F$44))</f>
        <v>0</v>
      </c>
      <c r="AN160" s="21" t="n">
        <f aca="false">IF($J160=0,0,MAX(0,NETWORKDAYS(MAX($K160,AN$4),MIN($L160,EOMONTH(AN$4,0)),Assumptions!$F$4:$F$44))/NETWORKDAYS($K160,$L160,Assumptions!$F$4:$F$44))</f>
        <v>0</v>
      </c>
      <c r="AO160" s="21" t="n">
        <f aca="false">IF($J160=0,0,MAX(0,NETWORKDAYS(MAX($K160,AO$4),MIN($L160,EOMONTH(AO$4,0)),Assumptions!$F$4:$F$44))/NETWORKDAYS($K160,$L160,Assumptions!$F$4:$F$44))</f>
        <v>0</v>
      </c>
      <c r="AP160" s="21" t="n">
        <f aca="false">IF($J160=0,0,MAX(0,NETWORKDAYS(MAX($K160,AP$4),MIN($L160,EOMONTH(AP$4,0)),Assumptions!$F$4:$F$44))/NETWORKDAYS($K160,$L160,Assumptions!$F$4:$F$44))</f>
        <v>0</v>
      </c>
      <c r="AQ160" s="21" t="n">
        <f aca="false">IF($J160=0,0,MAX(0,NETWORKDAYS(MAX($K160,AQ$4),MIN($L160,EOMONTH(AQ$4,0)),Assumptions!$F$4:$F$44))/NETWORKDAYS($K160,$L160,Assumptions!$F$4:$F$44))</f>
        <v>0</v>
      </c>
      <c r="AR160" s="21" t="n">
        <f aca="false">IF($J160=0,0,MAX(0,NETWORKDAYS(MAX($K160,AR$4),MIN($L160,EOMONTH(AR$4,0)),Assumptions!$F$4:$F$44))/NETWORKDAYS($K160,$L160,Assumptions!$F$4:$F$44))</f>
        <v>0</v>
      </c>
      <c r="AS160" s="21" t="n">
        <f aca="false">IF($J160=0,0,MAX(0,NETWORKDAYS(MAX($K160,AS$4),MIN($L160,EOMONTH(AS$4,0)),Assumptions!$F$4:$F$44))/NETWORKDAYS($K160,$L160,Assumptions!$F$4:$F$44))</f>
        <v>0</v>
      </c>
      <c r="AT160" s="21" t="n">
        <f aca="false">IF($J160=0,0,MAX(0,NETWORKDAYS(MAX($K160,AT$4),MIN($L160,EOMONTH(AT$4,0)),Assumptions!$F$4:$F$44))/NETWORKDAYS($K160,$L160,Assumptions!$F$4:$F$44))</f>
        <v>0</v>
      </c>
      <c r="AU160" s="21" t="n">
        <f aca="false">IF($J160=0,0,MAX(0,NETWORKDAYS(MAX($K160,AU$4),MIN($L160,EOMONTH(AU$4,0)),Assumptions!$F$4:$F$44))/NETWORKDAYS($K160,$L160,Assumptions!$F$4:$F$44))</f>
        <v>0</v>
      </c>
      <c r="AV160" s="21" t="n">
        <f aca="false">IF($J160=0,0,MAX(0,NETWORKDAYS(MAX($K160,AV$4),MIN($L160,EOMONTH(AV$4,0)),Assumptions!$F$4:$F$44))/NETWORKDAYS($K160,$L160,Assumptions!$F$4:$F$44))</f>
        <v>0</v>
      </c>
      <c r="AW160" s="21" t="n">
        <f aca="false">IF($J160=0,0,MAX(0,NETWORKDAYS(MAX($K160,AW$4),MIN($L160,EOMONTH(AW$4,0)),Assumptions!$F$4:$F$44))/NETWORKDAYS($K160,$L160,Assumptions!$F$4:$F$44))</f>
        <v>0</v>
      </c>
      <c r="AX160" s="21" t="n">
        <f aca="false">IF($J160=0,0,MAX(0,NETWORKDAYS(MAX($K160,AX$4),MIN($L160,EOMONTH(AX$4,0)),Assumptions!$F$4:$F$44))/NETWORKDAYS($K160,$L160,Assumptions!$F$4:$F$44))</f>
        <v>0</v>
      </c>
      <c r="AY160" s="21" t="n">
        <f aca="false">IF($J160=0,0,MAX(0,NETWORKDAYS(MAX($K160,AY$4),MIN($L160,EOMONTH(AY$4,0)),Assumptions!$F$4:$F$44))/NETWORKDAYS($K160,$L160,Assumptions!$F$4:$F$44))</f>
        <v>0</v>
      </c>
      <c r="AZ160" s="21" t="n">
        <f aca="false">IF($J160=0,0,MAX(0,NETWORKDAYS(MAX($K160,AZ$4),MIN($L160,EOMONTH(AZ$4,0)),Assumptions!$F$4:$F$44))/NETWORKDAYS($K160,$L160,Assumptions!$F$4:$F$44))</f>
        <v>0</v>
      </c>
      <c r="BA160" s="21" t="n">
        <f aca="false">IF($J160=0,0,MAX(0,NETWORKDAYS(MAX($K160,BA$4),MIN($L160,EOMONTH(BA$4,0)),Assumptions!$F$4:$F$44))/NETWORKDAYS($K160,$L160,Assumptions!$F$4:$F$44))</f>
        <v>0</v>
      </c>
      <c r="BB160" s="21" t="n">
        <f aca="false">IF($J160=0,0,MAX(0,NETWORKDAYS(MAX($K160,BB$4),MIN($L160,EOMONTH(BB$4,0)),Assumptions!$F$4:$F$44))/NETWORKDAYS($K160,$L160,Assumptions!$F$4:$F$44))</f>
        <v>0</v>
      </c>
      <c r="BC160" s="21" t="n">
        <f aca="false">IF($J160=0,0,MAX(0,NETWORKDAYS(MAX($K160,BC$4),MIN($L160,EOMONTH(BC$4,0)),Assumptions!$F$4:$F$44))/NETWORKDAYS($K160,$L160,Assumptions!$F$4:$F$44))</f>
        <v>0</v>
      </c>
    </row>
    <row r="161" customFormat="false" ht="15" hidden="false" customHeight="false" outlineLevel="2" collapsed="false">
      <c r="A161" s="27" t="n">
        <v>157</v>
      </c>
      <c r="B161" s="27" t="s">
        <v>414</v>
      </c>
      <c r="C161" s="27" t="n">
        <v>3</v>
      </c>
      <c r="D161" s="27" t="s">
        <v>92</v>
      </c>
      <c r="E161" s="28" t="s">
        <v>296</v>
      </c>
      <c r="F161" s="27" t="s">
        <v>154</v>
      </c>
      <c r="G161" s="27" t="s">
        <v>411</v>
      </c>
      <c r="H161" s="27" t="s">
        <v>45</v>
      </c>
      <c r="I161" s="29" t="n">
        <v>29</v>
      </c>
      <c r="J161" s="29" t="n">
        <v>13</v>
      </c>
      <c r="K161" s="30" t="n">
        <f aca="false">WORKDAY(Assumptions!$C$4,I161,Assumptions!$F$4:$F$44)</f>
        <v>46367</v>
      </c>
      <c r="L161" s="30" t="n">
        <f aca="false">IF(J161=0,K161,WORKDAY(K161,J161-1,Assumptions!$F$4:$F$44))</f>
        <v>46385</v>
      </c>
      <c r="M161" s="29" t="s">
        <v>415</v>
      </c>
      <c r="N161" s="31" t="n">
        <v>0</v>
      </c>
      <c r="O161" s="31" t="n">
        <v>0</v>
      </c>
      <c r="P161" s="31" t="n">
        <v>8</v>
      </c>
      <c r="Q161" s="31" t="n">
        <v>8</v>
      </c>
      <c r="R161" s="31" t="n">
        <v>0</v>
      </c>
      <c r="S161" s="31" t="n">
        <v>0</v>
      </c>
      <c r="T161" s="31" t="n">
        <v>0</v>
      </c>
      <c r="U161" s="31" t="n">
        <v>0</v>
      </c>
      <c r="V161" s="31" t="n">
        <v>0</v>
      </c>
      <c r="W161" s="31" t="n">
        <v>0</v>
      </c>
      <c r="X161" s="31" t="n">
        <v>0</v>
      </c>
      <c r="Y161" s="32" t="n">
        <f aca="false">SUM(N161:X161)</f>
        <v>16</v>
      </c>
      <c r="Z161" s="32" t="n">
        <f aca="false">Y161*(1+Assumptions!$C$5)</f>
        <v>18.4</v>
      </c>
      <c r="AA161" s="27" t="s">
        <v>298</v>
      </c>
      <c r="AB161" s="27" t="s">
        <v>95</v>
      </c>
      <c r="AC161" s="27"/>
      <c r="AD161" s="33" t="n">
        <v>0</v>
      </c>
      <c r="AF161" s="21" t="n">
        <f aca="false">IF($J161=0,0,MAX(0,NETWORKDAYS(MAX($K161,AF$4),MIN($L161,EOMONTH(AF$4,0)),Assumptions!$F$4:$F$44))/NETWORKDAYS($K161,$L161,Assumptions!$F$4:$F$44))</f>
        <v>0</v>
      </c>
      <c r="AG161" s="21" t="n">
        <f aca="false">IF($J161=0,0,MAX(0,NETWORKDAYS(MAX($K161,AG$4),MIN($L161,EOMONTH(AG$4,0)),Assumptions!$F$4:$F$44))/NETWORKDAYS($K161,$L161,Assumptions!$F$4:$F$44))</f>
        <v>1</v>
      </c>
      <c r="AH161" s="21" t="n">
        <f aca="false">IF($J161=0,0,MAX(0,NETWORKDAYS(MAX($K161,AH$4),MIN($L161,EOMONTH(AH$4,0)),Assumptions!$F$4:$F$44))/NETWORKDAYS($K161,$L161,Assumptions!$F$4:$F$44))</f>
        <v>0</v>
      </c>
      <c r="AI161" s="21" t="n">
        <f aca="false">IF($J161=0,0,MAX(0,NETWORKDAYS(MAX($K161,AI$4),MIN($L161,EOMONTH(AI$4,0)),Assumptions!$F$4:$F$44))/NETWORKDAYS($K161,$L161,Assumptions!$F$4:$F$44))</f>
        <v>0</v>
      </c>
      <c r="AJ161" s="21" t="n">
        <f aca="false">IF($J161=0,0,MAX(0,NETWORKDAYS(MAX($K161,AJ$4),MIN($L161,EOMONTH(AJ$4,0)),Assumptions!$F$4:$F$44))/NETWORKDAYS($K161,$L161,Assumptions!$F$4:$F$44))</f>
        <v>0</v>
      </c>
      <c r="AK161" s="21" t="n">
        <f aca="false">IF($J161=0,0,MAX(0,NETWORKDAYS(MAX($K161,AK$4),MIN($L161,EOMONTH(AK$4,0)),Assumptions!$F$4:$F$44))/NETWORKDAYS($K161,$L161,Assumptions!$F$4:$F$44))</f>
        <v>0</v>
      </c>
      <c r="AL161" s="21" t="n">
        <f aca="false">IF($J161=0,0,MAX(0,NETWORKDAYS(MAX($K161,AL$4),MIN($L161,EOMONTH(AL$4,0)),Assumptions!$F$4:$F$44))/NETWORKDAYS($K161,$L161,Assumptions!$F$4:$F$44))</f>
        <v>0</v>
      </c>
      <c r="AM161" s="21" t="n">
        <f aca="false">IF($J161=0,0,MAX(0,NETWORKDAYS(MAX($K161,AM$4),MIN($L161,EOMONTH(AM$4,0)),Assumptions!$F$4:$F$44))/NETWORKDAYS($K161,$L161,Assumptions!$F$4:$F$44))</f>
        <v>0</v>
      </c>
      <c r="AN161" s="21" t="n">
        <f aca="false">IF($J161=0,0,MAX(0,NETWORKDAYS(MAX($K161,AN$4),MIN($L161,EOMONTH(AN$4,0)),Assumptions!$F$4:$F$44))/NETWORKDAYS($K161,$L161,Assumptions!$F$4:$F$44))</f>
        <v>0</v>
      </c>
      <c r="AO161" s="21" t="n">
        <f aca="false">IF($J161=0,0,MAX(0,NETWORKDAYS(MAX($K161,AO$4),MIN($L161,EOMONTH(AO$4,0)),Assumptions!$F$4:$F$44))/NETWORKDAYS($K161,$L161,Assumptions!$F$4:$F$44))</f>
        <v>0</v>
      </c>
      <c r="AP161" s="21" t="n">
        <f aca="false">IF($J161=0,0,MAX(0,NETWORKDAYS(MAX($K161,AP$4),MIN($L161,EOMONTH(AP$4,0)),Assumptions!$F$4:$F$44))/NETWORKDAYS($K161,$L161,Assumptions!$F$4:$F$44))</f>
        <v>0</v>
      </c>
      <c r="AQ161" s="21" t="n">
        <f aca="false">IF($J161=0,0,MAX(0,NETWORKDAYS(MAX($K161,AQ$4),MIN($L161,EOMONTH(AQ$4,0)),Assumptions!$F$4:$F$44))/NETWORKDAYS($K161,$L161,Assumptions!$F$4:$F$44))</f>
        <v>0</v>
      </c>
      <c r="AR161" s="21" t="n">
        <f aca="false">IF($J161=0,0,MAX(0,NETWORKDAYS(MAX($K161,AR$4),MIN($L161,EOMONTH(AR$4,0)),Assumptions!$F$4:$F$44))/NETWORKDAYS($K161,$L161,Assumptions!$F$4:$F$44))</f>
        <v>0</v>
      </c>
      <c r="AS161" s="21" t="n">
        <f aca="false">IF($J161=0,0,MAX(0,NETWORKDAYS(MAX($K161,AS$4),MIN($L161,EOMONTH(AS$4,0)),Assumptions!$F$4:$F$44))/NETWORKDAYS($K161,$L161,Assumptions!$F$4:$F$44))</f>
        <v>0</v>
      </c>
      <c r="AT161" s="21" t="n">
        <f aca="false">IF($J161=0,0,MAX(0,NETWORKDAYS(MAX($K161,AT$4),MIN($L161,EOMONTH(AT$4,0)),Assumptions!$F$4:$F$44))/NETWORKDAYS($K161,$L161,Assumptions!$F$4:$F$44))</f>
        <v>0</v>
      </c>
      <c r="AU161" s="21" t="n">
        <f aca="false">IF($J161=0,0,MAX(0,NETWORKDAYS(MAX($K161,AU$4),MIN($L161,EOMONTH(AU$4,0)),Assumptions!$F$4:$F$44))/NETWORKDAYS($K161,$L161,Assumptions!$F$4:$F$44))</f>
        <v>0</v>
      </c>
      <c r="AV161" s="21" t="n">
        <f aca="false">IF($J161=0,0,MAX(0,NETWORKDAYS(MAX($K161,AV$4),MIN($L161,EOMONTH(AV$4,0)),Assumptions!$F$4:$F$44))/NETWORKDAYS($K161,$L161,Assumptions!$F$4:$F$44))</f>
        <v>0</v>
      </c>
      <c r="AW161" s="21" t="n">
        <f aca="false">IF($J161=0,0,MAX(0,NETWORKDAYS(MAX($K161,AW$4),MIN($L161,EOMONTH(AW$4,0)),Assumptions!$F$4:$F$44))/NETWORKDAYS($K161,$L161,Assumptions!$F$4:$F$44))</f>
        <v>0</v>
      </c>
      <c r="AX161" s="21" t="n">
        <f aca="false">IF($J161=0,0,MAX(0,NETWORKDAYS(MAX($K161,AX$4),MIN($L161,EOMONTH(AX$4,0)),Assumptions!$F$4:$F$44))/NETWORKDAYS($K161,$L161,Assumptions!$F$4:$F$44))</f>
        <v>0</v>
      </c>
      <c r="AY161" s="21" t="n">
        <f aca="false">IF($J161=0,0,MAX(0,NETWORKDAYS(MAX($K161,AY$4),MIN($L161,EOMONTH(AY$4,0)),Assumptions!$F$4:$F$44))/NETWORKDAYS($K161,$L161,Assumptions!$F$4:$F$44))</f>
        <v>0</v>
      </c>
      <c r="AZ161" s="21" t="n">
        <f aca="false">IF($J161=0,0,MAX(0,NETWORKDAYS(MAX($K161,AZ$4),MIN($L161,EOMONTH(AZ$4,0)),Assumptions!$F$4:$F$44))/NETWORKDAYS($K161,$L161,Assumptions!$F$4:$F$44))</f>
        <v>0</v>
      </c>
      <c r="BA161" s="21" t="n">
        <f aca="false">IF($J161=0,0,MAX(0,NETWORKDAYS(MAX($K161,BA$4),MIN($L161,EOMONTH(BA$4,0)),Assumptions!$F$4:$F$44))/NETWORKDAYS($K161,$L161,Assumptions!$F$4:$F$44))</f>
        <v>0</v>
      </c>
      <c r="BB161" s="21" t="n">
        <f aca="false">IF($J161=0,0,MAX(0,NETWORKDAYS(MAX($K161,BB$4),MIN($L161,EOMONTH(BB$4,0)),Assumptions!$F$4:$F$44))/NETWORKDAYS($K161,$L161,Assumptions!$F$4:$F$44))</f>
        <v>0</v>
      </c>
      <c r="BC161" s="21" t="n">
        <f aca="false">IF($J161=0,0,MAX(0,NETWORKDAYS(MAX($K161,BC$4),MIN($L161,EOMONTH(BC$4,0)),Assumptions!$F$4:$F$44))/NETWORKDAYS($K161,$L161,Assumptions!$F$4:$F$44))</f>
        <v>0</v>
      </c>
    </row>
    <row r="162" customFormat="false" ht="15" hidden="false" customHeight="false" outlineLevel="2" collapsed="false">
      <c r="A162" s="27" t="n">
        <v>158</v>
      </c>
      <c r="B162" s="27" t="s">
        <v>416</v>
      </c>
      <c r="C162" s="27" t="n">
        <v>3</v>
      </c>
      <c r="D162" s="27" t="s">
        <v>92</v>
      </c>
      <c r="E162" s="28" t="s">
        <v>300</v>
      </c>
      <c r="F162" s="27" t="s">
        <v>154</v>
      </c>
      <c r="G162" s="27" t="s">
        <v>411</v>
      </c>
      <c r="H162" s="27" t="s">
        <v>49</v>
      </c>
      <c r="I162" s="29" t="n">
        <v>29</v>
      </c>
      <c r="J162" s="29" t="n">
        <v>13</v>
      </c>
      <c r="K162" s="30" t="n">
        <f aca="false">WORKDAY(Assumptions!$C$4,I162,Assumptions!$F$4:$F$44)</f>
        <v>46367</v>
      </c>
      <c r="L162" s="30" t="n">
        <f aca="false">IF(J162=0,K162,WORKDAY(K162,J162-1,Assumptions!$F$4:$F$44))</f>
        <v>46385</v>
      </c>
      <c r="M162" s="29" t="s">
        <v>415</v>
      </c>
      <c r="N162" s="31" t="n">
        <v>0</v>
      </c>
      <c r="O162" s="31" t="n">
        <v>3</v>
      </c>
      <c r="P162" s="31" t="n">
        <v>0</v>
      </c>
      <c r="Q162" s="31" t="n">
        <v>0</v>
      </c>
      <c r="R162" s="31" t="n">
        <v>9</v>
      </c>
      <c r="S162" s="31" t="n">
        <v>0</v>
      </c>
      <c r="T162" s="31" t="n">
        <v>0</v>
      </c>
      <c r="U162" s="31" t="n">
        <v>0</v>
      </c>
      <c r="V162" s="31" t="n">
        <v>0</v>
      </c>
      <c r="W162" s="31" t="n">
        <v>0</v>
      </c>
      <c r="X162" s="31" t="n">
        <v>0</v>
      </c>
      <c r="Y162" s="32" t="n">
        <f aca="false">SUM(N162:X162)</f>
        <v>12</v>
      </c>
      <c r="Z162" s="32" t="n">
        <f aca="false">Y162*(1+Assumptions!$C$5)</f>
        <v>13.8</v>
      </c>
      <c r="AA162" s="27" t="s">
        <v>301</v>
      </c>
      <c r="AB162" s="27" t="s">
        <v>95</v>
      </c>
      <c r="AC162" s="27"/>
      <c r="AD162" s="33" t="n">
        <v>0</v>
      </c>
      <c r="AF162" s="21" t="n">
        <f aca="false">IF($J162=0,0,MAX(0,NETWORKDAYS(MAX($K162,AF$4),MIN($L162,EOMONTH(AF$4,0)),Assumptions!$F$4:$F$44))/NETWORKDAYS($K162,$L162,Assumptions!$F$4:$F$44))</f>
        <v>0</v>
      </c>
      <c r="AG162" s="21" t="n">
        <f aca="false">IF($J162=0,0,MAX(0,NETWORKDAYS(MAX($K162,AG$4),MIN($L162,EOMONTH(AG$4,0)),Assumptions!$F$4:$F$44))/NETWORKDAYS($K162,$L162,Assumptions!$F$4:$F$44))</f>
        <v>1</v>
      </c>
      <c r="AH162" s="21" t="n">
        <f aca="false">IF($J162=0,0,MAX(0,NETWORKDAYS(MAX($K162,AH$4),MIN($L162,EOMONTH(AH$4,0)),Assumptions!$F$4:$F$44))/NETWORKDAYS($K162,$L162,Assumptions!$F$4:$F$44))</f>
        <v>0</v>
      </c>
      <c r="AI162" s="21" t="n">
        <f aca="false">IF($J162=0,0,MAX(0,NETWORKDAYS(MAX($K162,AI$4),MIN($L162,EOMONTH(AI$4,0)),Assumptions!$F$4:$F$44))/NETWORKDAYS($K162,$L162,Assumptions!$F$4:$F$44))</f>
        <v>0</v>
      </c>
      <c r="AJ162" s="21" t="n">
        <f aca="false">IF($J162=0,0,MAX(0,NETWORKDAYS(MAX($K162,AJ$4),MIN($L162,EOMONTH(AJ$4,0)),Assumptions!$F$4:$F$44))/NETWORKDAYS($K162,$L162,Assumptions!$F$4:$F$44))</f>
        <v>0</v>
      </c>
      <c r="AK162" s="21" t="n">
        <f aca="false">IF($J162=0,0,MAX(0,NETWORKDAYS(MAX($K162,AK$4),MIN($L162,EOMONTH(AK$4,0)),Assumptions!$F$4:$F$44))/NETWORKDAYS($K162,$L162,Assumptions!$F$4:$F$44))</f>
        <v>0</v>
      </c>
      <c r="AL162" s="21" t="n">
        <f aca="false">IF($J162=0,0,MAX(0,NETWORKDAYS(MAX($K162,AL$4),MIN($L162,EOMONTH(AL$4,0)),Assumptions!$F$4:$F$44))/NETWORKDAYS($K162,$L162,Assumptions!$F$4:$F$44))</f>
        <v>0</v>
      </c>
      <c r="AM162" s="21" t="n">
        <f aca="false">IF($J162=0,0,MAX(0,NETWORKDAYS(MAX($K162,AM$4),MIN($L162,EOMONTH(AM$4,0)),Assumptions!$F$4:$F$44))/NETWORKDAYS($K162,$L162,Assumptions!$F$4:$F$44))</f>
        <v>0</v>
      </c>
      <c r="AN162" s="21" t="n">
        <f aca="false">IF($J162=0,0,MAX(0,NETWORKDAYS(MAX($K162,AN$4),MIN($L162,EOMONTH(AN$4,0)),Assumptions!$F$4:$F$44))/NETWORKDAYS($K162,$L162,Assumptions!$F$4:$F$44))</f>
        <v>0</v>
      </c>
      <c r="AO162" s="21" t="n">
        <f aca="false">IF($J162=0,0,MAX(0,NETWORKDAYS(MAX($K162,AO$4),MIN($L162,EOMONTH(AO$4,0)),Assumptions!$F$4:$F$44))/NETWORKDAYS($K162,$L162,Assumptions!$F$4:$F$44))</f>
        <v>0</v>
      </c>
      <c r="AP162" s="21" t="n">
        <f aca="false">IF($J162=0,0,MAX(0,NETWORKDAYS(MAX($K162,AP$4),MIN($L162,EOMONTH(AP$4,0)),Assumptions!$F$4:$F$44))/NETWORKDAYS($K162,$L162,Assumptions!$F$4:$F$44))</f>
        <v>0</v>
      </c>
      <c r="AQ162" s="21" t="n">
        <f aca="false">IF($J162=0,0,MAX(0,NETWORKDAYS(MAX($K162,AQ$4),MIN($L162,EOMONTH(AQ$4,0)),Assumptions!$F$4:$F$44))/NETWORKDAYS($K162,$L162,Assumptions!$F$4:$F$44))</f>
        <v>0</v>
      </c>
      <c r="AR162" s="21" t="n">
        <f aca="false">IF($J162=0,0,MAX(0,NETWORKDAYS(MAX($K162,AR$4),MIN($L162,EOMONTH(AR$4,0)),Assumptions!$F$4:$F$44))/NETWORKDAYS($K162,$L162,Assumptions!$F$4:$F$44))</f>
        <v>0</v>
      </c>
      <c r="AS162" s="21" t="n">
        <f aca="false">IF($J162=0,0,MAX(0,NETWORKDAYS(MAX($K162,AS$4),MIN($L162,EOMONTH(AS$4,0)),Assumptions!$F$4:$F$44))/NETWORKDAYS($K162,$L162,Assumptions!$F$4:$F$44))</f>
        <v>0</v>
      </c>
      <c r="AT162" s="21" t="n">
        <f aca="false">IF($J162=0,0,MAX(0,NETWORKDAYS(MAX($K162,AT$4),MIN($L162,EOMONTH(AT$4,0)),Assumptions!$F$4:$F$44))/NETWORKDAYS($K162,$L162,Assumptions!$F$4:$F$44))</f>
        <v>0</v>
      </c>
      <c r="AU162" s="21" t="n">
        <f aca="false">IF($J162=0,0,MAX(0,NETWORKDAYS(MAX($K162,AU$4),MIN($L162,EOMONTH(AU$4,0)),Assumptions!$F$4:$F$44))/NETWORKDAYS($K162,$L162,Assumptions!$F$4:$F$44))</f>
        <v>0</v>
      </c>
      <c r="AV162" s="21" t="n">
        <f aca="false">IF($J162=0,0,MAX(0,NETWORKDAYS(MAX($K162,AV$4),MIN($L162,EOMONTH(AV$4,0)),Assumptions!$F$4:$F$44))/NETWORKDAYS($K162,$L162,Assumptions!$F$4:$F$44))</f>
        <v>0</v>
      </c>
      <c r="AW162" s="21" t="n">
        <f aca="false">IF($J162=0,0,MAX(0,NETWORKDAYS(MAX($K162,AW$4),MIN($L162,EOMONTH(AW$4,0)),Assumptions!$F$4:$F$44))/NETWORKDAYS($K162,$L162,Assumptions!$F$4:$F$44))</f>
        <v>0</v>
      </c>
      <c r="AX162" s="21" t="n">
        <f aca="false">IF($J162=0,0,MAX(0,NETWORKDAYS(MAX($K162,AX$4),MIN($L162,EOMONTH(AX$4,0)),Assumptions!$F$4:$F$44))/NETWORKDAYS($K162,$L162,Assumptions!$F$4:$F$44))</f>
        <v>0</v>
      </c>
      <c r="AY162" s="21" t="n">
        <f aca="false">IF($J162=0,0,MAX(0,NETWORKDAYS(MAX($K162,AY$4),MIN($L162,EOMONTH(AY$4,0)),Assumptions!$F$4:$F$44))/NETWORKDAYS($K162,$L162,Assumptions!$F$4:$F$44))</f>
        <v>0</v>
      </c>
      <c r="AZ162" s="21" t="n">
        <f aca="false">IF($J162=0,0,MAX(0,NETWORKDAYS(MAX($K162,AZ$4),MIN($L162,EOMONTH(AZ$4,0)),Assumptions!$F$4:$F$44))/NETWORKDAYS($K162,$L162,Assumptions!$F$4:$F$44))</f>
        <v>0</v>
      </c>
      <c r="BA162" s="21" t="n">
        <f aca="false">IF($J162=0,0,MAX(0,NETWORKDAYS(MAX($K162,BA$4),MIN($L162,EOMONTH(BA$4,0)),Assumptions!$F$4:$F$44))/NETWORKDAYS($K162,$L162,Assumptions!$F$4:$F$44))</f>
        <v>0</v>
      </c>
      <c r="BB162" s="21" t="n">
        <f aca="false">IF($J162=0,0,MAX(0,NETWORKDAYS(MAX($K162,BB$4),MIN($L162,EOMONTH(BB$4,0)),Assumptions!$F$4:$F$44))/NETWORKDAYS($K162,$L162,Assumptions!$F$4:$F$44))</f>
        <v>0</v>
      </c>
      <c r="BC162" s="21" t="n">
        <f aca="false">IF($J162=0,0,MAX(0,NETWORKDAYS(MAX($K162,BC$4),MIN($L162,EOMONTH(BC$4,0)),Assumptions!$F$4:$F$44))/NETWORKDAYS($K162,$L162,Assumptions!$F$4:$F$44))</f>
        <v>0</v>
      </c>
    </row>
    <row r="163" customFormat="false" ht="15" hidden="false" customHeight="false" outlineLevel="2" collapsed="false">
      <c r="A163" s="27" t="n">
        <v>159</v>
      </c>
      <c r="B163" s="27" t="s">
        <v>417</v>
      </c>
      <c r="C163" s="27" t="n">
        <v>3</v>
      </c>
      <c r="D163" s="27" t="s">
        <v>92</v>
      </c>
      <c r="E163" s="28" t="s">
        <v>303</v>
      </c>
      <c r="F163" s="27" t="s">
        <v>154</v>
      </c>
      <c r="G163" s="27" t="s">
        <v>411</v>
      </c>
      <c r="H163" s="27" t="s">
        <v>47</v>
      </c>
      <c r="I163" s="29" t="n">
        <v>40</v>
      </c>
      <c r="J163" s="29" t="n">
        <v>47</v>
      </c>
      <c r="K163" s="30" t="n">
        <f aca="false">WORKDAY(Assumptions!$C$4,I163,Assumptions!$F$4:$F$44)</f>
        <v>46384</v>
      </c>
      <c r="L163" s="30" t="n">
        <f aca="false">IF(J163=0,K163,WORKDAY(K163,J163-1,Assumptions!$F$4:$F$44))</f>
        <v>46448</v>
      </c>
      <c r="M163" s="29" t="s">
        <v>418</v>
      </c>
      <c r="N163" s="31" t="n">
        <v>0</v>
      </c>
      <c r="O163" s="31" t="n">
        <v>0</v>
      </c>
      <c r="P163" s="31" t="n">
        <v>0</v>
      </c>
      <c r="Q163" s="31" t="n">
        <v>45</v>
      </c>
      <c r="R163" s="31" t="n">
        <v>0</v>
      </c>
      <c r="S163" s="31" t="n">
        <v>0</v>
      </c>
      <c r="T163" s="31" t="n">
        <v>0</v>
      </c>
      <c r="U163" s="31" t="n">
        <v>0</v>
      </c>
      <c r="V163" s="31" t="n">
        <v>0</v>
      </c>
      <c r="W163" s="31" t="n">
        <v>0</v>
      </c>
      <c r="X163" s="31" t="n">
        <v>0</v>
      </c>
      <c r="Y163" s="32" t="n">
        <f aca="false">SUM(N163:X163)</f>
        <v>45</v>
      </c>
      <c r="Z163" s="32" t="n">
        <f aca="false">Y163*(1+Assumptions!$C$5)</f>
        <v>51.75</v>
      </c>
      <c r="AA163" s="27" t="s">
        <v>305</v>
      </c>
      <c r="AB163" s="27" t="s">
        <v>95</v>
      </c>
      <c r="AC163" s="27"/>
      <c r="AD163" s="33" t="n">
        <v>0</v>
      </c>
      <c r="AF163" s="21" t="n">
        <f aca="false">IF($J163=0,0,MAX(0,NETWORKDAYS(MAX($K163,AF$4),MIN($L163,EOMONTH(AF$4,0)),Assumptions!$F$4:$F$44))/NETWORKDAYS($K163,$L163,Assumptions!$F$4:$F$44))</f>
        <v>0</v>
      </c>
      <c r="AG163" s="21" t="n">
        <f aca="false">IF($J163=0,0,MAX(0,NETWORKDAYS(MAX($K163,AG$4),MIN($L163,EOMONTH(AG$4,0)),Assumptions!$F$4:$F$44))/NETWORKDAYS($K163,$L163,Assumptions!$F$4:$F$44))</f>
        <v>0.0851063829787234</v>
      </c>
      <c r="AH163" s="21" t="n">
        <f aca="false">IF($J163=0,0,MAX(0,NETWORKDAYS(MAX($K163,AH$4),MIN($L163,EOMONTH(AH$4,0)),Assumptions!$F$4:$F$44))/NETWORKDAYS($K163,$L163,Assumptions!$F$4:$F$44))</f>
        <v>0.446808510638298</v>
      </c>
      <c r="AI163" s="21" t="n">
        <f aca="false">IF($J163=0,0,MAX(0,NETWORKDAYS(MAX($K163,AI$4),MIN($L163,EOMONTH(AI$4,0)),Assumptions!$F$4:$F$44))/NETWORKDAYS($K163,$L163,Assumptions!$F$4:$F$44))</f>
        <v>0.425531914893617</v>
      </c>
      <c r="AJ163" s="21" t="n">
        <f aca="false">IF($J163=0,0,MAX(0,NETWORKDAYS(MAX($K163,AJ$4),MIN($L163,EOMONTH(AJ$4,0)),Assumptions!$F$4:$F$44))/NETWORKDAYS($K163,$L163,Assumptions!$F$4:$F$44))</f>
        <v>0.0425531914893617</v>
      </c>
      <c r="AK163" s="21" t="n">
        <f aca="false">IF($J163=0,0,MAX(0,NETWORKDAYS(MAX($K163,AK$4),MIN($L163,EOMONTH(AK$4,0)),Assumptions!$F$4:$F$44))/NETWORKDAYS($K163,$L163,Assumptions!$F$4:$F$44))</f>
        <v>0</v>
      </c>
      <c r="AL163" s="21" t="n">
        <f aca="false">IF($J163=0,0,MAX(0,NETWORKDAYS(MAX($K163,AL$4),MIN($L163,EOMONTH(AL$4,0)),Assumptions!$F$4:$F$44))/NETWORKDAYS($K163,$L163,Assumptions!$F$4:$F$44))</f>
        <v>0</v>
      </c>
      <c r="AM163" s="21" t="n">
        <f aca="false">IF($J163=0,0,MAX(0,NETWORKDAYS(MAX($K163,AM$4),MIN($L163,EOMONTH(AM$4,0)),Assumptions!$F$4:$F$44))/NETWORKDAYS($K163,$L163,Assumptions!$F$4:$F$44))</f>
        <v>0</v>
      </c>
      <c r="AN163" s="21" t="n">
        <f aca="false">IF($J163=0,0,MAX(0,NETWORKDAYS(MAX($K163,AN$4),MIN($L163,EOMONTH(AN$4,0)),Assumptions!$F$4:$F$44))/NETWORKDAYS($K163,$L163,Assumptions!$F$4:$F$44))</f>
        <v>0</v>
      </c>
      <c r="AO163" s="21" t="n">
        <f aca="false">IF($J163=0,0,MAX(0,NETWORKDAYS(MAX($K163,AO$4),MIN($L163,EOMONTH(AO$4,0)),Assumptions!$F$4:$F$44))/NETWORKDAYS($K163,$L163,Assumptions!$F$4:$F$44))</f>
        <v>0</v>
      </c>
      <c r="AP163" s="21" t="n">
        <f aca="false">IF($J163=0,0,MAX(0,NETWORKDAYS(MAX($K163,AP$4),MIN($L163,EOMONTH(AP$4,0)),Assumptions!$F$4:$F$44))/NETWORKDAYS($K163,$L163,Assumptions!$F$4:$F$44))</f>
        <v>0</v>
      </c>
      <c r="AQ163" s="21" t="n">
        <f aca="false">IF($J163=0,0,MAX(0,NETWORKDAYS(MAX($K163,AQ$4),MIN($L163,EOMONTH(AQ$4,0)),Assumptions!$F$4:$F$44))/NETWORKDAYS($K163,$L163,Assumptions!$F$4:$F$44))</f>
        <v>0</v>
      </c>
      <c r="AR163" s="21" t="n">
        <f aca="false">IF($J163=0,0,MAX(0,NETWORKDAYS(MAX($K163,AR$4),MIN($L163,EOMONTH(AR$4,0)),Assumptions!$F$4:$F$44))/NETWORKDAYS($K163,$L163,Assumptions!$F$4:$F$44))</f>
        <v>0</v>
      </c>
      <c r="AS163" s="21" t="n">
        <f aca="false">IF($J163=0,0,MAX(0,NETWORKDAYS(MAX($K163,AS$4),MIN($L163,EOMONTH(AS$4,0)),Assumptions!$F$4:$F$44))/NETWORKDAYS($K163,$L163,Assumptions!$F$4:$F$44))</f>
        <v>0</v>
      </c>
      <c r="AT163" s="21" t="n">
        <f aca="false">IF($J163=0,0,MAX(0,NETWORKDAYS(MAX($K163,AT$4),MIN($L163,EOMONTH(AT$4,0)),Assumptions!$F$4:$F$44))/NETWORKDAYS($K163,$L163,Assumptions!$F$4:$F$44))</f>
        <v>0</v>
      </c>
      <c r="AU163" s="21" t="n">
        <f aca="false">IF($J163=0,0,MAX(0,NETWORKDAYS(MAX($K163,AU$4),MIN($L163,EOMONTH(AU$4,0)),Assumptions!$F$4:$F$44))/NETWORKDAYS($K163,$L163,Assumptions!$F$4:$F$44))</f>
        <v>0</v>
      </c>
      <c r="AV163" s="21" t="n">
        <f aca="false">IF($J163=0,0,MAX(0,NETWORKDAYS(MAX($K163,AV$4),MIN($L163,EOMONTH(AV$4,0)),Assumptions!$F$4:$F$44))/NETWORKDAYS($K163,$L163,Assumptions!$F$4:$F$44))</f>
        <v>0</v>
      </c>
      <c r="AW163" s="21" t="n">
        <f aca="false">IF($J163=0,0,MAX(0,NETWORKDAYS(MAX($K163,AW$4),MIN($L163,EOMONTH(AW$4,0)),Assumptions!$F$4:$F$44))/NETWORKDAYS($K163,$L163,Assumptions!$F$4:$F$44))</f>
        <v>0</v>
      </c>
      <c r="AX163" s="21" t="n">
        <f aca="false">IF($J163=0,0,MAX(0,NETWORKDAYS(MAX($K163,AX$4),MIN($L163,EOMONTH(AX$4,0)),Assumptions!$F$4:$F$44))/NETWORKDAYS($K163,$L163,Assumptions!$F$4:$F$44))</f>
        <v>0</v>
      </c>
      <c r="AY163" s="21" t="n">
        <f aca="false">IF($J163=0,0,MAX(0,NETWORKDAYS(MAX($K163,AY$4),MIN($L163,EOMONTH(AY$4,0)),Assumptions!$F$4:$F$44))/NETWORKDAYS($K163,$L163,Assumptions!$F$4:$F$44))</f>
        <v>0</v>
      </c>
      <c r="AZ163" s="21" t="n">
        <f aca="false">IF($J163=0,0,MAX(0,NETWORKDAYS(MAX($K163,AZ$4),MIN($L163,EOMONTH(AZ$4,0)),Assumptions!$F$4:$F$44))/NETWORKDAYS($K163,$L163,Assumptions!$F$4:$F$44))</f>
        <v>0</v>
      </c>
      <c r="BA163" s="21" t="n">
        <f aca="false">IF($J163=0,0,MAX(0,NETWORKDAYS(MAX($K163,BA$4),MIN($L163,EOMONTH(BA$4,0)),Assumptions!$F$4:$F$44))/NETWORKDAYS($K163,$L163,Assumptions!$F$4:$F$44))</f>
        <v>0</v>
      </c>
      <c r="BB163" s="21" t="n">
        <f aca="false">IF($J163=0,0,MAX(0,NETWORKDAYS(MAX($K163,BB$4),MIN($L163,EOMONTH(BB$4,0)),Assumptions!$F$4:$F$44))/NETWORKDAYS($K163,$L163,Assumptions!$F$4:$F$44))</f>
        <v>0</v>
      </c>
      <c r="BC163" s="21" t="n">
        <f aca="false">IF($J163=0,0,MAX(0,NETWORKDAYS(MAX($K163,BC$4),MIN($L163,EOMONTH(BC$4,0)),Assumptions!$F$4:$F$44))/NETWORKDAYS($K163,$L163,Assumptions!$F$4:$F$44))</f>
        <v>0</v>
      </c>
    </row>
    <row r="164" customFormat="false" ht="15" hidden="false" customHeight="false" outlineLevel="2" collapsed="false">
      <c r="A164" s="27" t="n">
        <v>160</v>
      </c>
      <c r="B164" s="27" t="s">
        <v>419</v>
      </c>
      <c r="C164" s="27" t="n">
        <v>3</v>
      </c>
      <c r="D164" s="27" t="s">
        <v>92</v>
      </c>
      <c r="E164" s="28" t="s">
        <v>307</v>
      </c>
      <c r="F164" s="27" t="s">
        <v>154</v>
      </c>
      <c r="G164" s="27" t="s">
        <v>411</v>
      </c>
      <c r="H164" s="27" t="s">
        <v>47</v>
      </c>
      <c r="I164" s="29" t="n">
        <v>54</v>
      </c>
      <c r="J164" s="29" t="n">
        <v>34</v>
      </c>
      <c r="K164" s="30" t="n">
        <f aca="false">WORKDAY(Assumptions!$C$4,I164,Assumptions!$F$4:$F$44)</f>
        <v>46402</v>
      </c>
      <c r="L164" s="30" t="n">
        <f aca="false">IF(J164=0,K164,WORKDAY(K164,J164-1,Assumptions!$F$4:$F$44))</f>
        <v>46449</v>
      </c>
      <c r="M164" s="29" t="s">
        <v>418</v>
      </c>
      <c r="N164" s="31" t="n">
        <v>0</v>
      </c>
      <c r="O164" s="31" t="n">
        <v>6</v>
      </c>
      <c r="P164" s="31" t="n">
        <v>0</v>
      </c>
      <c r="Q164" s="31" t="n">
        <v>15</v>
      </c>
      <c r="R164" s="31" t="n">
        <v>0</v>
      </c>
      <c r="S164" s="31" t="n">
        <v>0</v>
      </c>
      <c r="T164" s="31" t="n">
        <v>0</v>
      </c>
      <c r="U164" s="31" t="n">
        <v>0</v>
      </c>
      <c r="V164" s="31" t="n">
        <v>0</v>
      </c>
      <c r="W164" s="31" t="n">
        <v>0</v>
      </c>
      <c r="X164" s="31" t="n">
        <v>0</v>
      </c>
      <c r="Y164" s="32" t="n">
        <f aca="false">SUM(N164:X164)</f>
        <v>21</v>
      </c>
      <c r="Z164" s="32" t="n">
        <f aca="false">Y164*(1+Assumptions!$C$5)</f>
        <v>24.15</v>
      </c>
      <c r="AA164" s="27" t="s">
        <v>308</v>
      </c>
      <c r="AB164" s="27" t="s">
        <v>95</v>
      </c>
      <c r="AC164" s="27"/>
      <c r="AD164" s="33" t="n">
        <v>0</v>
      </c>
      <c r="AF164" s="21" t="n">
        <f aca="false">IF($J164=0,0,MAX(0,NETWORKDAYS(MAX($K164,AF$4),MIN($L164,EOMONTH(AF$4,0)),Assumptions!$F$4:$F$44))/NETWORKDAYS($K164,$L164,Assumptions!$F$4:$F$44))</f>
        <v>0</v>
      </c>
      <c r="AG164" s="21" t="n">
        <f aca="false">IF($J164=0,0,MAX(0,NETWORKDAYS(MAX($K164,AG$4),MIN($L164,EOMONTH(AG$4,0)),Assumptions!$F$4:$F$44))/NETWORKDAYS($K164,$L164,Assumptions!$F$4:$F$44))</f>
        <v>0</v>
      </c>
      <c r="AH164" s="21" t="n">
        <f aca="false">IF($J164=0,0,MAX(0,NETWORKDAYS(MAX($K164,AH$4),MIN($L164,EOMONTH(AH$4,0)),Assumptions!$F$4:$F$44))/NETWORKDAYS($K164,$L164,Assumptions!$F$4:$F$44))</f>
        <v>0.323529411764706</v>
      </c>
      <c r="AI164" s="21" t="n">
        <f aca="false">IF($J164=0,0,MAX(0,NETWORKDAYS(MAX($K164,AI$4),MIN($L164,EOMONTH(AI$4,0)),Assumptions!$F$4:$F$44))/NETWORKDAYS($K164,$L164,Assumptions!$F$4:$F$44))</f>
        <v>0.588235294117647</v>
      </c>
      <c r="AJ164" s="21" t="n">
        <f aca="false">IF($J164=0,0,MAX(0,NETWORKDAYS(MAX($K164,AJ$4),MIN($L164,EOMONTH(AJ$4,0)),Assumptions!$F$4:$F$44))/NETWORKDAYS($K164,$L164,Assumptions!$F$4:$F$44))</f>
        <v>0.0882352941176471</v>
      </c>
      <c r="AK164" s="21" t="n">
        <f aca="false">IF($J164=0,0,MAX(0,NETWORKDAYS(MAX($K164,AK$4),MIN($L164,EOMONTH(AK$4,0)),Assumptions!$F$4:$F$44))/NETWORKDAYS($K164,$L164,Assumptions!$F$4:$F$44))</f>
        <v>0</v>
      </c>
      <c r="AL164" s="21" t="n">
        <f aca="false">IF($J164=0,0,MAX(0,NETWORKDAYS(MAX($K164,AL$4),MIN($L164,EOMONTH(AL$4,0)),Assumptions!$F$4:$F$44))/NETWORKDAYS($K164,$L164,Assumptions!$F$4:$F$44))</f>
        <v>0</v>
      </c>
      <c r="AM164" s="21" t="n">
        <f aca="false">IF($J164=0,0,MAX(0,NETWORKDAYS(MAX($K164,AM$4),MIN($L164,EOMONTH(AM$4,0)),Assumptions!$F$4:$F$44))/NETWORKDAYS($K164,$L164,Assumptions!$F$4:$F$44))</f>
        <v>0</v>
      </c>
      <c r="AN164" s="21" t="n">
        <f aca="false">IF($J164=0,0,MAX(0,NETWORKDAYS(MAX($K164,AN$4),MIN($L164,EOMONTH(AN$4,0)),Assumptions!$F$4:$F$44))/NETWORKDAYS($K164,$L164,Assumptions!$F$4:$F$44))</f>
        <v>0</v>
      </c>
      <c r="AO164" s="21" t="n">
        <f aca="false">IF($J164=0,0,MAX(0,NETWORKDAYS(MAX($K164,AO$4),MIN($L164,EOMONTH(AO$4,0)),Assumptions!$F$4:$F$44))/NETWORKDAYS($K164,$L164,Assumptions!$F$4:$F$44))</f>
        <v>0</v>
      </c>
      <c r="AP164" s="21" t="n">
        <f aca="false">IF($J164=0,0,MAX(0,NETWORKDAYS(MAX($K164,AP$4),MIN($L164,EOMONTH(AP$4,0)),Assumptions!$F$4:$F$44))/NETWORKDAYS($K164,$L164,Assumptions!$F$4:$F$44))</f>
        <v>0</v>
      </c>
      <c r="AQ164" s="21" t="n">
        <f aca="false">IF($J164=0,0,MAX(0,NETWORKDAYS(MAX($K164,AQ$4),MIN($L164,EOMONTH(AQ$4,0)),Assumptions!$F$4:$F$44))/NETWORKDAYS($K164,$L164,Assumptions!$F$4:$F$44))</f>
        <v>0</v>
      </c>
      <c r="AR164" s="21" t="n">
        <f aca="false">IF($J164=0,0,MAX(0,NETWORKDAYS(MAX($K164,AR$4),MIN($L164,EOMONTH(AR$4,0)),Assumptions!$F$4:$F$44))/NETWORKDAYS($K164,$L164,Assumptions!$F$4:$F$44))</f>
        <v>0</v>
      </c>
      <c r="AS164" s="21" t="n">
        <f aca="false">IF($J164=0,0,MAX(0,NETWORKDAYS(MAX($K164,AS$4),MIN($L164,EOMONTH(AS$4,0)),Assumptions!$F$4:$F$44))/NETWORKDAYS($K164,$L164,Assumptions!$F$4:$F$44))</f>
        <v>0</v>
      </c>
      <c r="AT164" s="21" t="n">
        <f aca="false">IF($J164=0,0,MAX(0,NETWORKDAYS(MAX($K164,AT$4),MIN($L164,EOMONTH(AT$4,0)),Assumptions!$F$4:$F$44))/NETWORKDAYS($K164,$L164,Assumptions!$F$4:$F$44))</f>
        <v>0</v>
      </c>
      <c r="AU164" s="21" t="n">
        <f aca="false">IF($J164=0,0,MAX(0,NETWORKDAYS(MAX($K164,AU$4),MIN($L164,EOMONTH(AU$4,0)),Assumptions!$F$4:$F$44))/NETWORKDAYS($K164,$L164,Assumptions!$F$4:$F$44))</f>
        <v>0</v>
      </c>
      <c r="AV164" s="21" t="n">
        <f aca="false">IF($J164=0,0,MAX(0,NETWORKDAYS(MAX($K164,AV$4),MIN($L164,EOMONTH(AV$4,0)),Assumptions!$F$4:$F$44))/NETWORKDAYS($K164,$L164,Assumptions!$F$4:$F$44))</f>
        <v>0</v>
      </c>
      <c r="AW164" s="21" t="n">
        <f aca="false">IF($J164=0,0,MAX(0,NETWORKDAYS(MAX($K164,AW$4),MIN($L164,EOMONTH(AW$4,0)),Assumptions!$F$4:$F$44))/NETWORKDAYS($K164,$L164,Assumptions!$F$4:$F$44))</f>
        <v>0</v>
      </c>
      <c r="AX164" s="21" t="n">
        <f aca="false">IF($J164=0,0,MAX(0,NETWORKDAYS(MAX($K164,AX$4),MIN($L164,EOMONTH(AX$4,0)),Assumptions!$F$4:$F$44))/NETWORKDAYS($K164,$L164,Assumptions!$F$4:$F$44))</f>
        <v>0</v>
      </c>
      <c r="AY164" s="21" t="n">
        <f aca="false">IF($J164=0,0,MAX(0,NETWORKDAYS(MAX($K164,AY$4),MIN($L164,EOMONTH(AY$4,0)),Assumptions!$F$4:$F$44))/NETWORKDAYS($K164,$L164,Assumptions!$F$4:$F$44))</f>
        <v>0</v>
      </c>
      <c r="AZ164" s="21" t="n">
        <f aca="false">IF($J164=0,0,MAX(0,NETWORKDAYS(MAX($K164,AZ$4),MIN($L164,EOMONTH(AZ$4,0)),Assumptions!$F$4:$F$44))/NETWORKDAYS($K164,$L164,Assumptions!$F$4:$F$44))</f>
        <v>0</v>
      </c>
      <c r="BA164" s="21" t="n">
        <f aca="false">IF($J164=0,0,MAX(0,NETWORKDAYS(MAX($K164,BA$4),MIN($L164,EOMONTH(BA$4,0)),Assumptions!$F$4:$F$44))/NETWORKDAYS($K164,$L164,Assumptions!$F$4:$F$44))</f>
        <v>0</v>
      </c>
      <c r="BB164" s="21" t="n">
        <f aca="false">IF($J164=0,0,MAX(0,NETWORKDAYS(MAX($K164,BB$4),MIN($L164,EOMONTH(BB$4,0)),Assumptions!$F$4:$F$44))/NETWORKDAYS($K164,$L164,Assumptions!$F$4:$F$44))</f>
        <v>0</v>
      </c>
      <c r="BC164" s="21" t="n">
        <f aca="false">IF($J164=0,0,MAX(0,NETWORKDAYS(MAX($K164,BC$4),MIN($L164,EOMONTH(BC$4,0)),Assumptions!$F$4:$F$44))/NETWORKDAYS($K164,$L164,Assumptions!$F$4:$F$44))</f>
        <v>0</v>
      </c>
    </row>
    <row r="165" customFormat="false" ht="15" hidden="false" customHeight="false" outlineLevel="2" collapsed="false">
      <c r="A165" s="27" t="n">
        <v>161</v>
      </c>
      <c r="B165" s="27" t="s">
        <v>420</v>
      </c>
      <c r="C165" s="27" t="n">
        <v>3</v>
      </c>
      <c r="D165" s="27" t="s">
        <v>92</v>
      </c>
      <c r="E165" s="28" t="s">
        <v>310</v>
      </c>
      <c r="F165" s="27" t="s">
        <v>154</v>
      </c>
      <c r="G165" s="27" t="s">
        <v>411</v>
      </c>
      <c r="H165" s="27" t="s">
        <v>49</v>
      </c>
      <c r="I165" s="29" t="n">
        <v>48</v>
      </c>
      <c r="J165" s="29" t="n">
        <v>45</v>
      </c>
      <c r="K165" s="30" t="n">
        <f aca="false">WORKDAY(Assumptions!$C$4,I165,Assumptions!$F$4:$F$44)</f>
        <v>46394</v>
      </c>
      <c r="L165" s="30" t="n">
        <f aca="false">IF(J165=0,K165,WORKDAY(K165,J165-1,Assumptions!$F$4:$F$44))</f>
        <v>46456</v>
      </c>
      <c r="M165" s="29" t="s">
        <v>421</v>
      </c>
      <c r="N165" s="31" t="n">
        <v>0</v>
      </c>
      <c r="O165" s="31" t="n">
        <v>0</v>
      </c>
      <c r="P165" s="31" t="n">
        <v>0</v>
      </c>
      <c r="Q165" s="31" t="n">
        <v>0</v>
      </c>
      <c r="R165" s="31" t="n">
        <v>38</v>
      </c>
      <c r="S165" s="31" t="n">
        <v>0</v>
      </c>
      <c r="T165" s="31" t="n">
        <v>0</v>
      </c>
      <c r="U165" s="31" t="n">
        <v>0</v>
      </c>
      <c r="V165" s="31" t="n">
        <v>0</v>
      </c>
      <c r="W165" s="31" t="n">
        <v>0</v>
      </c>
      <c r="X165" s="31" t="n">
        <v>0</v>
      </c>
      <c r="Y165" s="32" t="n">
        <f aca="false">SUM(N165:X165)</f>
        <v>38</v>
      </c>
      <c r="Z165" s="32" t="n">
        <f aca="false">Y165*(1+Assumptions!$C$5)</f>
        <v>43.7</v>
      </c>
      <c r="AA165" s="27" t="s">
        <v>312</v>
      </c>
      <c r="AB165" s="27" t="s">
        <v>95</v>
      </c>
      <c r="AC165" s="27"/>
      <c r="AD165" s="33" t="n">
        <v>0</v>
      </c>
      <c r="AF165" s="21" t="n">
        <f aca="false">IF($J165=0,0,MAX(0,NETWORKDAYS(MAX($K165,AF$4),MIN($L165,EOMONTH(AF$4,0)),Assumptions!$F$4:$F$44))/NETWORKDAYS($K165,$L165,Assumptions!$F$4:$F$44))</f>
        <v>0</v>
      </c>
      <c r="AG165" s="21" t="n">
        <f aca="false">IF($J165=0,0,MAX(0,NETWORKDAYS(MAX($K165,AG$4),MIN($L165,EOMONTH(AG$4,0)),Assumptions!$F$4:$F$44))/NETWORKDAYS($K165,$L165,Assumptions!$F$4:$F$44))</f>
        <v>0</v>
      </c>
      <c r="AH165" s="21" t="n">
        <f aca="false">IF($J165=0,0,MAX(0,NETWORKDAYS(MAX($K165,AH$4),MIN($L165,EOMONTH(AH$4,0)),Assumptions!$F$4:$F$44))/NETWORKDAYS($K165,$L165,Assumptions!$F$4:$F$44))</f>
        <v>0.377777777777778</v>
      </c>
      <c r="AI165" s="21" t="n">
        <f aca="false">IF($J165=0,0,MAX(0,NETWORKDAYS(MAX($K165,AI$4),MIN($L165,EOMONTH(AI$4,0)),Assumptions!$F$4:$F$44))/NETWORKDAYS($K165,$L165,Assumptions!$F$4:$F$44))</f>
        <v>0.444444444444444</v>
      </c>
      <c r="AJ165" s="21" t="n">
        <f aca="false">IF($J165=0,0,MAX(0,NETWORKDAYS(MAX($K165,AJ$4),MIN($L165,EOMONTH(AJ$4,0)),Assumptions!$F$4:$F$44))/NETWORKDAYS($K165,$L165,Assumptions!$F$4:$F$44))</f>
        <v>0.177777777777778</v>
      </c>
      <c r="AK165" s="21" t="n">
        <f aca="false">IF($J165=0,0,MAX(0,NETWORKDAYS(MAX($K165,AK$4),MIN($L165,EOMONTH(AK$4,0)),Assumptions!$F$4:$F$44))/NETWORKDAYS($K165,$L165,Assumptions!$F$4:$F$44))</f>
        <v>0</v>
      </c>
      <c r="AL165" s="21" t="n">
        <f aca="false">IF($J165=0,0,MAX(0,NETWORKDAYS(MAX($K165,AL$4),MIN($L165,EOMONTH(AL$4,0)),Assumptions!$F$4:$F$44))/NETWORKDAYS($K165,$L165,Assumptions!$F$4:$F$44))</f>
        <v>0</v>
      </c>
      <c r="AM165" s="21" t="n">
        <f aca="false">IF($J165=0,0,MAX(0,NETWORKDAYS(MAX($K165,AM$4),MIN($L165,EOMONTH(AM$4,0)),Assumptions!$F$4:$F$44))/NETWORKDAYS($K165,$L165,Assumptions!$F$4:$F$44))</f>
        <v>0</v>
      </c>
      <c r="AN165" s="21" t="n">
        <f aca="false">IF($J165=0,0,MAX(0,NETWORKDAYS(MAX($K165,AN$4),MIN($L165,EOMONTH(AN$4,0)),Assumptions!$F$4:$F$44))/NETWORKDAYS($K165,$L165,Assumptions!$F$4:$F$44))</f>
        <v>0</v>
      </c>
      <c r="AO165" s="21" t="n">
        <f aca="false">IF($J165=0,0,MAX(0,NETWORKDAYS(MAX($K165,AO$4),MIN($L165,EOMONTH(AO$4,0)),Assumptions!$F$4:$F$44))/NETWORKDAYS($K165,$L165,Assumptions!$F$4:$F$44))</f>
        <v>0</v>
      </c>
      <c r="AP165" s="21" t="n">
        <f aca="false">IF($J165=0,0,MAX(0,NETWORKDAYS(MAX($K165,AP$4),MIN($L165,EOMONTH(AP$4,0)),Assumptions!$F$4:$F$44))/NETWORKDAYS($K165,$L165,Assumptions!$F$4:$F$44))</f>
        <v>0</v>
      </c>
      <c r="AQ165" s="21" t="n">
        <f aca="false">IF($J165=0,0,MAX(0,NETWORKDAYS(MAX($K165,AQ$4),MIN($L165,EOMONTH(AQ$4,0)),Assumptions!$F$4:$F$44))/NETWORKDAYS($K165,$L165,Assumptions!$F$4:$F$44))</f>
        <v>0</v>
      </c>
      <c r="AR165" s="21" t="n">
        <f aca="false">IF($J165=0,0,MAX(0,NETWORKDAYS(MAX($K165,AR$4),MIN($L165,EOMONTH(AR$4,0)),Assumptions!$F$4:$F$44))/NETWORKDAYS($K165,$L165,Assumptions!$F$4:$F$44))</f>
        <v>0</v>
      </c>
      <c r="AS165" s="21" t="n">
        <f aca="false">IF($J165=0,0,MAX(0,NETWORKDAYS(MAX($K165,AS$4),MIN($L165,EOMONTH(AS$4,0)),Assumptions!$F$4:$F$44))/NETWORKDAYS($K165,$L165,Assumptions!$F$4:$F$44))</f>
        <v>0</v>
      </c>
      <c r="AT165" s="21" t="n">
        <f aca="false">IF($J165=0,0,MAX(0,NETWORKDAYS(MAX($K165,AT$4),MIN($L165,EOMONTH(AT$4,0)),Assumptions!$F$4:$F$44))/NETWORKDAYS($K165,$L165,Assumptions!$F$4:$F$44))</f>
        <v>0</v>
      </c>
      <c r="AU165" s="21" t="n">
        <f aca="false">IF($J165=0,0,MAX(0,NETWORKDAYS(MAX($K165,AU$4),MIN($L165,EOMONTH(AU$4,0)),Assumptions!$F$4:$F$44))/NETWORKDAYS($K165,$L165,Assumptions!$F$4:$F$44))</f>
        <v>0</v>
      </c>
      <c r="AV165" s="21" t="n">
        <f aca="false">IF($J165=0,0,MAX(0,NETWORKDAYS(MAX($K165,AV$4),MIN($L165,EOMONTH(AV$4,0)),Assumptions!$F$4:$F$44))/NETWORKDAYS($K165,$L165,Assumptions!$F$4:$F$44))</f>
        <v>0</v>
      </c>
      <c r="AW165" s="21" t="n">
        <f aca="false">IF($J165=0,0,MAX(0,NETWORKDAYS(MAX($K165,AW$4),MIN($L165,EOMONTH(AW$4,0)),Assumptions!$F$4:$F$44))/NETWORKDAYS($K165,$L165,Assumptions!$F$4:$F$44))</f>
        <v>0</v>
      </c>
      <c r="AX165" s="21" t="n">
        <f aca="false">IF($J165=0,0,MAX(0,NETWORKDAYS(MAX($K165,AX$4),MIN($L165,EOMONTH(AX$4,0)),Assumptions!$F$4:$F$44))/NETWORKDAYS($K165,$L165,Assumptions!$F$4:$F$44))</f>
        <v>0</v>
      </c>
      <c r="AY165" s="21" t="n">
        <f aca="false">IF($J165=0,0,MAX(0,NETWORKDAYS(MAX($K165,AY$4),MIN($L165,EOMONTH(AY$4,0)),Assumptions!$F$4:$F$44))/NETWORKDAYS($K165,$L165,Assumptions!$F$4:$F$44))</f>
        <v>0</v>
      </c>
      <c r="AZ165" s="21" t="n">
        <f aca="false">IF($J165=0,0,MAX(0,NETWORKDAYS(MAX($K165,AZ$4),MIN($L165,EOMONTH(AZ$4,0)),Assumptions!$F$4:$F$44))/NETWORKDAYS($K165,$L165,Assumptions!$F$4:$F$44))</f>
        <v>0</v>
      </c>
      <c r="BA165" s="21" t="n">
        <f aca="false">IF($J165=0,0,MAX(0,NETWORKDAYS(MAX($K165,BA$4),MIN($L165,EOMONTH(BA$4,0)),Assumptions!$F$4:$F$44))/NETWORKDAYS($K165,$L165,Assumptions!$F$4:$F$44))</f>
        <v>0</v>
      </c>
      <c r="BB165" s="21" t="n">
        <f aca="false">IF($J165=0,0,MAX(0,NETWORKDAYS(MAX($K165,BB$4),MIN($L165,EOMONTH(BB$4,0)),Assumptions!$F$4:$F$44))/NETWORKDAYS($K165,$L165,Assumptions!$F$4:$F$44))</f>
        <v>0</v>
      </c>
      <c r="BC165" s="21" t="n">
        <f aca="false">IF($J165=0,0,MAX(0,NETWORKDAYS(MAX($K165,BC$4),MIN($L165,EOMONTH(BC$4,0)),Assumptions!$F$4:$F$44))/NETWORKDAYS($K165,$L165,Assumptions!$F$4:$F$44))</f>
        <v>0</v>
      </c>
    </row>
    <row r="166" customFormat="false" ht="15" hidden="false" customHeight="false" outlineLevel="2" collapsed="false">
      <c r="A166" s="27" t="n">
        <v>162</v>
      </c>
      <c r="B166" s="27" t="s">
        <v>422</v>
      </c>
      <c r="C166" s="27" t="n">
        <v>3</v>
      </c>
      <c r="D166" s="27" t="s">
        <v>92</v>
      </c>
      <c r="E166" s="28" t="s">
        <v>423</v>
      </c>
      <c r="F166" s="27" t="s">
        <v>154</v>
      </c>
      <c r="G166" s="27" t="s">
        <v>411</v>
      </c>
      <c r="H166" s="27" t="s">
        <v>47</v>
      </c>
      <c r="I166" s="29" t="n">
        <v>65</v>
      </c>
      <c r="J166" s="29" t="n">
        <v>31</v>
      </c>
      <c r="K166" s="30" t="n">
        <f aca="false">WORKDAY(Assumptions!$C$4,I166,Assumptions!$F$4:$F$44)</f>
        <v>46419</v>
      </c>
      <c r="L166" s="30" t="n">
        <f aca="false">IF(J166=0,K166,WORKDAY(K166,J166-1,Assumptions!$F$4:$F$44))</f>
        <v>46461</v>
      </c>
      <c r="M166" s="29" t="s">
        <v>424</v>
      </c>
      <c r="N166" s="31" t="n">
        <v>0</v>
      </c>
      <c r="O166" s="31" t="n">
        <v>0</v>
      </c>
      <c r="P166" s="31" t="n">
        <v>0</v>
      </c>
      <c r="Q166" s="31" t="n">
        <v>15</v>
      </c>
      <c r="R166" s="31" t="n">
        <v>0</v>
      </c>
      <c r="S166" s="31" t="n">
        <v>0</v>
      </c>
      <c r="T166" s="31" t="n">
        <v>0</v>
      </c>
      <c r="U166" s="31" t="n">
        <v>0</v>
      </c>
      <c r="V166" s="31" t="n">
        <v>0</v>
      </c>
      <c r="W166" s="31" t="n">
        <v>0</v>
      </c>
      <c r="X166" s="31" t="n">
        <v>0</v>
      </c>
      <c r="Y166" s="32" t="n">
        <f aca="false">SUM(N166:X166)</f>
        <v>15</v>
      </c>
      <c r="Z166" s="32" t="n">
        <f aca="false">Y166*(1+Assumptions!$C$5)</f>
        <v>17.25</v>
      </c>
      <c r="AA166" s="27" t="s">
        <v>325</v>
      </c>
      <c r="AB166" s="27" t="s">
        <v>95</v>
      </c>
      <c r="AC166" s="27"/>
      <c r="AD166" s="33" t="n">
        <v>0</v>
      </c>
      <c r="AF166" s="21" t="n">
        <f aca="false">IF($J166=0,0,MAX(0,NETWORKDAYS(MAX($K166,AF$4),MIN($L166,EOMONTH(AF$4,0)),Assumptions!$F$4:$F$44))/NETWORKDAYS($K166,$L166,Assumptions!$F$4:$F$44))</f>
        <v>0</v>
      </c>
      <c r="AG166" s="21" t="n">
        <f aca="false">IF($J166=0,0,MAX(0,NETWORKDAYS(MAX($K166,AG$4),MIN($L166,EOMONTH(AG$4,0)),Assumptions!$F$4:$F$44))/NETWORKDAYS($K166,$L166,Assumptions!$F$4:$F$44))</f>
        <v>0</v>
      </c>
      <c r="AH166" s="21" t="n">
        <f aca="false">IF($J166=0,0,MAX(0,NETWORKDAYS(MAX($K166,AH$4),MIN($L166,EOMONTH(AH$4,0)),Assumptions!$F$4:$F$44))/NETWORKDAYS($K166,$L166,Assumptions!$F$4:$F$44))</f>
        <v>0</v>
      </c>
      <c r="AI166" s="21" t="n">
        <f aca="false">IF($J166=0,0,MAX(0,NETWORKDAYS(MAX($K166,AI$4),MIN($L166,EOMONTH(AI$4,0)),Assumptions!$F$4:$F$44))/NETWORKDAYS($K166,$L166,Assumptions!$F$4:$F$44))</f>
        <v>0.645161290322581</v>
      </c>
      <c r="AJ166" s="21" t="n">
        <f aca="false">IF($J166=0,0,MAX(0,NETWORKDAYS(MAX($K166,AJ$4),MIN($L166,EOMONTH(AJ$4,0)),Assumptions!$F$4:$F$44))/NETWORKDAYS($K166,$L166,Assumptions!$F$4:$F$44))</f>
        <v>0.354838709677419</v>
      </c>
      <c r="AK166" s="21" t="n">
        <f aca="false">IF($J166=0,0,MAX(0,NETWORKDAYS(MAX($K166,AK$4),MIN($L166,EOMONTH(AK$4,0)),Assumptions!$F$4:$F$44))/NETWORKDAYS($K166,$L166,Assumptions!$F$4:$F$44))</f>
        <v>0</v>
      </c>
      <c r="AL166" s="21" t="n">
        <f aca="false">IF($J166=0,0,MAX(0,NETWORKDAYS(MAX($K166,AL$4),MIN($L166,EOMONTH(AL$4,0)),Assumptions!$F$4:$F$44))/NETWORKDAYS($K166,$L166,Assumptions!$F$4:$F$44))</f>
        <v>0</v>
      </c>
      <c r="AM166" s="21" t="n">
        <f aca="false">IF($J166=0,0,MAX(0,NETWORKDAYS(MAX($K166,AM$4),MIN($L166,EOMONTH(AM$4,0)),Assumptions!$F$4:$F$44))/NETWORKDAYS($K166,$L166,Assumptions!$F$4:$F$44))</f>
        <v>0</v>
      </c>
      <c r="AN166" s="21" t="n">
        <f aca="false">IF($J166=0,0,MAX(0,NETWORKDAYS(MAX($K166,AN$4),MIN($L166,EOMONTH(AN$4,0)),Assumptions!$F$4:$F$44))/NETWORKDAYS($K166,$L166,Assumptions!$F$4:$F$44))</f>
        <v>0</v>
      </c>
      <c r="AO166" s="21" t="n">
        <f aca="false">IF($J166=0,0,MAX(0,NETWORKDAYS(MAX($K166,AO$4),MIN($L166,EOMONTH(AO$4,0)),Assumptions!$F$4:$F$44))/NETWORKDAYS($K166,$L166,Assumptions!$F$4:$F$44))</f>
        <v>0</v>
      </c>
      <c r="AP166" s="21" t="n">
        <f aca="false">IF($J166=0,0,MAX(0,NETWORKDAYS(MAX($K166,AP$4),MIN($L166,EOMONTH(AP$4,0)),Assumptions!$F$4:$F$44))/NETWORKDAYS($K166,$L166,Assumptions!$F$4:$F$44))</f>
        <v>0</v>
      </c>
      <c r="AQ166" s="21" t="n">
        <f aca="false">IF($J166=0,0,MAX(0,NETWORKDAYS(MAX($K166,AQ$4),MIN($L166,EOMONTH(AQ$4,0)),Assumptions!$F$4:$F$44))/NETWORKDAYS($K166,$L166,Assumptions!$F$4:$F$44))</f>
        <v>0</v>
      </c>
      <c r="AR166" s="21" t="n">
        <f aca="false">IF($J166=0,0,MAX(0,NETWORKDAYS(MAX($K166,AR$4),MIN($L166,EOMONTH(AR$4,0)),Assumptions!$F$4:$F$44))/NETWORKDAYS($K166,$L166,Assumptions!$F$4:$F$44))</f>
        <v>0</v>
      </c>
      <c r="AS166" s="21" t="n">
        <f aca="false">IF($J166=0,0,MAX(0,NETWORKDAYS(MAX($K166,AS$4),MIN($L166,EOMONTH(AS$4,0)),Assumptions!$F$4:$F$44))/NETWORKDAYS($K166,$L166,Assumptions!$F$4:$F$44))</f>
        <v>0</v>
      </c>
      <c r="AT166" s="21" t="n">
        <f aca="false">IF($J166=0,0,MAX(0,NETWORKDAYS(MAX($K166,AT$4),MIN($L166,EOMONTH(AT$4,0)),Assumptions!$F$4:$F$44))/NETWORKDAYS($K166,$L166,Assumptions!$F$4:$F$44))</f>
        <v>0</v>
      </c>
      <c r="AU166" s="21" t="n">
        <f aca="false">IF($J166=0,0,MAX(0,NETWORKDAYS(MAX($K166,AU$4),MIN($L166,EOMONTH(AU$4,0)),Assumptions!$F$4:$F$44))/NETWORKDAYS($K166,$L166,Assumptions!$F$4:$F$44))</f>
        <v>0</v>
      </c>
      <c r="AV166" s="21" t="n">
        <f aca="false">IF($J166=0,0,MAX(0,NETWORKDAYS(MAX($K166,AV$4),MIN($L166,EOMONTH(AV$4,0)),Assumptions!$F$4:$F$44))/NETWORKDAYS($K166,$L166,Assumptions!$F$4:$F$44))</f>
        <v>0</v>
      </c>
      <c r="AW166" s="21" t="n">
        <f aca="false">IF($J166=0,0,MAX(0,NETWORKDAYS(MAX($K166,AW$4),MIN($L166,EOMONTH(AW$4,0)),Assumptions!$F$4:$F$44))/NETWORKDAYS($K166,$L166,Assumptions!$F$4:$F$44))</f>
        <v>0</v>
      </c>
      <c r="AX166" s="21" t="n">
        <f aca="false">IF($J166=0,0,MAX(0,NETWORKDAYS(MAX($K166,AX$4),MIN($L166,EOMONTH(AX$4,0)),Assumptions!$F$4:$F$44))/NETWORKDAYS($K166,$L166,Assumptions!$F$4:$F$44))</f>
        <v>0</v>
      </c>
      <c r="AY166" s="21" t="n">
        <f aca="false">IF($J166=0,0,MAX(0,NETWORKDAYS(MAX($K166,AY$4),MIN($L166,EOMONTH(AY$4,0)),Assumptions!$F$4:$F$44))/NETWORKDAYS($K166,$L166,Assumptions!$F$4:$F$44))</f>
        <v>0</v>
      </c>
      <c r="AZ166" s="21" t="n">
        <f aca="false">IF($J166=0,0,MAX(0,NETWORKDAYS(MAX($K166,AZ$4),MIN($L166,EOMONTH(AZ$4,0)),Assumptions!$F$4:$F$44))/NETWORKDAYS($K166,$L166,Assumptions!$F$4:$F$44))</f>
        <v>0</v>
      </c>
      <c r="BA166" s="21" t="n">
        <f aca="false">IF($J166=0,0,MAX(0,NETWORKDAYS(MAX($K166,BA$4),MIN($L166,EOMONTH(BA$4,0)),Assumptions!$F$4:$F$44))/NETWORKDAYS($K166,$L166,Assumptions!$F$4:$F$44))</f>
        <v>0</v>
      </c>
      <c r="BB166" s="21" t="n">
        <f aca="false">IF($J166=0,0,MAX(0,NETWORKDAYS(MAX($K166,BB$4),MIN($L166,EOMONTH(BB$4,0)),Assumptions!$F$4:$F$44))/NETWORKDAYS($K166,$L166,Assumptions!$F$4:$F$44))</f>
        <v>0</v>
      </c>
      <c r="BC166" s="21" t="n">
        <f aca="false">IF($J166=0,0,MAX(0,NETWORKDAYS(MAX($K166,BC$4),MIN($L166,EOMONTH(BC$4,0)),Assumptions!$F$4:$F$44))/NETWORKDAYS($K166,$L166,Assumptions!$F$4:$F$44))</f>
        <v>0</v>
      </c>
    </row>
    <row r="167" customFormat="false" ht="15" hidden="false" customHeight="false" outlineLevel="2" collapsed="false">
      <c r="A167" s="27" t="n">
        <v>163</v>
      </c>
      <c r="B167" s="27" t="s">
        <v>425</v>
      </c>
      <c r="C167" s="27" t="n">
        <v>3</v>
      </c>
      <c r="D167" s="27" t="s">
        <v>92</v>
      </c>
      <c r="E167" s="28" t="s">
        <v>426</v>
      </c>
      <c r="F167" s="27" t="s">
        <v>154</v>
      </c>
      <c r="G167" s="27" t="s">
        <v>411</v>
      </c>
      <c r="H167" s="27" t="s">
        <v>47</v>
      </c>
      <c r="I167" s="29" t="n">
        <v>59</v>
      </c>
      <c r="J167" s="29" t="n">
        <v>37</v>
      </c>
      <c r="K167" s="30" t="n">
        <f aca="false">WORKDAY(Assumptions!$C$4,I167,Assumptions!$F$4:$F$44)</f>
        <v>46409</v>
      </c>
      <c r="L167" s="30" t="n">
        <f aca="false">IF(J167=0,K167,WORKDAY(K167,J167-1,Assumptions!$F$4:$F$44))</f>
        <v>46461</v>
      </c>
      <c r="M167" s="29" t="s">
        <v>418</v>
      </c>
      <c r="N167" s="31" t="n">
        <v>0</v>
      </c>
      <c r="O167" s="31" t="n">
        <v>0</v>
      </c>
      <c r="P167" s="31" t="n">
        <v>0</v>
      </c>
      <c r="Q167" s="31" t="n">
        <v>25</v>
      </c>
      <c r="R167" s="31" t="n">
        <v>0</v>
      </c>
      <c r="S167" s="31" t="n">
        <v>0</v>
      </c>
      <c r="T167" s="31" t="n">
        <v>0</v>
      </c>
      <c r="U167" s="31" t="n">
        <v>0</v>
      </c>
      <c r="V167" s="31" t="n">
        <v>5</v>
      </c>
      <c r="W167" s="31" t="n">
        <v>0</v>
      </c>
      <c r="X167" s="31" t="n">
        <v>0</v>
      </c>
      <c r="Y167" s="32" t="n">
        <f aca="false">SUM(N167:X167)</f>
        <v>30</v>
      </c>
      <c r="Z167" s="32" t="n">
        <f aca="false">Y167*(1+Assumptions!$C$5)</f>
        <v>34.5</v>
      </c>
      <c r="AA167" s="27" t="s">
        <v>328</v>
      </c>
      <c r="AB167" s="27" t="s">
        <v>95</v>
      </c>
      <c r="AC167" s="27"/>
      <c r="AD167" s="33" t="n">
        <v>0</v>
      </c>
      <c r="AF167" s="21" t="n">
        <f aca="false">IF($J167=0,0,MAX(0,NETWORKDAYS(MAX($K167,AF$4),MIN($L167,EOMONTH(AF$4,0)),Assumptions!$F$4:$F$44))/NETWORKDAYS($K167,$L167,Assumptions!$F$4:$F$44))</f>
        <v>0</v>
      </c>
      <c r="AG167" s="21" t="n">
        <f aca="false">IF($J167=0,0,MAX(0,NETWORKDAYS(MAX($K167,AG$4),MIN($L167,EOMONTH(AG$4,0)),Assumptions!$F$4:$F$44))/NETWORKDAYS($K167,$L167,Assumptions!$F$4:$F$44))</f>
        <v>0</v>
      </c>
      <c r="AH167" s="21" t="n">
        <f aca="false">IF($J167=0,0,MAX(0,NETWORKDAYS(MAX($K167,AH$4),MIN($L167,EOMONTH(AH$4,0)),Assumptions!$F$4:$F$44))/NETWORKDAYS($K167,$L167,Assumptions!$F$4:$F$44))</f>
        <v>0.162162162162162</v>
      </c>
      <c r="AI167" s="21" t="n">
        <f aca="false">IF($J167=0,0,MAX(0,NETWORKDAYS(MAX($K167,AI$4),MIN($L167,EOMONTH(AI$4,0)),Assumptions!$F$4:$F$44))/NETWORKDAYS($K167,$L167,Assumptions!$F$4:$F$44))</f>
        <v>0.540540540540541</v>
      </c>
      <c r="AJ167" s="21" t="n">
        <f aca="false">IF($J167=0,0,MAX(0,NETWORKDAYS(MAX($K167,AJ$4),MIN($L167,EOMONTH(AJ$4,0)),Assumptions!$F$4:$F$44))/NETWORKDAYS($K167,$L167,Assumptions!$F$4:$F$44))</f>
        <v>0.297297297297297</v>
      </c>
      <c r="AK167" s="21" t="n">
        <f aca="false">IF($J167=0,0,MAX(0,NETWORKDAYS(MAX($K167,AK$4),MIN($L167,EOMONTH(AK$4,0)),Assumptions!$F$4:$F$44))/NETWORKDAYS($K167,$L167,Assumptions!$F$4:$F$44))</f>
        <v>0</v>
      </c>
      <c r="AL167" s="21" t="n">
        <f aca="false">IF($J167=0,0,MAX(0,NETWORKDAYS(MAX($K167,AL$4),MIN($L167,EOMONTH(AL$4,0)),Assumptions!$F$4:$F$44))/NETWORKDAYS($K167,$L167,Assumptions!$F$4:$F$44))</f>
        <v>0</v>
      </c>
      <c r="AM167" s="21" t="n">
        <f aca="false">IF($J167=0,0,MAX(0,NETWORKDAYS(MAX($K167,AM$4),MIN($L167,EOMONTH(AM$4,0)),Assumptions!$F$4:$F$44))/NETWORKDAYS($K167,$L167,Assumptions!$F$4:$F$44))</f>
        <v>0</v>
      </c>
      <c r="AN167" s="21" t="n">
        <f aca="false">IF($J167=0,0,MAX(0,NETWORKDAYS(MAX($K167,AN$4),MIN($L167,EOMONTH(AN$4,0)),Assumptions!$F$4:$F$44))/NETWORKDAYS($K167,$L167,Assumptions!$F$4:$F$44))</f>
        <v>0</v>
      </c>
      <c r="AO167" s="21" t="n">
        <f aca="false">IF($J167=0,0,MAX(0,NETWORKDAYS(MAX($K167,AO$4),MIN($L167,EOMONTH(AO$4,0)),Assumptions!$F$4:$F$44))/NETWORKDAYS($K167,$L167,Assumptions!$F$4:$F$44))</f>
        <v>0</v>
      </c>
      <c r="AP167" s="21" t="n">
        <f aca="false">IF($J167=0,0,MAX(0,NETWORKDAYS(MAX($K167,AP$4),MIN($L167,EOMONTH(AP$4,0)),Assumptions!$F$4:$F$44))/NETWORKDAYS($K167,$L167,Assumptions!$F$4:$F$44))</f>
        <v>0</v>
      </c>
      <c r="AQ167" s="21" t="n">
        <f aca="false">IF($J167=0,0,MAX(0,NETWORKDAYS(MAX($K167,AQ$4),MIN($L167,EOMONTH(AQ$4,0)),Assumptions!$F$4:$F$44))/NETWORKDAYS($K167,$L167,Assumptions!$F$4:$F$44))</f>
        <v>0</v>
      </c>
      <c r="AR167" s="21" t="n">
        <f aca="false">IF($J167=0,0,MAX(0,NETWORKDAYS(MAX($K167,AR$4),MIN($L167,EOMONTH(AR$4,0)),Assumptions!$F$4:$F$44))/NETWORKDAYS($K167,$L167,Assumptions!$F$4:$F$44))</f>
        <v>0</v>
      </c>
      <c r="AS167" s="21" t="n">
        <f aca="false">IF($J167=0,0,MAX(0,NETWORKDAYS(MAX($K167,AS$4),MIN($L167,EOMONTH(AS$4,0)),Assumptions!$F$4:$F$44))/NETWORKDAYS($K167,$L167,Assumptions!$F$4:$F$44))</f>
        <v>0</v>
      </c>
      <c r="AT167" s="21" t="n">
        <f aca="false">IF($J167=0,0,MAX(0,NETWORKDAYS(MAX($K167,AT$4),MIN($L167,EOMONTH(AT$4,0)),Assumptions!$F$4:$F$44))/NETWORKDAYS($K167,$L167,Assumptions!$F$4:$F$44))</f>
        <v>0</v>
      </c>
      <c r="AU167" s="21" t="n">
        <f aca="false">IF($J167=0,0,MAX(0,NETWORKDAYS(MAX($K167,AU$4),MIN($L167,EOMONTH(AU$4,0)),Assumptions!$F$4:$F$44))/NETWORKDAYS($K167,$L167,Assumptions!$F$4:$F$44))</f>
        <v>0</v>
      </c>
      <c r="AV167" s="21" t="n">
        <f aca="false">IF($J167=0,0,MAX(0,NETWORKDAYS(MAX($K167,AV$4),MIN($L167,EOMONTH(AV$4,0)),Assumptions!$F$4:$F$44))/NETWORKDAYS($K167,$L167,Assumptions!$F$4:$F$44))</f>
        <v>0</v>
      </c>
      <c r="AW167" s="21" t="n">
        <f aca="false">IF($J167=0,0,MAX(0,NETWORKDAYS(MAX($K167,AW$4),MIN($L167,EOMONTH(AW$4,0)),Assumptions!$F$4:$F$44))/NETWORKDAYS($K167,$L167,Assumptions!$F$4:$F$44))</f>
        <v>0</v>
      </c>
      <c r="AX167" s="21" t="n">
        <f aca="false">IF($J167=0,0,MAX(0,NETWORKDAYS(MAX($K167,AX$4),MIN($L167,EOMONTH(AX$4,0)),Assumptions!$F$4:$F$44))/NETWORKDAYS($K167,$L167,Assumptions!$F$4:$F$44))</f>
        <v>0</v>
      </c>
      <c r="AY167" s="21" t="n">
        <f aca="false">IF($J167=0,0,MAX(0,NETWORKDAYS(MAX($K167,AY$4),MIN($L167,EOMONTH(AY$4,0)),Assumptions!$F$4:$F$44))/NETWORKDAYS($K167,$L167,Assumptions!$F$4:$F$44))</f>
        <v>0</v>
      </c>
      <c r="AZ167" s="21" t="n">
        <f aca="false">IF($J167=0,0,MAX(0,NETWORKDAYS(MAX($K167,AZ$4),MIN($L167,EOMONTH(AZ$4,0)),Assumptions!$F$4:$F$44))/NETWORKDAYS($K167,$L167,Assumptions!$F$4:$F$44))</f>
        <v>0</v>
      </c>
      <c r="BA167" s="21" t="n">
        <f aca="false">IF($J167=0,0,MAX(0,NETWORKDAYS(MAX($K167,BA$4),MIN($L167,EOMONTH(BA$4,0)),Assumptions!$F$4:$F$44))/NETWORKDAYS($K167,$L167,Assumptions!$F$4:$F$44))</f>
        <v>0</v>
      </c>
      <c r="BB167" s="21" t="n">
        <f aca="false">IF($J167=0,0,MAX(0,NETWORKDAYS(MAX($K167,BB$4),MIN($L167,EOMONTH(BB$4,0)),Assumptions!$F$4:$F$44))/NETWORKDAYS($K167,$L167,Assumptions!$F$4:$F$44))</f>
        <v>0</v>
      </c>
      <c r="BC167" s="21" t="n">
        <f aca="false">IF($J167=0,0,MAX(0,NETWORKDAYS(MAX($K167,BC$4),MIN($L167,EOMONTH(BC$4,0)),Assumptions!$F$4:$F$44))/NETWORKDAYS($K167,$L167,Assumptions!$F$4:$F$44))</f>
        <v>0</v>
      </c>
    </row>
    <row r="168" customFormat="false" ht="15" hidden="false" customHeight="false" outlineLevel="2" collapsed="false">
      <c r="A168" s="27" t="n">
        <v>164</v>
      </c>
      <c r="B168" s="27" t="s">
        <v>427</v>
      </c>
      <c r="C168" s="27" t="n">
        <v>3</v>
      </c>
      <c r="D168" s="27" t="s">
        <v>92</v>
      </c>
      <c r="E168" s="28" t="s">
        <v>330</v>
      </c>
      <c r="F168" s="27" t="s">
        <v>154</v>
      </c>
      <c r="G168" s="27" t="s">
        <v>411</v>
      </c>
      <c r="H168" s="27" t="s">
        <v>47</v>
      </c>
      <c r="I168" s="29" t="n">
        <v>76</v>
      </c>
      <c r="J168" s="29" t="n">
        <v>22</v>
      </c>
      <c r="K168" s="30" t="n">
        <f aca="false">WORKDAY(Assumptions!$C$4,I168,Assumptions!$F$4:$F$44)</f>
        <v>46434</v>
      </c>
      <c r="L168" s="30" t="n">
        <f aca="false">IF(J168=0,K168,WORKDAY(K168,J168-1,Assumptions!$F$4:$F$44))</f>
        <v>46463</v>
      </c>
      <c r="M168" s="29" t="s">
        <v>424</v>
      </c>
      <c r="N168" s="31" t="n">
        <v>0</v>
      </c>
      <c r="O168" s="31" t="n">
        <v>3</v>
      </c>
      <c r="P168" s="31" t="n">
        <v>0</v>
      </c>
      <c r="Q168" s="31" t="n">
        <v>6</v>
      </c>
      <c r="R168" s="31" t="n">
        <v>6</v>
      </c>
      <c r="S168" s="31" t="n">
        <v>0</v>
      </c>
      <c r="T168" s="31" t="n">
        <v>0</v>
      </c>
      <c r="U168" s="31" t="n">
        <v>0</v>
      </c>
      <c r="V168" s="31" t="n">
        <v>0</v>
      </c>
      <c r="W168" s="31" t="n">
        <v>0</v>
      </c>
      <c r="X168" s="31" t="n">
        <v>0</v>
      </c>
      <c r="Y168" s="32" t="n">
        <f aca="false">SUM(N168:X168)</f>
        <v>15</v>
      </c>
      <c r="Z168" s="32" t="n">
        <f aca="false">Y168*(1+Assumptions!$C$5)</f>
        <v>17.25</v>
      </c>
      <c r="AA168" s="27" t="s">
        <v>331</v>
      </c>
      <c r="AB168" s="27" t="s">
        <v>95</v>
      </c>
      <c r="AC168" s="27"/>
      <c r="AD168" s="33" t="n">
        <v>0</v>
      </c>
      <c r="AF168" s="21" t="n">
        <f aca="false">IF($J168=0,0,MAX(0,NETWORKDAYS(MAX($K168,AF$4),MIN($L168,EOMONTH(AF$4,0)),Assumptions!$F$4:$F$44))/NETWORKDAYS($K168,$L168,Assumptions!$F$4:$F$44))</f>
        <v>0</v>
      </c>
      <c r="AG168" s="21" t="n">
        <f aca="false">IF($J168=0,0,MAX(0,NETWORKDAYS(MAX($K168,AG$4),MIN($L168,EOMONTH(AG$4,0)),Assumptions!$F$4:$F$44))/NETWORKDAYS($K168,$L168,Assumptions!$F$4:$F$44))</f>
        <v>0</v>
      </c>
      <c r="AH168" s="21" t="n">
        <f aca="false">IF($J168=0,0,MAX(0,NETWORKDAYS(MAX($K168,AH$4),MIN($L168,EOMONTH(AH$4,0)),Assumptions!$F$4:$F$44))/NETWORKDAYS($K168,$L168,Assumptions!$F$4:$F$44))</f>
        <v>0</v>
      </c>
      <c r="AI168" s="21" t="n">
        <f aca="false">IF($J168=0,0,MAX(0,NETWORKDAYS(MAX($K168,AI$4),MIN($L168,EOMONTH(AI$4,0)),Assumptions!$F$4:$F$44))/NETWORKDAYS($K168,$L168,Assumptions!$F$4:$F$44))</f>
        <v>0.409090909090909</v>
      </c>
      <c r="AJ168" s="21" t="n">
        <f aca="false">IF($J168=0,0,MAX(0,NETWORKDAYS(MAX($K168,AJ$4),MIN($L168,EOMONTH(AJ$4,0)),Assumptions!$F$4:$F$44))/NETWORKDAYS($K168,$L168,Assumptions!$F$4:$F$44))</f>
        <v>0.590909090909091</v>
      </c>
      <c r="AK168" s="21" t="n">
        <f aca="false">IF($J168=0,0,MAX(0,NETWORKDAYS(MAX($K168,AK$4),MIN($L168,EOMONTH(AK$4,0)),Assumptions!$F$4:$F$44))/NETWORKDAYS($K168,$L168,Assumptions!$F$4:$F$44))</f>
        <v>0</v>
      </c>
      <c r="AL168" s="21" t="n">
        <f aca="false">IF($J168=0,0,MAX(0,NETWORKDAYS(MAX($K168,AL$4),MIN($L168,EOMONTH(AL$4,0)),Assumptions!$F$4:$F$44))/NETWORKDAYS($K168,$L168,Assumptions!$F$4:$F$44))</f>
        <v>0</v>
      </c>
      <c r="AM168" s="21" t="n">
        <f aca="false">IF($J168=0,0,MAX(0,NETWORKDAYS(MAX($K168,AM$4),MIN($L168,EOMONTH(AM$4,0)),Assumptions!$F$4:$F$44))/NETWORKDAYS($K168,$L168,Assumptions!$F$4:$F$44))</f>
        <v>0</v>
      </c>
      <c r="AN168" s="21" t="n">
        <f aca="false">IF($J168=0,0,MAX(0,NETWORKDAYS(MAX($K168,AN$4),MIN($L168,EOMONTH(AN$4,0)),Assumptions!$F$4:$F$44))/NETWORKDAYS($K168,$L168,Assumptions!$F$4:$F$44))</f>
        <v>0</v>
      </c>
      <c r="AO168" s="21" t="n">
        <f aca="false">IF($J168=0,0,MAX(0,NETWORKDAYS(MAX($K168,AO$4),MIN($L168,EOMONTH(AO$4,0)),Assumptions!$F$4:$F$44))/NETWORKDAYS($K168,$L168,Assumptions!$F$4:$F$44))</f>
        <v>0</v>
      </c>
      <c r="AP168" s="21" t="n">
        <f aca="false">IF($J168=0,0,MAX(0,NETWORKDAYS(MAX($K168,AP$4),MIN($L168,EOMONTH(AP$4,0)),Assumptions!$F$4:$F$44))/NETWORKDAYS($K168,$L168,Assumptions!$F$4:$F$44))</f>
        <v>0</v>
      </c>
      <c r="AQ168" s="21" t="n">
        <f aca="false">IF($J168=0,0,MAX(0,NETWORKDAYS(MAX($K168,AQ$4),MIN($L168,EOMONTH(AQ$4,0)),Assumptions!$F$4:$F$44))/NETWORKDAYS($K168,$L168,Assumptions!$F$4:$F$44))</f>
        <v>0</v>
      </c>
      <c r="AR168" s="21" t="n">
        <f aca="false">IF($J168=0,0,MAX(0,NETWORKDAYS(MAX($K168,AR$4),MIN($L168,EOMONTH(AR$4,0)),Assumptions!$F$4:$F$44))/NETWORKDAYS($K168,$L168,Assumptions!$F$4:$F$44))</f>
        <v>0</v>
      </c>
      <c r="AS168" s="21" t="n">
        <f aca="false">IF($J168=0,0,MAX(0,NETWORKDAYS(MAX($K168,AS$4),MIN($L168,EOMONTH(AS$4,0)),Assumptions!$F$4:$F$44))/NETWORKDAYS($K168,$L168,Assumptions!$F$4:$F$44))</f>
        <v>0</v>
      </c>
      <c r="AT168" s="21" t="n">
        <f aca="false">IF($J168=0,0,MAX(0,NETWORKDAYS(MAX($K168,AT$4),MIN($L168,EOMONTH(AT$4,0)),Assumptions!$F$4:$F$44))/NETWORKDAYS($K168,$L168,Assumptions!$F$4:$F$44))</f>
        <v>0</v>
      </c>
      <c r="AU168" s="21" t="n">
        <f aca="false">IF($J168=0,0,MAX(0,NETWORKDAYS(MAX($K168,AU$4),MIN($L168,EOMONTH(AU$4,0)),Assumptions!$F$4:$F$44))/NETWORKDAYS($K168,$L168,Assumptions!$F$4:$F$44))</f>
        <v>0</v>
      </c>
      <c r="AV168" s="21" t="n">
        <f aca="false">IF($J168=0,0,MAX(0,NETWORKDAYS(MAX($K168,AV$4),MIN($L168,EOMONTH(AV$4,0)),Assumptions!$F$4:$F$44))/NETWORKDAYS($K168,$L168,Assumptions!$F$4:$F$44))</f>
        <v>0</v>
      </c>
      <c r="AW168" s="21" t="n">
        <f aca="false">IF($J168=0,0,MAX(0,NETWORKDAYS(MAX($K168,AW$4),MIN($L168,EOMONTH(AW$4,0)),Assumptions!$F$4:$F$44))/NETWORKDAYS($K168,$L168,Assumptions!$F$4:$F$44))</f>
        <v>0</v>
      </c>
      <c r="AX168" s="21" t="n">
        <f aca="false">IF($J168=0,0,MAX(0,NETWORKDAYS(MAX($K168,AX$4),MIN($L168,EOMONTH(AX$4,0)),Assumptions!$F$4:$F$44))/NETWORKDAYS($K168,$L168,Assumptions!$F$4:$F$44))</f>
        <v>0</v>
      </c>
      <c r="AY168" s="21" t="n">
        <f aca="false">IF($J168=0,0,MAX(0,NETWORKDAYS(MAX($K168,AY$4),MIN($L168,EOMONTH(AY$4,0)),Assumptions!$F$4:$F$44))/NETWORKDAYS($K168,$L168,Assumptions!$F$4:$F$44))</f>
        <v>0</v>
      </c>
      <c r="AZ168" s="21" t="n">
        <f aca="false">IF($J168=0,0,MAX(0,NETWORKDAYS(MAX($K168,AZ$4),MIN($L168,EOMONTH(AZ$4,0)),Assumptions!$F$4:$F$44))/NETWORKDAYS($K168,$L168,Assumptions!$F$4:$F$44))</f>
        <v>0</v>
      </c>
      <c r="BA168" s="21" t="n">
        <f aca="false">IF($J168=0,0,MAX(0,NETWORKDAYS(MAX($K168,BA$4),MIN($L168,EOMONTH(BA$4,0)),Assumptions!$F$4:$F$44))/NETWORKDAYS($K168,$L168,Assumptions!$F$4:$F$44))</f>
        <v>0</v>
      </c>
      <c r="BB168" s="21" t="n">
        <f aca="false">IF($J168=0,0,MAX(0,NETWORKDAYS(MAX($K168,BB$4),MIN($L168,EOMONTH(BB$4,0)),Assumptions!$F$4:$F$44))/NETWORKDAYS($K168,$L168,Assumptions!$F$4:$F$44))</f>
        <v>0</v>
      </c>
      <c r="BC168" s="21" t="n">
        <f aca="false">IF($J168=0,0,MAX(0,NETWORKDAYS(MAX($K168,BC$4),MIN($L168,EOMONTH(BC$4,0)),Assumptions!$F$4:$F$44))/NETWORKDAYS($K168,$L168,Assumptions!$F$4:$F$44))</f>
        <v>0</v>
      </c>
    </row>
    <row r="169" customFormat="false" ht="15" hidden="false" customHeight="false" outlineLevel="2" collapsed="false">
      <c r="A169" s="27" t="n">
        <v>165</v>
      </c>
      <c r="B169" s="27" t="s">
        <v>428</v>
      </c>
      <c r="C169" s="27" t="n">
        <v>3</v>
      </c>
      <c r="D169" s="27" t="s">
        <v>92</v>
      </c>
      <c r="E169" s="28" t="s">
        <v>429</v>
      </c>
      <c r="F169" s="27" t="s">
        <v>154</v>
      </c>
      <c r="G169" s="27" t="s">
        <v>411</v>
      </c>
      <c r="H169" s="27" t="s">
        <v>59</v>
      </c>
      <c r="I169" s="29" t="n">
        <v>54</v>
      </c>
      <c r="J169" s="29" t="n">
        <v>50</v>
      </c>
      <c r="K169" s="30" t="n">
        <f aca="false">WORKDAY(Assumptions!$C$4,I169,Assumptions!$F$4:$F$44)</f>
        <v>46402</v>
      </c>
      <c r="L169" s="30" t="n">
        <f aca="false">IF(J169=0,K169,WORKDAY(K169,J169-1,Assumptions!$F$4:$F$44))</f>
        <v>46471</v>
      </c>
      <c r="M169" s="29" t="s">
        <v>418</v>
      </c>
      <c r="N169" s="31" t="n">
        <v>0</v>
      </c>
      <c r="O169" s="31" t="n">
        <v>3</v>
      </c>
      <c r="P169" s="31" t="n">
        <v>0</v>
      </c>
      <c r="Q169" s="31" t="n">
        <v>0</v>
      </c>
      <c r="R169" s="31" t="n">
        <v>0</v>
      </c>
      <c r="S169" s="31" t="n">
        <v>0</v>
      </c>
      <c r="T169" s="31" t="n">
        <v>0</v>
      </c>
      <c r="U169" s="31" t="n">
        <v>0</v>
      </c>
      <c r="V169" s="31" t="n">
        <v>0</v>
      </c>
      <c r="W169" s="31" t="n">
        <v>18</v>
      </c>
      <c r="X169" s="31" t="n">
        <v>0</v>
      </c>
      <c r="Y169" s="32" t="n">
        <f aca="false">SUM(N169:X169)</f>
        <v>21</v>
      </c>
      <c r="Z169" s="32" t="n">
        <f aca="false">Y169*(1+Assumptions!$C$5)</f>
        <v>24.15</v>
      </c>
      <c r="AA169" s="27" t="s">
        <v>334</v>
      </c>
      <c r="AB169" s="27" t="s">
        <v>95</v>
      </c>
      <c r="AC169" s="27"/>
      <c r="AD169" s="33" t="n">
        <v>0</v>
      </c>
      <c r="AF169" s="21" t="n">
        <f aca="false">IF($J169=0,0,MAX(0,NETWORKDAYS(MAX($K169,AF$4),MIN($L169,EOMONTH(AF$4,0)),Assumptions!$F$4:$F$44))/NETWORKDAYS($K169,$L169,Assumptions!$F$4:$F$44))</f>
        <v>0</v>
      </c>
      <c r="AG169" s="21" t="n">
        <f aca="false">IF($J169=0,0,MAX(0,NETWORKDAYS(MAX($K169,AG$4),MIN($L169,EOMONTH(AG$4,0)),Assumptions!$F$4:$F$44))/NETWORKDAYS($K169,$L169,Assumptions!$F$4:$F$44))</f>
        <v>0</v>
      </c>
      <c r="AH169" s="21" t="n">
        <f aca="false">IF($J169=0,0,MAX(0,NETWORKDAYS(MAX($K169,AH$4),MIN($L169,EOMONTH(AH$4,0)),Assumptions!$F$4:$F$44))/NETWORKDAYS($K169,$L169,Assumptions!$F$4:$F$44))</f>
        <v>0.22</v>
      </c>
      <c r="AI169" s="21" t="n">
        <f aca="false">IF($J169=0,0,MAX(0,NETWORKDAYS(MAX($K169,AI$4),MIN($L169,EOMONTH(AI$4,0)),Assumptions!$F$4:$F$44))/NETWORKDAYS($K169,$L169,Assumptions!$F$4:$F$44))</f>
        <v>0.4</v>
      </c>
      <c r="AJ169" s="21" t="n">
        <f aca="false">IF($J169=0,0,MAX(0,NETWORKDAYS(MAX($K169,AJ$4),MIN($L169,EOMONTH(AJ$4,0)),Assumptions!$F$4:$F$44))/NETWORKDAYS($K169,$L169,Assumptions!$F$4:$F$44))</f>
        <v>0.38</v>
      </c>
      <c r="AK169" s="21" t="n">
        <f aca="false">IF($J169=0,0,MAX(0,NETWORKDAYS(MAX($K169,AK$4),MIN($L169,EOMONTH(AK$4,0)),Assumptions!$F$4:$F$44))/NETWORKDAYS($K169,$L169,Assumptions!$F$4:$F$44))</f>
        <v>0</v>
      </c>
      <c r="AL169" s="21" t="n">
        <f aca="false">IF($J169=0,0,MAX(0,NETWORKDAYS(MAX($K169,AL$4),MIN($L169,EOMONTH(AL$4,0)),Assumptions!$F$4:$F$44))/NETWORKDAYS($K169,$L169,Assumptions!$F$4:$F$44))</f>
        <v>0</v>
      </c>
      <c r="AM169" s="21" t="n">
        <f aca="false">IF($J169=0,0,MAX(0,NETWORKDAYS(MAX($K169,AM$4),MIN($L169,EOMONTH(AM$4,0)),Assumptions!$F$4:$F$44))/NETWORKDAYS($K169,$L169,Assumptions!$F$4:$F$44))</f>
        <v>0</v>
      </c>
      <c r="AN169" s="21" t="n">
        <f aca="false">IF($J169=0,0,MAX(0,NETWORKDAYS(MAX($K169,AN$4),MIN($L169,EOMONTH(AN$4,0)),Assumptions!$F$4:$F$44))/NETWORKDAYS($K169,$L169,Assumptions!$F$4:$F$44))</f>
        <v>0</v>
      </c>
      <c r="AO169" s="21" t="n">
        <f aca="false">IF($J169=0,0,MAX(0,NETWORKDAYS(MAX($K169,AO$4),MIN($L169,EOMONTH(AO$4,0)),Assumptions!$F$4:$F$44))/NETWORKDAYS($K169,$L169,Assumptions!$F$4:$F$44))</f>
        <v>0</v>
      </c>
      <c r="AP169" s="21" t="n">
        <f aca="false">IF($J169=0,0,MAX(0,NETWORKDAYS(MAX($K169,AP$4),MIN($L169,EOMONTH(AP$4,0)),Assumptions!$F$4:$F$44))/NETWORKDAYS($K169,$L169,Assumptions!$F$4:$F$44))</f>
        <v>0</v>
      </c>
      <c r="AQ169" s="21" t="n">
        <f aca="false">IF($J169=0,0,MAX(0,NETWORKDAYS(MAX($K169,AQ$4),MIN($L169,EOMONTH(AQ$4,0)),Assumptions!$F$4:$F$44))/NETWORKDAYS($K169,$L169,Assumptions!$F$4:$F$44))</f>
        <v>0</v>
      </c>
      <c r="AR169" s="21" t="n">
        <f aca="false">IF($J169=0,0,MAX(0,NETWORKDAYS(MAX($K169,AR$4),MIN($L169,EOMONTH(AR$4,0)),Assumptions!$F$4:$F$44))/NETWORKDAYS($K169,$L169,Assumptions!$F$4:$F$44))</f>
        <v>0</v>
      </c>
      <c r="AS169" s="21" t="n">
        <f aca="false">IF($J169=0,0,MAX(0,NETWORKDAYS(MAX($K169,AS$4),MIN($L169,EOMONTH(AS$4,0)),Assumptions!$F$4:$F$44))/NETWORKDAYS($K169,$L169,Assumptions!$F$4:$F$44))</f>
        <v>0</v>
      </c>
      <c r="AT169" s="21" t="n">
        <f aca="false">IF($J169=0,0,MAX(0,NETWORKDAYS(MAX($K169,AT$4),MIN($L169,EOMONTH(AT$4,0)),Assumptions!$F$4:$F$44))/NETWORKDAYS($K169,$L169,Assumptions!$F$4:$F$44))</f>
        <v>0</v>
      </c>
      <c r="AU169" s="21" t="n">
        <f aca="false">IF($J169=0,0,MAX(0,NETWORKDAYS(MAX($K169,AU$4),MIN($L169,EOMONTH(AU$4,0)),Assumptions!$F$4:$F$44))/NETWORKDAYS($K169,$L169,Assumptions!$F$4:$F$44))</f>
        <v>0</v>
      </c>
      <c r="AV169" s="21" t="n">
        <f aca="false">IF($J169=0,0,MAX(0,NETWORKDAYS(MAX($K169,AV$4),MIN($L169,EOMONTH(AV$4,0)),Assumptions!$F$4:$F$44))/NETWORKDAYS($K169,$L169,Assumptions!$F$4:$F$44))</f>
        <v>0</v>
      </c>
      <c r="AW169" s="21" t="n">
        <f aca="false">IF($J169=0,0,MAX(0,NETWORKDAYS(MAX($K169,AW$4),MIN($L169,EOMONTH(AW$4,0)),Assumptions!$F$4:$F$44))/NETWORKDAYS($K169,$L169,Assumptions!$F$4:$F$44))</f>
        <v>0</v>
      </c>
      <c r="AX169" s="21" t="n">
        <f aca="false">IF($J169=0,0,MAX(0,NETWORKDAYS(MAX($K169,AX$4),MIN($L169,EOMONTH(AX$4,0)),Assumptions!$F$4:$F$44))/NETWORKDAYS($K169,$L169,Assumptions!$F$4:$F$44))</f>
        <v>0</v>
      </c>
      <c r="AY169" s="21" t="n">
        <f aca="false">IF($J169=0,0,MAX(0,NETWORKDAYS(MAX($K169,AY$4),MIN($L169,EOMONTH(AY$4,0)),Assumptions!$F$4:$F$44))/NETWORKDAYS($K169,$L169,Assumptions!$F$4:$F$44))</f>
        <v>0</v>
      </c>
      <c r="AZ169" s="21" t="n">
        <f aca="false">IF($J169=0,0,MAX(0,NETWORKDAYS(MAX($K169,AZ$4),MIN($L169,EOMONTH(AZ$4,0)),Assumptions!$F$4:$F$44))/NETWORKDAYS($K169,$L169,Assumptions!$F$4:$F$44))</f>
        <v>0</v>
      </c>
      <c r="BA169" s="21" t="n">
        <f aca="false">IF($J169=0,0,MAX(0,NETWORKDAYS(MAX($K169,BA$4),MIN($L169,EOMONTH(BA$4,0)),Assumptions!$F$4:$F$44))/NETWORKDAYS($K169,$L169,Assumptions!$F$4:$F$44))</f>
        <v>0</v>
      </c>
      <c r="BB169" s="21" t="n">
        <f aca="false">IF($J169=0,0,MAX(0,NETWORKDAYS(MAX($K169,BB$4),MIN($L169,EOMONTH(BB$4,0)),Assumptions!$F$4:$F$44))/NETWORKDAYS($K169,$L169,Assumptions!$F$4:$F$44))</f>
        <v>0</v>
      </c>
      <c r="BC169" s="21" t="n">
        <f aca="false">IF($J169=0,0,MAX(0,NETWORKDAYS(MAX($K169,BC$4),MIN($L169,EOMONTH(BC$4,0)),Assumptions!$F$4:$F$44))/NETWORKDAYS($K169,$L169,Assumptions!$F$4:$F$44))</f>
        <v>0</v>
      </c>
    </row>
    <row r="170" customFormat="false" ht="15" hidden="false" customHeight="false" outlineLevel="2" collapsed="false">
      <c r="A170" s="27" t="n">
        <v>166</v>
      </c>
      <c r="B170" s="27" t="s">
        <v>430</v>
      </c>
      <c r="C170" s="27" t="n">
        <v>3</v>
      </c>
      <c r="D170" s="27" t="s">
        <v>92</v>
      </c>
      <c r="E170" s="28" t="s">
        <v>336</v>
      </c>
      <c r="F170" s="27" t="s">
        <v>154</v>
      </c>
      <c r="G170" s="27" t="s">
        <v>411</v>
      </c>
      <c r="H170" s="27" t="s">
        <v>57</v>
      </c>
      <c r="I170" s="29" t="n">
        <v>89</v>
      </c>
      <c r="J170" s="29" t="n">
        <v>18</v>
      </c>
      <c r="K170" s="30" t="n">
        <f aca="false">WORKDAY(Assumptions!$C$4,I170,Assumptions!$F$4:$F$44)</f>
        <v>46451</v>
      </c>
      <c r="L170" s="30" t="n">
        <f aca="false">IF(J170=0,K170,WORKDAY(K170,J170-1,Assumptions!$F$4:$F$44))</f>
        <v>46476</v>
      </c>
      <c r="M170" s="29" t="s">
        <v>431</v>
      </c>
      <c r="N170" s="31" t="n">
        <v>0</v>
      </c>
      <c r="O170" s="31" t="n">
        <v>0</v>
      </c>
      <c r="P170" s="31" t="n">
        <v>0</v>
      </c>
      <c r="Q170" s="31" t="n">
        <v>0</v>
      </c>
      <c r="R170" s="31" t="n">
        <v>0</v>
      </c>
      <c r="S170" s="31" t="n">
        <v>0</v>
      </c>
      <c r="T170" s="31" t="n">
        <v>0</v>
      </c>
      <c r="U170" s="31" t="n">
        <v>0</v>
      </c>
      <c r="V170" s="31" t="n">
        <v>30</v>
      </c>
      <c r="W170" s="31" t="n">
        <v>0</v>
      </c>
      <c r="X170" s="31" t="n">
        <v>0</v>
      </c>
      <c r="Y170" s="32" t="n">
        <f aca="false">SUM(N170:X170)</f>
        <v>30</v>
      </c>
      <c r="Z170" s="32" t="n">
        <f aca="false">Y170*(1+Assumptions!$C$5)</f>
        <v>34.5</v>
      </c>
      <c r="AA170" s="27" t="s">
        <v>338</v>
      </c>
      <c r="AB170" s="27" t="s">
        <v>95</v>
      </c>
      <c r="AC170" s="27"/>
      <c r="AD170" s="33" t="n">
        <v>0</v>
      </c>
      <c r="AF170" s="21" t="n">
        <f aca="false">IF($J170=0,0,MAX(0,NETWORKDAYS(MAX($K170,AF$4),MIN($L170,EOMONTH(AF$4,0)),Assumptions!$F$4:$F$44))/NETWORKDAYS($K170,$L170,Assumptions!$F$4:$F$44))</f>
        <v>0</v>
      </c>
      <c r="AG170" s="21" t="n">
        <f aca="false">IF($J170=0,0,MAX(0,NETWORKDAYS(MAX($K170,AG$4),MIN($L170,EOMONTH(AG$4,0)),Assumptions!$F$4:$F$44))/NETWORKDAYS($K170,$L170,Assumptions!$F$4:$F$44))</f>
        <v>0</v>
      </c>
      <c r="AH170" s="21" t="n">
        <f aca="false">IF($J170=0,0,MAX(0,NETWORKDAYS(MAX($K170,AH$4),MIN($L170,EOMONTH(AH$4,0)),Assumptions!$F$4:$F$44))/NETWORKDAYS($K170,$L170,Assumptions!$F$4:$F$44))</f>
        <v>0</v>
      </c>
      <c r="AI170" s="21" t="n">
        <f aca="false">IF($J170=0,0,MAX(0,NETWORKDAYS(MAX($K170,AI$4),MIN($L170,EOMONTH(AI$4,0)),Assumptions!$F$4:$F$44))/NETWORKDAYS($K170,$L170,Assumptions!$F$4:$F$44))</f>
        <v>0</v>
      </c>
      <c r="AJ170" s="21" t="n">
        <f aca="false">IF($J170=0,0,MAX(0,NETWORKDAYS(MAX($K170,AJ$4),MIN($L170,EOMONTH(AJ$4,0)),Assumptions!$F$4:$F$44))/NETWORKDAYS($K170,$L170,Assumptions!$F$4:$F$44))</f>
        <v>1</v>
      </c>
      <c r="AK170" s="21" t="n">
        <f aca="false">IF($J170=0,0,MAX(0,NETWORKDAYS(MAX($K170,AK$4),MIN($L170,EOMONTH(AK$4,0)),Assumptions!$F$4:$F$44))/NETWORKDAYS($K170,$L170,Assumptions!$F$4:$F$44))</f>
        <v>0</v>
      </c>
      <c r="AL170" s="21" t="n">
        <f aca="false">IF($J170=0,0,MAX(0,NETWORKDAYS(MAX($K170,AL$4),MIN($L170,EOMONTH(AL$4,0)),Assumptions!$F$4:$F$44))/NETWORKDAYS($K170,$L170,Assumptions!$F$4:$F$44))</f>
        <v>0</v>
      </c>
      <c r="AM170" s="21" t="n">
        <f aca="false">IF($J170=0,0,MAX(0,NETWORKDAYS(MAX($K170,AM$4),MIN($L170,EOMONTH(AM$4,0)),Assumptions!$F$4:$F$44))/NETWORKDAYS($K170,$L170,Assumptions!$F$4:$F$44))</f>
        <v>0</v>
      </c>
      <c r="AN170" s="21" t="n">
        <f aca="false">IF($J170=0,0,MAX(0,NETWORKDAYS(MAX($K170,AN$4),MIN($L170,EOMONTH(AN$4,0)),Assumptions!$F$4:$F$44))/NETWORKDAYS($K170,$L170,Assumptions!$F$4:$F$44))</f>
        <v>0</v>
      </c>
      <c r="AO170" s="21" t="n">
        <f aca="false">IF($J170=0,0,MAX(0,NETWORKDAYS(MAX($K170,AO$4),MIN($L170,EOMONTH(AO$4,0)),Assumptions!$F$4:$F$44))/NETWORKDAYS($K170,$L170,Assumptions!$F$4:$F$44))</f>
        <v>0</v>
      </c>
      <c r="AP170" s="21" t="n">
        <f aca="false">IF($J170=0,0,MAX(0,NETWORKDAYS(MAX($K170,AP$4),MIN($L170,EOMONTH(AP$4,0)),Assumptions!$F$4:$F$44))/NETWORKDAYS($K170,$L170,Assumptions!$F$4:$F$44))</f>
        <v>0</v>
      </c>
      <c r="AQ170" s="21" t="n">
        <f aca="false">IF($J170=0,0,MAX(0,NETWORKDAYS(MAX($K170,AQ$4),MIN($L170,EOMONTH(AQ$4,0)),Assumptions!$F$4:$F$44))/NETWORKDAYS($K170,$L170,Assumptions!$F$4:$F$44))</f>
        <v>0</v>
      </c>
      <c r="AR170" s="21" t="n">
        <f aca="false">IF($J170=0,0,MAX(0,NETWORKDAYS(MAX($K170,AR$4),MIN($L170,EOMONTH(AR$4,0)),Assumptions!$F$4:$F$44))/NETWORKDAYS($K170,$L170,Assumptions!$F$4:$F$44))</f>
        <v>0</v>
      </c>
      <c r="AS170" s="21" t="n">
        <f aca="false">IF($J170=0,0,MAX(0,NETWORKDAYS(MAX($K170,AS$4),MIN($L170,EOMONTH(AS$4,0)),Assumptions!$F$4:$F$44))/NETWORKDAYS($K170,$L170,Assumptions!$F$4:$F$44))</f>
        <v>0</v>
      </c>
      <c r="AT170" s="21" t="n">
        <f aca="false">IF($J170=0,0,MAX(0,NETWORKDAYS(MAX($K170,AT$4),MIN($L170,EOMONTH(AT$4,0)),Assumptions!$F$4:$F$44))/NETWORKDAYS($K170,$L170,Assumptions!$F$4:$F$44))</f>
        <v>0</v>
      </c>
      <c r="AU170" s="21" t="n">
        <f aca="false">IF($J170=0,0,MAX(0,NETWORKDAYS(MAX($K170,AU$4),MIN($L170,EOMONTH(AU$4,0)),Assumptions!$F$4:$F$44))/NETWORKDAYS($K170,$L170,Assumptions!$F$4:$F$44))</f>
        <v>0</v>
      </c>
      <c r="AV170" s="21" t="n">
        <f aca="false">IF($J170=0,0,MAX(0,NETWORKDAYS(MAX($K170,AV$4),MIN($L170,EOMONTH(AV$4,0)),Assumptions!$F$4:$F$44))/NETWORKDAYS($K170,$L170,Assumptions!$F$4:$F$44))</f>
        <v>0</v>
      </c>
      <c r="AW170" s="21" t="n">
        <f aca="false">IF($J170=0,0,MAX(0,NETWORKDAYS(MAX($K170,AW$4),MIN($L170,EOMONTH(AW$4,0)),Assumptions!$F$4:$F$44))/NETWORKDAYS($K170,$L170,Assumptions!$F$4:$F$44))</f>
        <v>0</v>
      </c>
      <c r="AX170" s="21" t="n">
        <f aca="false">IF($J170=0,0,MAX(0,NETWORKDAYS(MAX($K170,AX$4),MIN($L170,EOMONTH(AX$4,0)),Assumptions!$F$4:$F$44))/NETWORKDAYS($K170,$L170,Assumptions!$F$4:$F$44))</f>
        <v>0</v>
      </c>
      <c r="AY170" s="21" t="n">
        <f aca="false">IF($J170=0,0,MAX(0,NETWORKDAYS(MAX($K170,AY$4),MIN($L170,EOMONTH(AY$4,0)),Assumptions!$F$4:$F$44))/NETWORKDAYS($K170,$L170,Assumptions!$F$4:$F$44))</f>
        <v>0</v>
      </c>
      <c r="AZ170" s="21" t="n">
        <f aca="false">IF($J170=0,0,MAX(0,NETWORKDAYS(MAX($K170,AZ$4),MIN($L170,EOMONTH(AZ$4,0)),Assumptions!$F$4:$F$44))/NETWORKDAYS($K170,$L170,Assumptions!$F$4:$F$44))</f>
        <v>0</v>
      </c>
      <c r="BA170" s="21" t="n">
        <f aca="false">IF($J170=0,0,MAX(0,NETWORKDAYS(MAX($K170,BA$4),MIN($L170,EOMONTH(BA$4,0)),Assumptions!$F$4:$F$44))/NETWORKDAYS($K170,$L170,Assumptions!$F$4:$F$44))</f>
        <v>0</v>
      </c>
      <c r="BB170" s="21" t="n">
        <f aca="false">IF($J170=0,0,MAX(0,NETWORKDAYS(MAX($K170,BB$4),MIN($L170,EOMONTH(BB$4,0)),Assumptions!$F$4:$F$44))/NETWORKDAYS($K170,$L170,Assumptions!$F$4:$F$44))</f>
        <v>0</v>
      </c>
      <c r="BC170" s="21" t="n">
        <f aca="false">IF($J170=0,0,MAX(0,NETWORKDAYS(MAX($K170,BC$4),MIN($L170,EOMONTH(BC$4,0)),Assumptions!$F$4:$F$44))/NETWORKDAYS($K170,$L170,Assumptions!$F$4:$F$44))</f>
        <v>0</v>
      </c>
    </row>
    <row r="171" customFormat="false" ht="15" hidden="false" customHeight="false" outlineLevel="2" collapsed="false">
      <c r="A171" s="27" t="n">
        <v>167</v>
      </c>
      <c r="B171" s="27" t="s">
        <v>432</v>
      </c>
      <c r="C171" s="27" t="n">
        <v>3</v>
      </c>
      <c r="D171" s="27" t="s">
        <v>92</v>
      </c>
      <c r="E171" s="28" t="s">
        <v>340</v>
      </c>
      <c r="F171" s="27" t="s">
        <v>154</v>
      </c>
      <c r="G171" s="27" t="s">
        <v>411</v>
      </c>
      <c r="H171" s="27" t="s">
        <v>47</v>
      </c>
      <c r="I171" s="29" t="n">
        <v>93</v>
      </c>
      <c r="J171" s="29" t="n">
        <v>22</v>
      </c>
      <c r="K171" s="30" t="n">
        <f aca="false">WORKDAY(Assumptions!$C$4,I171,Assumptions!$F$4:$F$44)</f>
        <v>46457</v>
      </c>
      <c r="L171" s="30" t="n">
        <f aca="false">IF(J171=0,K171,WORKDAY(K171,J171-1,Assumptions!$F$4:$F$44))</f>
        <v>46486</v>
      </c>
      <c r="M171" s="29" t="s">
        <v>433</v>
      </c>
      <c r="N171" s="31" t="n">
        <v>0</v>
      </c>
      <c r="O171" s="31" t="n">
        <v>0</v>
      </c>
      <c r="P171" s="31" t="n">
        <v>0</v>
      </c>
      <c r="Q171" s="31" t="n">
        <v>12</v>
      </c>
      <c r="R171" s="31" t="n">
        <v>8</v>
      </c>
      <c r="S171" s="31" t="n">
        <v>0</v>
      </c>
      <c r="T171" s="31" t="n">
        <v>0</v>
      </c>
      <c r="U171" s="31" t="n">
        <v>0</v>
      </c>
      <c r="V171" s="31" t="n">
        <v>6</v>
      </c>
      <c r="W171" s="31" t="n">
        <v>0</v>
      </c>
      <c r="X171" s="31" t="n">
        <v>0</v>
      </c>
      <c r="Y171" s="32" t="n">
        <f aca="false">SUM(N171:X171)</f>
        <v>26</v>
      </c>
      <c r="Z171" s="32" t="n">
        <f aca="false">Y171*(1+Assumptions!$C$5)</f>
        <v>29.9</v>
      </c>
      <c r="AA171" s="27" t="s">
        <v>342</v>
      </c>
      <c r="AB171" s="27" t="s">
        <v>95</v>
      </c>
      <c r="AC171" s="27"/>
      <c r="AD171" s="33" t="n">
        <v>0</v>
      </c>
      <c r="AF171" s="21" t="n">
        <f aca="false">IF($J171=0,0,MAX(0,NETWORKDAYS(MAX($K171,AF$4),MIN($L171,EOMONTH(AF$4,0)),Assumptions!$F$4:$F$44))/NETWORKDAYS($K171,$L171,Assumptions!$F$4:$F$44))</f>
        <v>0</v>
      </c>
      <c r="AG171" s="21" t="n">
        <f aca="false">IF($J171=0,0,MAX(0,NETWORKDAYS(MAX($K171,AG$4),MIN($L171,EOMONTH(AG$4,0)),Assumptions!$F$4:$F$44))/NETWORKDAYS($K171,$L171,Assumptions!$F$4:$F$44))</f>
        <v>0</v>
      </c>
      <c r="AH171" s="21" t="n">
        <f aca="false">IF($J171=0,0,MAX(0,NETWORKDAYS(MAX($K171,AH$4),MIN($L171,EOMONTH(AH$4,0)),Assumptions!$F$4:$F$44))/NETWORKDAYS($K171,$L171,Assumptions!$F$4:$F$44))</f>
        <v>0</v>
      </c>
      <c r="AI171" s="21" t="n">
        <f aca="false">IF($J171=0,0,MAX(0,NETWORKDAYS(MAX($K171,AI$4),MIN($L171,EOMONTH(AI$4,0)),Assumptions!$F$4:$F$44))/NETWORKDAYS($K171,$L171,Assumptions!$F$4:$F$44))</f>
        <v>0</v>
      </c>
      <c r="AJ171" s="21" t="n">
        <f aca="false">IF($J171=0,0,MAX(0,NETWORKDAYS(MAX($K171,AJ$4),MIN($L171,EOMONTH(AJ$4,0)),Assumptions!$F$4:$F$44))/NETWORKDAYS($K171,$L171,Assumptions!$F$4:$F$44))</f>
        <v>0.681818181818182</v>
      </c>
      <c r="AK171" s="21" t="n">
        <f aca="false">IF($J171=0,0,MAX(0,NETWORKDAYS(MAX($K171,AK$4),MIN($L171,EOMONTH(AK$4,0)),Assumptions!$F$4:$F$44))/NETWORKDAYS($K171,$L171,Assumptions!$F$4:$F$44))</f>
        <v>0.318181818181818</v>
      </c>
      <c r="AL171" s="21" t="n">
        <f aca="false">IF($J171=0,0,MAX(0,NETWORKDAYS(MAX($K171,AL$4),MIN($L171,EOMONTH(AL$4,0)),Assumptions!$F$4:$F$44))/NETWORKDAYS($K171,$L171,Assumptions!$F$4:$F$44))</f>
        <v>0</v>
      </c>
      <c r="AM171" s="21" t="n">
        <f aca="false">IF($J171=0,0,MAX(0,NETWORKDAYS(MAX($K171,AM$4),MIN($L171,EOMONTH(AM$4,0)),Assumptions!$F$4:$F$44))/NETWORKDAYS($K171,$L171,Assumptions!$F$4:$F$44))</f>
        <v>0</v>
      </c>
      <c r="AN171" s="21" t="n">
        <f aca="false">IF($J171=0,0,MAX(0,NETWORKDAYS(MAX($K171,AN$4),MIN($L171,EOMONTH(AN$4,0)),Assumptions!$F$4:$F$44))/NETWORKDAYS($K171,$L171,Assumptions!$F$4:$F$44))</f>
        <v>0</v>
      </c>
      <c r="AO171" s="21" t="n">
        <f aca="false">IF($J171=0,0,MAX(0,NETWORKDAYS(MAX($K171,AO$4),MIN($L171,EOMONTH(AO$4,0)),Assumptions!$F$4:$F$44))/NETWORKDAYS($K171,$L171,Assumptions!$F$4:$F$44))</f>
        <v>0</v>
      </c>
      <c r="AP171" s="21" t="n">
        <f aca="false">IF($J171=0,0,MAX(0,NETWORKDAYS(MAX($K171,AP$4),MIN($L171,EOMONTH(AP$4,0)),Assumptions!$F$4:$F$44))/NETWORKDAYS($K171,$L171,Assumptions!$F$4:$F$44))</f>
        <v>0</v>
      </c>
      <c r="AQ171" s="21" t="n">
        <f aca="false">IF($J171=0,0,MAX(0,NETWORKDAYS(MAX($K171,AQ$4),MIN($L171,EOMONTH(AQ$4,0)),Assumptions!$F$4:$F$44))/NETWORKDAYS($K171,$L171,Assumptions!$F$4:$F$44))</f>
        <v>0</v>
      </c>
      <c r="AR171" s="21" t="n">
        <f aca="false">IF($J171=0,0,MAX(0,NETWORKDAYS(MAX($K171,AR$4),MIN($L171,EOMONTH(AR$4,0)),Assumptions!$F$4:$F$44))/NETWORKDAYS($K171,$L171,Assumptions!$F$4:$F$44))</f>
        <v>0</v>
      </c>
      <c r="AS171" s="21" t="n">
        <f aca="false">IF($J171=0,0,MAX(0,NETWORKDAYS(MAX($K171,AS$4),MIN($L171,EOMONTH(AS$4,0)),Assumptions!$F$4:$F$44))/NETWORKDAYS($K171,$L171,Assumptions!$F$4:$F$44))</f>
        <v>0</v>
      </c>
      <c r="AT171" s="21" t="n">
        <f aca="false">IF($J171=0,0,MAX(0,NETWORKDAYS(MAX($K171,AT$4),MIN($L171,EOMONTH(AT$4,0)),Assumptions!$F$4:$F$44))/NETWORKDAYS($K171,$L171,Assumptions!$F$4:$F$44))</f>
        <v>0</v>
      </c>
      <c r="AU171" s="21" t="n">
        <f aca="false">IF($J171=0,0,MAX(0,NETWORKDAYS(MAX($K171,AU$4),MIN($L171,EOMONTH(AU$4,0)),Assumptions!$F$4:$F$44))/NETWORKDAYS($K171,$L171,Assumptions!$F$4:$F$44))</f>
        <v>0</v>
      </c>
      <c r="AV171" s="21" t="n">
        <f aca="false">IF($J171=0,0,MAX(0,NETWORKDAYS(MAX($K171,AV$4),MIN($L171,EOMONTH(AV$4,0)),Assumptions!$F$4:$F$44))/NETWORKDAYS($K171,$L171,Assumptions!$F$4:$F$44))</f>
        <v>0</v>
      </c>
      <c r="AW171" s="21" t="n">
        <f aca="false">IF($J171=0,0,MAX(0,NETWORKDAYS(MAX($K171,AW$4),MIN($L171,EOMONTH(AW$4,0)),Assumptions!$F$4:$F$44))/NETWORKDAYS($K171,$L171,Assumptions!$F$4:$F$44))</f>
        <v>0</v>
      </c>
      <c r="AX171" s="21" t="n">
        <f aca="false">IF($J171=0,0,MAX(0,NETWORKDAYS(MAX($K171,AX$4),MIN($L171,EOMONTH(AX$4,0)),Assumptions!$F$4:$F$44))/NETWORKDAYS($K171,$L171,Assumptions!$F$4:$F$44))</f>
        <v>0</v>
      </c>
      <c r="AY171" s="21" t="n">
        <f aca="false">IF($J171=0,0,MAX(0,NETWORKDAYS(MAX($K171,AY$4),MIN($L171,EOMONTH(AY$4,0)),Assumptions!$F$4:$F$44))/NETWORKDAYS($K171,$L171,Assumptions!$F$4:$F$44))</f>
        <v>0</v>
      </c>
      <c r="AZ171" s="21" t="n">
        <f aca="false">IF($J171=0,0,MAX(0,NETWORKDAYS(MAX($K171,AZ$4),MIN($L171,EOMONTH(AZ$4,0)),Assumptions!$F$4:$F$44))/NETWORKDAYS($K171,$L171,Assumptions!$F$4:$F$44))</f>
        <v>0</v>
      </c>
      <c r="BA171" s="21" t="n">
        <f aca="false">IF($J171=0,0,MAX(0,NETWORKDAYS(MAX($K171,BA$4),MIN($L171,EOMONTH(BA$4,0)),Assumptions!$F$4:$F$44))/NETWORKDAYS($K171,$L171,Assumptions!$F$4:$F$44))</f>
        <v>0</v>
      </c>
      <c r="BB171" s="21" t="n">
        <f aca="false">IF($J171=0,0,MAX(0,NETWORKDAYS(MAX($K171,BB$4),MIN($L171,EOMONTH(BB$4,0)),Assumptions!$F$4:$F$44))/NETWORKDAYS($K171,$L171,Assumptions!$F$4:$F$44))</f>
        <v>0</v>
      </c>
      <c r="BC171" s="21" t="n">
        <f aca="false">IF($J171=0,0,MAX(0,NETWORKDAYS(MAX($K171,BC$4),MIN($L171,EOMONTH(BC$4,0)),Assumptions!$F$4:$F$44))/NETWORKDAYS($K171,$L171,Assumptions!$F$4:$F$44))</f>
        <v>0</v>
      </c>
    </row>
    <row r="172" customFormat="false" ht="15" hidden="false" customHeight="false" outlineLevel="2" collapsed="false">
      <c r="A172" s="27" t="n">
        <v>168</v>
      </c>
      <c r="B172" s="27" t="s">
        <v>434</v>
      </c>
      <c r="C172" s="27" t="n">
        <v>3</v>
      </c>
      <c r="D172" s="27" t="s">
        <v>92</v>
      </c>
      <c r="E172" s="28" t="s">
        <v>344</v>
      </c>
      <c r="F172" s="27" t="s">
        <v>154</v>
      </c>
      <c r="G172" s="27" t="s">
        <v>411</v>
      </c>
      <c r="H172" s="27" t="s">
        <v>43</v>
      </c>
      <c r="I172" s="29" t="n">
        <v>107</v>
      </c>
      <c r="J172" s="29" t="n">
        <v>11</v>
      </c>
      <c r="K172" s="30" t="n">
        <f aca="false">WORKDAY(Assumptions!$C$4,I172,Assumptions!$F$4:$F$44)</f>
        <v>46477</v>
      </c>
      <c r="L172" s="30" t="n">
        <f aca="false">IF(J172=0,K172,WORKDAY(K172,J172-1,Assumptions!$F$4:$F$44))</f>
        <v>46491</v>
      </c>
      <c r="M172" s="29" t="s">
        <v>433</v>
      </c>
      <c r="N172" s="31" t="n">
        <v>0</v>
      </c>
      <c r="O172" s="31" t="n">
        <v>8</v>
      </c>
      <c r="P172" s="31" t="n">
        <v>0</v>
      </c>
      <c r="Q172" s="31" t="n">
        <v>0</v>
      </c>
      <c r="R172" s="31" t="n">
        <v>0</v>
      </c>
      <c r="S172" s="31" t="n">
        <v>0</v>
      </c>
      <c r="T172" s="31" t="n">
        <v>0</v>
      </c>
      <c r="U172" s="31" t="n">
        <v>0</v>
      </c>
      <c r="V172" s="31" t="n">
        <v>8</v>
      </c>
      <c r="W172" s="31" t="n">
        <v>0</v>
      </c>
      <c r="X172" s="31" t="n">
        <v>0</v>
      </c>
      <c r="Y172" s="32" t="n">
        <f aca="false">SUM(N172:X172)</f>
        <v>16</v>
      </c>
      <c r="Z172" s="32" t="n">
        <f aca="false">Y172*(1+Assumptions!$C$5)</f>
        <v>18.4</v>
      </c>
      <c r="AA172" s="27" t="s">
        <v>345</v>
      </c>
      <c r="AB172" s="27" t="s">
        <v>95</v>
      </c>
      <c r="AC172" s="27"/>
      <c r="AD172" s="33" t="n">
        <v>0</v>
      </c>
      <c r="AF172" s="21" t="n">
        <f aca="false">IF($J172=0,0,MAX(0,NETWORKDAYS(MAX($K172,AF$4),MIN($L172,EOMONTH(AF$4,0)),Assumptions!$F$4:$F$44))/NETWORKDAYS($K172,$L172,Assumptions!$F$4:$F$44))</f>
        <v>0</v>
      </c>
      <c r="AG172" s="21" t="n">
        <f aca="false">IF($J172=0,0,MAX(0,NETWORKDAYS(MAX($K172,AG$4),MIN($L172,EOMONTH(AG$4,0)),Assumptions!$F$4:$F$44))/NETWORKDAYS($K172,$L172,Assumptions!$F$4:$F$44))</f>
        <v>0</v>
      </c>
      <c r="AH172" s="21" t="n">
        <f aca="false">IF($J172=0,0,MAX(0,NETWORKDAYS(MAX($K172,AH$4),MIN($L172,EOMONTH(AH$4,0)),Assumptions!$F$4:$F$44))/NETWORKDAYS($K172,$L172,Assumptions!$F$4:$F$44))</f>
        <v>0</v>
      </c>
      <c r="AI172" s="21" t="n">
        <f aca="false">IF($J172=0,0,MAX(0,NETWORKDAYS(MAX($K172,AI$4),MIN($L172,EOMONTH(AI$4,0)),Assumptions!$F$4:$F$44))/NETWORKDAYS($K172,$L172,Assumptions!$F$4:$F$44))</f>
        <v>0</v>
      </c>
      <c r="AJ172" s="21" t="n">
        <f aca="false">IF($J172=0,0,MAX(0,NETWORKDAYS(MAX($K172,AJ$4),MIN($L172,EOMONTH(AJ$4,0)),Assumptions!$F$4:$F$44))/NETWORKDAYS($K172,$L172,Assumptions!$F$4:$F$44))</f>
        <v>0.0909090909090909</v>
      </c>
      <c r="AK172" s="21" t="n">
        <f aca="false">IF($J172=0,0,MAX(0,NETWORKDAYS(MAX($K172,AK$4),MIN($L172,EOMONTH(AK$4,0)),Assumptions!$F$4:$F$44))/NETWORKDAYS($K172,$L172,Assumptions!$F$4:$F$44))</f>
        <v>0.909090909090909</v>
      </c>
      <c r="AL172" s="21" t="n">
        <f aca="false">IF($J172=0,0,MAX(0,NETWORKDAYS(MAX($K172,AL$4),MIN($L172,EOMONTH(AL$4,0)),Assumptions!$F$4:$F$44))/NETWORKDAYS($K172,$L172,Assumptions!$F$4:$F$44))</f>
        <v>0</v>
      </c>
      <c r="AM172" s="21" t="n">
        <f aca="false">IF($J172=0,0,MAX(0,NETWORKDAYS(MAX($K172,AM$4),MIN($L172,EOMONTH(AM$4,0)),Assumptions!$F$4:$F$44))/NETWORKDAYS($K172,$L172,Assumptions!$F$4:$F$44))</f>
        <v>0</v>
      </c>
      <c r="AN172" s="21" t="n">
        <f aca="false">IF($J172=0,0,MAX(0,NETWORKDAYS(MAX($K172,AN$4),MIN($L172,EOMONTH(AN$4,0)),Assumptions!$F$4:$F$44))/NETWORKDAYS($K172,$L172,Assumptions!$F$4:$F$44))</f>
        <v>0</v>
      </c>
      <c r="AO172" s="21" t="n">
        <f aca="false">IF($J172=0,0,MAX(0,NETWORKDAYS(MAX($K172,AO$4),MIN($L172,EOMONTH(AO$4,0)),Assumptions!$F$4:$F$44))/NETWORKDAYS($K172,$L172,Assumptions!$F$4:$F$44))</f>
        <v>0</v>
      </c>
      <c r="AP172" s="21" t="n">
        <f aca="false">IF($J172=0,0,MAX(0,NETWORKDAYS(MAX($K172,AP$4),MIN($L172,EOMONTH(AP$4,0)),Assumptions!$F$4:$F$44))/NETWORKDAYS($K172,$L172,Assumptions!$F$4:$F$44))</f>
        <v>0</v>
      </c>
      <c r="AQ172" s="21" t="n">
        <f aca="false">IF($J172=0,0,MAX(0,NETWORKDAYS(MAX($K172,AQ$4),MIN($L172,EOMONTH(AQ$4,0)),Assumptions!$F$4:$F$44))/NETWORKDAYS($K172,$L172,Assumptions!$F$4:$F$44))</f>
        <v>0</v>
      </c>
      <c r="AR172" s="21" t="n">
        <f aca="false">IF($J172=0,0,MAX(0,NETWORKDAYS(MAX($K172,AR$4),MIN($L172,EOMONTH(AR$4,0)),Assumptions!$F$4:$F$44))/NETWORKDAYS($K172,$L172,Assumptions!$F$4:$F$44))</f>
        <v>0</v>
      </c>
      <c r="AS172" s="21" t="n">
        <f aca="false">IF($J172=0,0,MAX(0,NETWORKDAYS(MAX($K172,AS$4),MIN($L172,EOMONTH(AS$4,0)),Assumptions!$F$4:$F$44))/NETWORKDAYS($K172,$L172,Assumptions!$F$4:$F$44))</f>
        <v>0</v>
      </c>
      <c r="AT172" s="21" t="n">
        <f aca="false">IF($J172=0,0,MAX(0,NETWORKDAYS(MAX($K172,AT$4),MIN($L172,EOMONTH(AT$4,0)),Assumptions!$F$4:$F$44))/NETWORKDAYS($K172,$L172,Assumptions!$F$4:$F$44))</f>
        <v>0</v>
      </c>
      <c r="AU172" s="21" t="n">
        <f aca="false">IF($J172=0,0,MAX(0,NETWORKDAYS(MAX($K172,AU$4),MIN($L172,EOMONTH(AU$4,0)),Assumptions!$F$4:$F$44))/NETWORKDAYS($K172,$L172,Assumptions!$F$4:$F$44))</f>
        <v>0</v>
      </c>
      <c r="AV172" s="21" t="n">
        <f aca="false">IF($J172=0,0,MAX(0,NETWORKDAYS(MAX($K172,AV$4),MIN($L172,EOMONTH(AV$4,0)),Assumptions!$F$4:$F$44))/NETWORKDAYS($K172,$L172,Assumptions!$F$4:$F$44))</f>
        <v>0</v>
      </c>
      <c r="AW172" s="21" t="n">
        <f aca="false">IF($J172=0,0,MAX(0,NETWORKDAYS(MAX($K172,AW$4),MIN($L172,EOMONTH(AW$4,0)),Assumptions!$F$4:$F$44))/NETWORKDAYS($K172,$L172,Assumptions!$F$4:$F$44))</f>
        <v>0</v>
      </c>
      <c r="AX172" s="21" t="n">
        <f aca="false">IF($J172=0,0,MAX(0,NETWORKDAYS(MAX($K172,AX$4),MIN($L172,EOMONTH(AX$4,0)),Assumptions!$F$4:$F$44))/NETWORKDAYS($K172,$L172,Assumptions!$F$4:$F$44))</f>
        <v>0</v>
      </c>
      <c r="AY172" s="21" t="n">
        <f aca="false">IF($J172=0,0,MAX(0,NETWORKDAYS(MAX($K172,AY$4),MIN($L172,EOMONTH(AY$4,0)),Assumptions!$F$4:$F$44))/NETWORKDAYS($K172,$L172,Assumptions!$F$4:$F$44))</f>
        <v>0</v>
      </c>
      <c r="AZ172" s="21" t="n">
        <f aca="false">IF($J172=0,0,MAX(0,NETWORKDAYS(MAX($K172,AZ$4),MIN($L172,EOMONTH(AZ$4,0)),Assumptions!$F$4:$F$44))/NETWORKDAYS($K172,$L172,Assumptions!$F$4:$F$44))</f>
        <v>0</v>
      </c>
      <c r="BA172" s="21" t="n">
        <f aca="false">IF($J172=0,0,MAX(0,NETWORKDAYS(MAX($K172,BA$4),MIN($L172,EOMONTH(BA$4,0)),Assumptions!$F$4:$F$44))/NETWORKDAYS($K172,$L172,Assumptions!$F$4:$F$44))</f>
        <v>0</v>
      </c>
      <c r="BB172" s="21" t="n">
        <f aca="false">IF($J172=0,0,MAX(0,NETWORKDAYS(MAX($K172,BB$4),MIN($L172,EOMONTH(BB$4,0)),Assumptions!$F$4:$F$44))/NETWORKDAYS($K172,$L172,Assumptions!$F$4:$F$44))</f>
        <v>0</v>
      </c>
      <c r="BC172" s="21" t="n">
        <f aca="false">IF($J172=0,0,MAX(0,NETWORKDAYS(MAX($K172,BC$4),MIN($L172,EOMONTH(BC$4,0)),Assumptions!$F$4:$F$44))/NETWORKDAYS($K172,$L172,Assumptions!$F$4:$F$44))</f>
        <v>0</v>
      </c>
    </row>
    <row r="173" customFormat="false" ht="15" hidden="false" customHeight="false" outlineLevel="2" collapsed="false">
      <c r="A173" s="27" t="n">
        <v>169</v>
      </c>
      <c r="B173" s="27" t="s">
        <v>435</v>
      </c>
      <c r="C173" s="27" t="n">
        <v>3</v>
      </c>
      <c r="D173" s="27" t="s">
        <v>92</v>
      </c>
      <c r="E173" s="28" t="s">
        <v>347</v>
      </c>
      <c r="F173" s="27" t="s">
        <v>154</v>
      </c>
      <c r="G173" s="27" t="s">
        <v>411</v>
      </c>
      <c r="H173" s="27" t="s">
        <v>61</v>
      </c>
      <c r="I173" s="29" t="n">
        <v>110</v>
      </c>
      <c r="J173" s="29" t="n">
        <v>11</v>
      </c>
      <c r="K173" s="30" t="n">
        <f aca="false">WORKDAY(Assumptions!$C$4,I173,Assumptions!$F$4:$F$44)</f>
        <v>46482</v>
      </c>
      <c r="L173" s="30" t="n">
        <f aca="false">IF(J173=0,K173,WORKDAY(K173,J173-1,Assumptions!$F$4:$F$44))</f>
        <v>46496</v>
      </c>
      <c r="M173" s="29" t="s">
        <v>436</v>
      </c>
      <c r="N173" s="31" t="n">
        <v>0</v>
      </c>
      <c r="O173" s="31" t="n">
        <v>3</v>
      </c>
      <c r="P173" s="31" t="n">
        <v>0</v>
      </c>
      <c r="Q173" s="31" t="n">
        <v>0</v>
      </c>
      <c r="R173" s="31" t="n">
        <v>0</v>
      </c>
      <c r="S173" s="31" t="n">
        <v>0</v>
      </c>
      <c r="T173" s="31" t="n">
        <v>0</v>
      </c>
      <c r="U173" s="31" t="n">
        <v>0</v>
      </c>
      <c r="V173" s="31" t="n">
        <v>0</v>
      </c>
      <c r="W173" s="31" t="n">
        <v>0</v>
      </c>
      <c r="X173" s="31" t="n">
        <v>9</v>
      </c>
      <c r="Y173" s="32" t="n">
        <f aca="false">SUM(N173:X173)</f>
        <v>12</v>
      </c>
      <c r="Z173" s="32" t="n">
        <f aca="false">Y173*(1+Assumptions!$C$5)</f>
        <v>13.8</v>
      </c>
      <c r="AA173" s="27" t="s">
        <v>349</v>
      </c>
      <c r="AB173" s="27" t="s">
        <v>95</v>
      </c>
      <c r="AC173" s="27"/>
      <c r="AD173" s="33" t="n">
        <v>0</v>
      </c>
      <c r="AF173" s="21" t="n">
        <f aca="false">IF($J173=0,0,MAX(0,NETWORKDAYS(MAX($K173,AF$4),MIN($L173,EOMONTH(AF$4,0)),Assumptions!$F$4:$F$44))/NETWORKDAYS($K173,$L173,Assumptions!$F$4:$F$44))</f>
        <v>0</v>
      </c>
      <c r="AG173" s="21" t="n">
        <f aca="false">IF($J173=0,0,MAX(0,NETWORKDAYS(MAX($K173,AG$4),MIN($L173,EOMONTH(AG$4,0)),Assumptions!$F$4:$F$44))/NETWORKDAYS($K173,$L173,Assumptions!$F$4:$F$44))</f>
        <v>0</v>
      </c>
      <c r="AH173" s="21" t="n">
        <f aca="false">IF($J173=0,0,MAX(0,NETWORKDAYS(MAX($K173,AH$4),MIN($L173,EOMONTH(AH$4,0)),Assumptions!$F$4:$F$44))/NETWORKDAYS($K173,$L173,Assumptions!$F$4:$F$44))</f>
        <v>0</v>
      </c>
      <c r="AI173" s="21" t="n">
        <f aca="false">IF($J173=0,0,MAX(0,NETWORKDAYS(MAX($K173,AI$4),MIN($L173,EOMONTH(AI$4,0)),Assumptions!$F$4:$F$44))/NETWORKDAYS($K173,$L173,Assumptions!$F$4:$F$44))</f>
        <v>0</v>
      </c>
      <c r="AJ173" s="21" t="n">
        <f aca="false">IF($J173=0,0,MAX(0,NETWORKDAYS(MAX($K173,AJ$4),MIN($L173,EOMONTH(AJ$4,0)),Assumptions!$F$4:$F$44))/NETWORKDAYS($K173,$L173,Assumptions!$F$4:$F$44))</f>
        <v>0</v>
      </c>
      <c r="AK173" s="21" t="n">
        <f aca="false">IF($J173=0,0,MAX(0,NETWORKDAYS(MAX($K173,AK$4),MIN($L173,EOMONTH(AK$4,0)),Assumptions!$F$4:$F$44))/NETWORKDAYS($K173,$L173,Assumptions!$F$4:$F$44))</f>
        <v>1</v>
      </c>
      <c r="AL173" s="21" t="n">
        <f aca="false">IF($J173=0,0,MAX(0,NETWORKDAYS(MAX($K173,AL$4),MIN($L173,EOMONTH(AL$4,0)),Assumptions!$F$4:$F$44))/NETWORKDAYS($K173,$L173,Assumptions!$F$4:$F$44))</f>
        <v>0</v>
      </c>
      <c r="AM173" s="21" t="n">
        <f aca="false">IF($J173=0,0,MAX(0,NETWORKDAYS(MAX($K173,AM$4),MIN($L173,EOMONTH(AM$4,0)),Assumptions!$F$4:$F$44))/NETWORKDAYS($K173,$L173,Assumptions!$F$4:$F$44))</f>
        <v>0</v>
      </c>
      <c r="AN173" s="21" t="n">
        <f aca="false">IF($J173=0,0,MAX(0,NETWORKDAYS(MAX($K173,AN$4),MIN($L173,EOMONTH(AN$4,0)),Assumptions!$F$4:$F$44))/NETWORKDAYS($K173,$L173,Assumptions!$F$4:$F$44))</f>
        <v>0</v>
      </c>
      <c r="AO173" s="21" t="n">
        <f aca="false">IF($J173=0,0,MAX(0,NETWORKDAYS(MAX($K173,AO$4),MIN($L173,EOMONTH(AO$4,0)),Assumptions!$F$4:$F$44))/NETWORKDAYS($K173,$L173,Assumptions!$F$4:$F$44))</f>
        <v>0</v>
      </c>
      <c r="AP173" s="21" t="n">
        <f aca="false">IF($J173=0,0,MAX(0,NETWORKDAYS(MAX($K173,AP$4),MIN($L173,EOMONTH(AP$4,0)),Assumptions!$F$4:$F$44))/NETWORKDAYS($K173,$L173,Assumptions!$F$4:$F$44))</f>
        <v>0</v>
      </c>
      <c r="AQ173" s="21" t="n">
        <f aca="false">IF($J173=0,0,MAX(0,NETWORKDAYS(MAX($K173,AQ$4),MIN($L173,EOMONTH(AQ$4,0)),Assumptions!$F$4:$F$44))/NETWORKDAYS($K173,$L173,Assumptions!$F$4:$F$44))</f>
        <v>0</v>
      </c>
      <c r="AR173" s="21" t="n">
        <f aca="false">IF($J173=0,0,MAX(0,NETWORKDAYS(MAX($K173,AR$4),MIN($L173,EOMONTH(AR$4,0)),Assumptions!$F$4:$F$44))/NETWORKDAYS($K173,$L173,Assumptions!$F$4:$F$44))</f>
        <v>0</v>
      </c>
      <c r="AS173" s="21" t="n">
        <f aca="false">IF($J173=0,0,MAX(0,NETWORKDAYS(MAX($K173,AS$4),MIN($L173,EOMONTH(AS$4,0)),Assumptions!$F$4:$F$44))/NETWORKDAYS($K173,$L173,Assumptions!$F$4:$F$44))</f>
        <v>0</v>
      </c>
      <c r="AT173" s="21" t="n">
        <f aca="false">IF($J173=0,0,MAX(0,NETWORKDAYS(MAX($K173,AT$4),MIN($L173,EOMONTH(AT$4,0)),Assumptions!$F$4:$F$44))/NETWORKDAYS($K173,$L173,Assumptions!$F$4:$F$44))</f>
        <v>0</v>
      </c>
      <c r="AU173" s="21" t="n">
        <f aca="false">IF($J173=0,0,MAX(0,NETWORKDAYS(MAX($K173,AU$4),MIN($L173,EOMONTH(AU$4,0)),Assumptions!$F$4:$F$44))/NETWORKDAYS($K173,$L173,Assumptions!$F$4:$F$44))</f>
        <v>0</v>
      </c>
      <c r="AV173" s="21" t="n">
        <f aca="false">IF($J173=0,0,MAX(0,NETWORKDAYS(MAX($K173,AV$4),MIN($L173,EOMONTH(AV$4,0)),Assumptions!$F$4:$F$44))/NETWORKDAYS($K173,$L173,Assumptions!$F$4:$F$44))</f>
        <v>0</v>
      </c>
      <c r="AW173" s="21" t="n">
        <f aca="false">IF($J173=0,0,MAX(0,NETWORKDAYS(MAX($K173,AW$4),MIN($L173,EOMONTH(AW$4,0)),Assumptions!$F$4:$F$44))/NETWORKDAYS($K173,$L173,Assumptions!$F$4:$F$44))</f>
        <v>0</v>
      </c>
      <c r="AX173" s="21" t="n">
        <f aca="false">IF($J173=0,0,MAX(0,NETWORKDAYS(MAX($K173,AX$4),MIN($L173,EOMONTH(AX$4,0)),Assumptions!$F$4:$F$44))/NETWORKDAYS($K173,$L173,Assumptions!$F$4:$F$44))</f>
        <v>0</v>
      </c>
      <c r="AY173" s="21" t="n">
        <f aca="false">IF($J173=0,0,MAX(0,NETWORKDAYS(MAX($K173,AY$4),MIN($L173,EOMONTH(AY$4,0)),Assumptions!$F$4:$F$44))/NETWORKDAYS($K173,$L173,Assumptions!$F$4:$F$44))</f>
        <v>0</v>
      </c>
      <c r="AZ173" s="21" t="n">
        <f aca="false">IF($J173=0,0,MAX(0,NETWORKDAYS(MAX($K173,AZ$4),MIN($L173,EOMONTH(AZ$4,0)),Assumptions!$F$4:$F$44))/NETWORKDAYS($K173,$L173,Assumptions!$F$4:$F$44))</f>
        <v>0</v>
      </c>
      <c r="BA173" s="21" t="n">
        <f aca="false">IF($J173=0,0,MAX(0,NETWORKDAYS(MAX($K173,BA$4),MIN($L173,EOMONTH(BA$4,0)),Assumptions!$F$4:$F$44))/NETWORKDAYS($K173,$L173,Assumptions!$F$4:$F$44))</f>
        <v>0</v>
      </c>
      <c r="BB173" s="21" t="n">
        <f aca="false">IF($J173=0,0,MAX(0,NETWORKDAYS(MAX($K173,BB$4),MIN($L173,EOMONTH(BB$4,0)),Assumptions!$F$4:$F$44))/NETWORKDAYS($K173,$L173,Assumptions!$F$4:$F$44))</f>
        <v>0</v>
      </c>
      <c r="BC173" s="21" t="n">
        <f aca="false">IF($J173=0,0,MAX(0,NETWORKDAYS(MAX($K173,BC$4),MIN($L173,EOMONTH(BC$4,0)),Assumptions!$F$4:$F$44))/NETWORKDAYS($K173,$L173,Assumptions!$F$4:$F$44))</f>
        <v>0</v>
      </c>
    </row>
    <row r="174" customFormat="false" ht="15" hidden="false" customHeight="false" outlineLevel="1" collapsed="false">
      <c r="A174" s="22" t="n">
        <v>170</v>
      </c>
      <c r="B174" s="22" t="s">
        <v>437</v>
      </c>
      <c r="C174" s="22" t="n">
        <v>2</v>
      </c>
      <c r="D174" s="22" t="s">
        <v>89</v>
      </c>
      <c r="E174" s="23" t="s">
        <v>438</v>
      </c>
      <c r="F174" s="22" t="s">
        <v>154</v>
      </c>
      <c r="G174" s="22" t="s">
        <v>439</v>
      </c>
      <c r="H174" s="22"/>
      <c r="I174" s="22"/>
      <c r="J174" s="22" t="n">
        <f aca="false">NETWORKDAYS(K174,L174,Assumptions!$F$4:$F$44)</f>
        <v>101</v>
      </c>
      <c r="K174" s="24" t="n">
        <f aca="false">MIN(K175:K189)</f>
        <v>46356</v>
      </c>
      <c r="L174" s="24" t="n">
        <f aca="false">MAX(L175:L189)</f>
        <v>46496</v>
      </c>
      <c r="M174" s="22"/>
      <c r="N174" s="25" t="n">
        <f aca="false">SUMPRODUCT(($C$175:$C$189=3)*(N175:N189))</f>
        <v>1</v>
      </c>
      <c r="O174" s="25" t="n">
        <f aca="false">SUMPRODUCT(($C$175:$C$189=3)*(O175:O189))</f>
        <v>38</v>
      </c>
      <c r="P174" s="25" t="n">
        <f aca="false">SUMPRODUCT(($C$175:$C$189=3)*(P175:P189))</f>
        <v>11</v>
      </c>
      <c r="Q174" s="25" t="n">
        <f aca="false">SUMPRODUCT(($C$175:$C$189=3)*(Q175:Q189))</f>
        <v>116</v>
      </c>
      <c r="R174" s="25" t="n">
        <f aca="false">SUMPRODUCT(($C$175:$C$189=3)*(R175:R189))</f>
        <v>79</v>
      </c>
      <c r="S174" s="25" t="n">
        <f aca="false">SUMPRODUCT(($C$175:$C$189=3)*(S175:S189))</f>
        <v>9</v>
      </c>
      <c r="T174" s="25" t="n">
        <f aca="false">SUMPRODUCT(($C$175:$C$189=3)*(T175:T189))</f>
        <v>0</v>
      </c>
      <c r="U174" s="25" t="n">
        <f aca="false">SUMPRODUCT(($C$175:$C$189=3)*(U175:U189))</f>
        <v>0</v>
      </c>
      <c r="V174" s="25" t="n">
        <f aca="false">SUMPRODUCT(($C$175:$C$189=3)*(V175:V189))</f>
        <v>49</v>
      </c>
      <c r="W174" s="25" t="n">
        <f aca="false">SUMPRODUCT(($C$175:$C$189=3)*(W175:W189))</f>
        <v>18</v>
      </c>
      <c r="X174" s="25" t="n">
        <f aca="false">SUMPRODUCT(($C$175:$C$189=3)*(X175:X189))</f>
        <v>9</v>
      </c>
      <c r="Y174" s="25" t="n">
        <f aca="false">SUM(N174:X174)</f>
        <v>330</v>
      </c>
      <c r="Z174" s="25" t="n">
        <f aca="false">Y174*(1+Assumptions!$C$5)</f>
        <v>379.5</v>
      </c>
      <c r="AA174" s="22" t="s">
        <v>440</v>
      </c>
      <c r="AB174" s="22"/>
      <c r="AC174" s="22"/>
      <c r="AD174" s="26"/>
      <c r="AF174" s="21" t="n">
        <v>0</v>
      </c>
      <c r="AG174" s="21" t="n">
        <v>0</v>
      </c>
      <c r="AH174" s="21" t="n">
        <v>0</v>
      </c>
      <c r="AI174" s="21" t="n">
        <v>0</v>
      </c>
      <c r="AJ174" s="21" t="n">
        <v>0</v>
      </c>
      <c r="AK174" s="21" t="n">
        <v>0</v>
      </c>
      <c r="AL174" s="21" t="n">
        <v>0</v>
      </c>
      <c r="AM174" s="21" t="n">
        <v>0</v>
      </c>
      <c r="AN174" s="21" t="n">
        <v>0</v>
      </c>
      <c r="AO174" s="21" t="n">
        <v>0</v>
      </c>
      <c r="AP174" s="21" t="n">
        <v>0</v>
      </c>
      <c r="AQ174" s="21" t="n">
        <v>0</v>
      </c>
      <c r="AR174" s="21" t="n">
        <v>0</v>
      </c>
      <c r="AS174" s="21" t="n">
        <v>0</v>
      </c>
      <c r="AT174" s="21" t="n">
        <v>0</v>
      </c>
      <c r="AU174" s="21" t="n">
        <v>0</v>
      </c>
      <c r="AV174" s="21" t="n">
        <v>0</v>
      </c>
      <c r="AW174" s="21" t="n">
        <v>0</v>
      </c>
      <c r="AX174" s="21" t="n">
        <v>0</v>
      </c>
      <c r="AY174" s="21" t="n">
        <v>0</v>
      </c>
      <c r="AZ174" s="21" t="n">
        <v>0</v>
      </c>
      <c r="BA174" s="21" t="n">
        <v>0</v>
      </c>
      <c r="BB174" s="21" t="n">
        <v>0</v>
      </c>
      <c r="BC174" s="21" t="n">
        <v>0</v>
      </c>
    </row>
    <row r="175" customFormat="false" ht="15" hidden="false" customHeight="false" outlineLevel="2" collapsed="false">
      <c r="A175" s="27" t="n">
        <v>171</v>
      </c>
      <c r="B175" s="27" t="s">
        <v>441</v>
      </c>
      <c r="C175" s="27" t="n">
        <v>3</v>
      </c>
      <c r="D175" s="27" t="s">
        <v>92</v>
      </c>
      <c r="E175" s="28" t="s">
        <v>292</v>
      </c>
      <c r="F175" s="27" t="s">
        <v>154</v>
      </c>
      <c r="G175" s="27" t="s">
        <v>439</v>
      </c>
      <c r="H175" s="27" t="s">
        <v>43</v>
      </c>
      <c r="I175" s="29" t="n">
        <v>20</v>
      </c>
      <c r="J175" s="29" t="n">
        <v>13</v>
      </c>
      <c r="K175" s="30" t="n">
        <f aca="false">WORKDAY(Assumptions!$C$4,I175,Assumptions!$F$4:$F$44)</f>
        <v>46356</v>
      </c>
      <c r="L175" s="30" t="n">
        <f aca="false">IF(J175=0,K175,WORKDAY(K175,J175-1,Assumptions!$F$4:$F$44))</f>
        <v>46372</v>
      </c>
      <c r="M175" s="29" t="s">
        <v>293</v>
      </c>
      <c r="N175" s="31" t="n">
        <v>1</v>
      </c>
      <c r="O175" s="31" t="n">
        <v>12</v>
      </c>
      <c r="P175" s="31" t="n">
        <v>3</v>
      </c>
      <c r="Q175" s="31" t="n">
        <v>0</v>
      </c>
      <c r="R175" s="31" t="n">
        <v>0</v>
      </c>
      <c r="S175" s="31" t="n">
        <v>0</v>
      </c>
      <c r="T175" s="31" t="n">
        <v>0</v>
      </c>
      <c r="U175" s="31" t="n">
        <v>0</v>
      </c>
      <c r="V175" s="31" t="n">
        <v>0</v>
      </c>
      <c r="W175" s="31" t="n">
        <v>0</v>
      </c>
      <c r="X175" s="31" t="n">
        <v>0</v>
      </c>
      <c r="Y175" s="32" t="n">
        <f aca="false">SUM(N175:X175)</f>
        <v>16</v>
      </c>
      <c r="Z175" s="32" t="n">
        <f aca="false">Y175*(1+Assumptions!$C$5)</f>
        <v>18.4</v>
      </c>
      <c r="AA175" s="27" t="s">
        <v>294</v>
      </c>
      <c r="AB175" s="27" t="s">
        <v>95</v>
      </c>
      <c r="AC175" s="27"/>
      <c r="AD175" s="33" t="n">
        <v>0</v>
      </c>
      <c r="AF175" s="21" t="n">
        <f aca="false">IF($J175=0,0,MAX(0,NETWORKDAYS(MAX($K175,AF$4),MIN($L175,EOMONTH(AF$4,0)),Assumptions!$F$4:$F$44))/NETWORKDAYS($K175,$L175,Assumptions!$F$4:$F$44))</f>
        <v>0.0769230769230769</v>
      </c>
      <c r="AG175" s="21" t="n">
        <f aca="false">IF($J175=0,0,MAX(0,NETWORKDAYS(MAX($K175,AG$4),MIN($L175,EOMONTH(AG$4,0)),Assumptions!$F$4:$F$44))/NETWORKDAYS($K175,$L175,Assumptions!$F$4:$F$44))</f>
        <v>0.923076923076923</v>
      </c>
      <c r="AH175" s="21" t="n">
        <f aca="false">IF($J175=0,0,MAX(0,NETWORKDAYS(MAX($K175,AH$4),MIN($L175,EOMONTH(AH$4,0)),Assumptions!$F$4:$F$44))/NETWORKDAYS($K175,$L175,Assumptions!$F$4:$F$44))</f>
        <v>0</v>
      </c>
      <c r="AI175" s="21" t="n">
        <f aca="false">IF($J175=0,0,MAX(0,NETWORKDAYS(MAX($K175,AI$4),MIN($L175,EOMONTH(AI$4,0)),Assumptions!$F$4:$F$44))/NETWORKDAYS($K175,$L175,Assumptions!$F$4:$F$44))</f>
        <v>0</v>
      </c>
      <c r="AJ175" s="21" t="n">
        <f aca="false">IF($J175=0,0,MAX(0,NETWORKDAYS(MAX($K175,AJ$4),MIN($L175,EOMONTH(AJ$4,0)),Assumptions!$F$4:$F$44))/NETWORKDAYS($K175,$L175,Assumptions!$F$4:$F$44))</f>
        <v>0</v>
      </c>
      <c r="AK175" s="21" t="n">
        <f aca="false">IF($J175=0,0,MAX(0,NETWORKDAYS(MAX($K175,AK$4),MIN($L175,EOMONTH(AK$4,0)),Assumptions!$F$4:$F$44))/NETWORKDAYS($K175,$L175,Assumptions!$F$4:$F$44))</f>
        <v>0</v>
      </c>
      <c r="AL175" s="21" t="n">
        <f aca="false">IF($J175=0,0,MAX(0,NETWORKDAYS(MAX($K175,AL$4),MIN($L175,EOMONTH(AL$4,0)),Assumptions!$F$4:$F$44))/NETWORKDAYS($K175,$L175,Assumptions!$F$4:$F$44))</f>
        <v>0</v>
      </c>
      <c r="AM175" s="21" t="n">
        <f aca="false">IF($J175=0,0,MAX(0,NETWORKDAYS(MAX($K175,AM$4),MIN($L175,EOMONTH(AM$4,0)),Assumptions!$F$4:$F$44))/NETWORKDAYS($K175,$L175,Assumptions!$F$4:$F$44))</f>
        <v>0</v>
      </c>
      <c r="AN175" s="21" t="n">
        <f aca="false">IF($J175=0,0,MAX(0,NETWORKDAYS(MAX($K175,AN$4),MIN($L175,EOMONTH(AN$4,0)),Assumptions!$F$4:$F$44))/NETWORKDAYS($K175,$L175,Assumptions!$F$4:$F$44))</f>
        <v>0</v>
      </c>
      <c r="AO175" s="21" t="n">
        <f aca="false">IF($J175=0,0,MAX(0,NETWORKDAYS(MAX($K175,AO$4),MIN($L175,EOMONTH(AO$4,0)),Assumptions!$F$4:$F$44))/NETWORKDAYS($K175,$L175,Assumptions!$F$4:$F$44))</f>
        <v>0</v>
      </c>
      <c r="AP175" s="21" t="n">
        <f aca="false">IF($J175=0,0,MAX(0,NETWORKDAYS(MAX($K175,AP$4),MIN($L175,EOMONTH(AP$4,0)),Assumptions!$F$4:$F$44))/NETWORKDAYS($K175,$L175,Assumptions!$F$4:$F$44))</f>
        <v>0</v>
      </c>
      <c r="AQ175" s="21" t="n">
        <f aca="false">IF($J175=0,0,MAX(0,NETWORKDAYS(MAX($K175,AQ$4),MIN($L175,EOMONTH(AQ$4,0)),Assumptions!$F$4:$F$44))/NETWORKDAYS($K175,$L175,Assumptions!$F$4:$F$44))</f>
        <v>0</v>
      </c>
      <c r="AR175" s="21" t="n">
        <f aca="false">IF($J175=0,0,MAX(0,NETWORKDAYS(MAX($K175,AR$4),MIN($L175,EOMONTH(AR$4,0)),Assumptions!$F$4:$F$44))/NETWORKDAYS($K175,$L175,Assumptions!$F$4:$F$44))</f>
        <v>0</v>
      </c>
      <c r="AS175" s="21" t="n">
        <f aca="false">IF($J175=0,0,MAX(0,NETWORKDAYS(MAX($K175,AS$4),MIN($L175,EOMONTH(AS$4,0)),Assumptions!$F$4:$F$44))/NETWORKDAYS($K175,$L175,Assumptions!$F$4:$F$44))</f>
        <v>0</v>
      </c>
      <c r="AT175" s="21" t="n">
        <f aca="false">IF($J175=0,0,MAX(0,NETWORKDAYS(MAX($K175,AT$4),MIN($L175,EOMONTH(AT$4,0)),Assumptions!$F$4:$F$44))/NETWORKDAYS($K175,$L175,Assumptions!$F$4:$F$44))</f>
        <v>0</v>
      </c>
      <c r="AU175" s="21" t="n">
        <f aca="false">IF($J175=0,0,MAX(0,NETWORKDAYS(MAX($K175,AU$4),MIN($L175,EOMONTH(AU$4,0)),Assumptions!$F$4:$F$44))/NETWORKDAYS($K175,$L175,Assumptions!$F$4:$F$44))</f>
        <v>0</v>
      </c>
      <c r="AV175" s="21" t="n">
        <f aca="false">IF($J175=0,0,MAX(0,NETWORKDAYS(MAX($K175,AV$4),MIN($L175,EOMONTH(AV$4,0)),Assumptions!$F$4:$F$44))/NETWORKDAYS($K175,$L175,Assumptions!$F$4:$F$44))</f>
        <v>0</v>
      </c>
      <c r="AW175" s="21" t="n">
        <f aca="false">IF($J175=0,0,MAX(0,NETWORKDAYS(MAX($K175,AW$4),MIN($L175,EOMONTH(AW$4,0)),Assumptions!$F$4:$F$44))/NETWORKDAYS($K175,$L175,Assumptions!$F$4:$F$44))</f>
        <v>0</v>
      </c>
      <c r="AX175" s="21" t="n">
        <f aca="false">IF($J175=0,0,MAX(0,NETWORKDAYS(MAX($K175,AX$4),MIN($L175,EOMONTH(AX$4,0)),Assumptions!$F$4:$F$44))/NETWORKDAYS($K175,$L175,Assumptions!$F$4:$F$44))</f>
        <v>0</v>
      </c>
      <c r="AY175" s="21" t="n">
        <f aca="false">IF($J175=0,0,MAX(0,NETWORKDAYS(MAX($K175,AY$4),MIN($L175,EOMONTH(AY$4,0)),Assumptions!$F$4:$F$44))/NETWORKDAYS($K175,$L175,Assumptions!$F$4:$F$44))</f>
        <v>0</v>
      </c>
      <c r="AZ175" s="21" t="n">
        <f aca="false">IF($J175=0,0,MAX(0,NETWORKDAYS(MAX($K175,AZ$4),MIN($L175,EOMONTH(AZ$4,0)),Assumptions!$F$4:$F$44))/NETWORKDAYS($K175,$L175,Assumptions!$F$4:$F$44))</f>
        <v>0</v>
      </c>
      <c r="BA175" s="21" t="n">
        <f aca="false">IF($J175=0,0,MAX(0,NETWORKDAYS(MAX($K175,BA$4),MIN($L175,EOMONTH(BA$4,0)),Assumptions!$F$4:$F$44))/NETWORKDAYS($K175,$L175,Assumptions!$F$4:$F$44))</f>
        <v>0</v>
      </c>
      <c r="BB175" s="21" t="n">
        <f aca="false">IF($J175=0,0,MAX(0,NETWORKDAYS(MAX($K175,BB$4),MIN($L175,EOMONTH(BB$4,0)),Assumptions!$F$4:$F$44))/NETWORKDAYS($K175,$L175,Assumptions!$F$4:$F$44))</f>
        <v>0</v>
      </c>
      <c r="BC175" s="21" t="n">
        <f aca="false">IF($J175=0,0,MAX(0,NETWORKDAYS(MAX($K175,BC$4),MIN($L175,EOMONTH(BC$4,0)),Assumptions!$F$4:$F$44))/NETWORKDAYS($K175,$L175,Assumptions!$F$4:$F$44))</f>
        <v>0</v>
      </c>
    </row>
    <row r="176" customFormat="false" ht="15" hidden="false" customHeight="false" outlineLevel="2" collapsed="false">
      <c r="A176" s="27" t="n">
        <v>172</v>
      </c>
      <c r="B176" s="27" t="s">
        <v>442</v>
      </c>
      <c r="C176" s="27" t="n">
        <v>3</v>
      </c>
      <c r="D176" s="27" t="s">
        <v>92</v>
      </c>
      <c r="E176" s="28" t="s">
        <v>296</v>
      </c>
      <c r="F176" s="27" t="s">
        <v>154</v>
      </c>
      <c r="G176" s="27" t="s">
        <v>439</v>
      </c>
      <c r="H176" s="27" t="s">
        <v>45</v>
      </c>
      <c r="I176" s="29" t="n">
        <v>29</v>
      </c>
      <c r="J176" s="29" t="n">
        <v>13</v>
      </c>
      <c r="K176" s="30" t="n">
        <f aca="false">WORKDAY(Assumptions!$C$4,I176,Assumptions!$F$4:$F$44)</f>
        <v>46367</v>
      </c>
      <c r="L176" s="30" t="n">
        <f aca="false">IF(J176=0,K176,WORKDAY(K176,J176-1,Assumptions!$F$4:$F$44))</f>
        <v>46385</v>
      </c>
      <c r="M176" s="29" t="s">
        <v>443</v>
      </c>
      <c r="N176" s="31" t="n">
        <v>0</v>
      </c>
      <c r="O176" s="31" t="n">
        <v>0</v>
      </c>
      <c r="P176" s="31" t="n">
        <v>8</v>
      </c>
      <c r="Q176" s="31" t="n">
        <v>8</v>
      </c>
      <c r="R176" s="31" t="n">
        <v>0</v>
      </c>
      <c r="S176" s="31" t="n">
        <v>0</v>
      </c>
      <c r="T176" s="31" t="n">
        <v>0</v>
      </c>
      <c r="U176" s="31" t="n">
        <v>0</v>
      </c>
      <c r="V176" s="31" t="n">
        <v>0</v>
      </c>
      <c r="W176" s="31" t="n">
        <v>0</v>
      </c>
      <c r="X176" s="31" t="n">
        <v>0</v>
      </c>
      <c r="Y176" s="32" t="n">
        <f aca="false">SUM(N176:X176)</f>
        <v>16</v>
      </c>
      <c r="Z176" s="32" t="n">
        <f aca="false">Y176*(1+Assumptions!$C$5)</f>
        <v>18.4</v>
      </c>
      <c r="AA176" s="27" t="s">
        <v>298</v>
      </c>
      <c r="AB176" s="27" t="s">
        <v>95</v>
      </c>
      <c r="AC176" s="27"/>
      <c r="AD176" s="33" t="n">
        <v>0</v>
      </c>
      <c r="AF176" s="21" t="n">
        <f aca="false">IF($J176=0,0,MAX(0,NETWORKDAYS(MAX($K176,AF$4),MIN($L176,EOMONTH(AF$4,0)),Assumptions!$F$4:$F$44))/NETWORKDAYS($K176,$L176,Assumptions!$F$4:$F$44))</f>
        <v>0</v>
      </c>
      <c r="AG176" s="21" t="n">
        <f aca="false">IF($J176=0,0,MAX(0,NETWORKDAYS(MAX($K176,AG$4),MIN($L176,EOMONTH(AG$4,0)),Assumptions!$F$4:$F$44))/NETWORKDAYS($K176,$L176,Assumptions!$F$4:$F$44))</f>
        <v>1</v>
      </c>
      <c r="AH176" s="21" t="n">
        <f aca="false">IF($J176=0,0,MAX(0,NETWORKDAYS(MAX($K176,AH$4),MIN($L176,EOMONTH(AH$4,0)),Assumptions!$F$4:$F$44))/NETWORKDAYS($K176,$L176,Assumptions!$F$4:$F$44))</f>
        <v>0</v>
      </c>
      <c r="AI176" s="21" t="n">
        <f aca="false">IF($J176=0,0,MAX(0,NETWORKDAYS(MAX($K176,AI$4),MIN($L176,EOMONTH(AI$4,0)),Assumptions!$F$4:$F$44))/NETWORKDAYS($K176,$L176,Assumptions!$F$4:$F$44))</f>
        <v>0</v>
      </c>
      <c r="AJ176" s="21" t="n">
        <f aca="false">IF($J176=0,0,MAX(0,NETWORKDAYS(MAX($K176,AJ$4),MIN($L176,EOMONTH(AJ$4,0)),Assumptions!$F$4:$F$44))/NETWORKDAYS($K176,$L176,Assumptions!$F$4:$F$44))</f>
        <v>0</v>
      </c>
      <c r="AK176" s="21" t="n">
        <f aca="false">IF($J176=0,0,MAX(0,NETWORKDAYS(MAX($K176,AK$4),MIN($L176,EOMONTH(AK$4,0)),Assumptions!$F$4:$F$44))/NETWORKDAYS($K176,$L176,Assumptions!$F$4:$F$44))</f>
        <v>0</v>
      </c>
      <c r="AL176" s="21" t="n">
        <f aca="false">IF($J176=0,0,MAX(0,NETWORKDAYS(MAX($K176,AL$4),MIN($L176,EOMONTH(AL$4,0)),Assumptions!$F$4:$F$44))/NETWORKDAYS($K176,$L176,Assumptions!$F$4:$F$44))</f>
        <v>0</v>
      </c>
      <c r="AM176" s="21" t="n">
        <f aca="false">IF($J176=0,0,MAX(0,NETWORKDAYS(MAX($K176,AM$4),MIN($L176,EOMONTH(AM$4,0)),Assumptions!$F$4:$F$44))/NETWORKDAYS($K176,$L176,Assumptions!$F$4:$F$44))</f>
        <v>0</v>
      </c>
      <c r="AN176" s="21" t="n">
        <f aca="false">IF($J176=0,0,MAX(0,NETWORKDAYS(MAX($K176,AN$4),MIN($L176,EOMONTH(AN$4,0)),Assumptions!$F$4:$F$44))/NETWORKDAYS($K176,$L176,Assumptions!$F$4:$F$44))</f>
        <v>0</v>
      </c>
      <c r="AO176" s="21" t="n">
        <f aca="false">IF($J176=0,0,MAX(0,NETWORKDAYS(MAX($K176,AO$4),MIN($L176,EOMONTH(AO$4,0)),Assumptions!$F$4:$F$44))/NETWORKDAYS($K176,$L176,Assumptions!$F$4:$F$44))</f>
        <v>0</v>
      </c>
      <c r="AP176" s="21" t="n">
        <f aca="false">IF($J176=0,0,MAX(0,NETWORKDAYS(MAX($K176,AP$4),MIN($L176,EOMONTH(AP$4,0)),Assumptions!$F$4:$F$44))/NETWORKDAYS($K176,$L176,Assumptions!$F$4:$F$44))</f>
        <v>0</v>
      </c>
      <c r="AQ176" s="21" t="n">
        <f aca="false">IF($J176=0,0,MAX(0,NETWORKDAYS(MAX($K176,AQ$4),MIN($L176,EOMONTH(AQ$4,0)),Assumptions!$F$4:$F$44))/NETWORKDAYS($K176,$L176,Assumptions!$F$4:$F$44))</f>
        <v>0</v>
      </c>
      <c r="AR176" s="21" t="n">
        <f aca="false">IF($J176=0,0,MAX(0,NETWORKDAYS(MAX($K176,AR$4),MIN($L176,EOMONTH(AR$4,0)),Assumptions!$F$4:$F$44))/NETWORKDAYS($K176,$L176,Assumptions!$F$4:$F$44))</f>
        <v>0</v>
      </c>
      <c r="AS176" s="21" t="n">
        <f aca="false">IF($J176=0,0,MAX(0,NETWORKDAYS(MAX($K176,AS$4),MIN($L176,EOMONTH(AS$4,0)),Assumptions!$F$4:$F$44))/NETWORKDAYS($K176,$L176,Assumptions!$F$4:$F$44))</f>
        <v>0</v>
      </c>
      <c r="AT176" s="21" t="n">
        <f aca="false">IF($J176=0,0,MAX(0,NETWORKDAYS(MAX($K176,AT$4),MIN($L176,EOMONTH(AT$4,0)),Assumptions!$F$4:$F$44))/NETWORKDAYS($K176,$L176,Assumptions!$F$4:$F$44))</f>
        <v>0</v>
      </c>
      <c r="AU176" s="21" t="n">
        <f aca="false">IF($J176=0,0,MAX(0,NETWORKDAYS(MAX($K176,AU$4),MIN($L176,EOMONTH(AU$4,0)),Assumptions!$F$4:$F$44))/NETWORKDAYS($K176,$L176,Assumptions!$F$4:$F$44))</f>
        <v>0</v>
      </c>
      <c r="AV176" s="21" t="n">
        <f aca="false">IF($J176=0,0,MAX(0,NETWORKDAYS(MAX($K176,AV$4),MIN($L176,EOMONTH(AV$4,0)),Assumptions!$F$4:$F$44))/NETWORKDAYS($K176,$L176,Assumptions!$F$4:$F$44))</f>
        <v>0</v>
      </c>
      <c r="AW176" s="21" t="n">
        <f aca="false">IF($J176=0,0,MAX(0,NETWORKDAYS(MAX($K176,AW$4),MIN($L176,EOMONTH(AW$4,0)),Assumptions!$F$4:$F$44))/NETWORKDAYS($K176,$L176,Assumptions!$F$4:$F$44))</f>
        <v>0</v>
      </c>
      <c r="AX176" s="21" t="n">
        <f aca="false">IF($J176=0,0,MAX(0,NETWORKDAYS(MAX($K176,AX$4),MIN($L176,EOMONTH(AX$4,0)),Assumptions!$F$4:$F$44))/NETWORKDAYS($K176,$L176,Assumptions!$F$4:$F$44))</f>
        <v>0</v>
      </c>
      <c r="AY176" s="21" t="n">
        <f aca="false">IF($J176=0,0,MAX(0,NETWORKDAYS(MAX($K176,AY$4),MIN($L176,EOMONTH(AY$4,0)),Assumptions!$F$4:$F$44))/NETWORKDAYS($K176,$L176,Assumptions!$F$4:$F$44))</f>
        <v>0</v>
      </c>
      <c r="AZ176" s="21" t="n">
        <f aca="false">IF($J176=0,0,MAX(0,NETWORKDAYS(MAX($K176,AZ$4),MIN($L176,EOMONTH(AZ$4,0)),Assumptions!$F$4:$F$44))/NETWORKDAYS($K176,$L176,Assumptions!$F$4:$F$44))</f>
        <v>0</v>
      </c>
      <c r="BA176" s="21" t="n">
        <f aca="false">IF($J176=0,0,MAX(0,NETWORKDAYS(MAX($K176,BA$4),MIN($L176,EOMONTH(BA$4,0)),Assumptions!$F$4:$F$44))/NETWORKDAYS($K176,$L176,Assumptions!$F$4:$F$44))</f>
        <v>0</v>
      </c>
      <c r="BB176" s="21" t="n">
        <f aca="false">IF($J176=0,0,MAX(0,NETWORKDAYS(MAX($K176,BB$4),MIN($L176,EOMONTH(BB$4,0)),Assumptions!$F$4:$F$44))/NETWORKDAYS($K176,$L176,Assumptions!$F$4:$F$44))</f>
        <v>0</v>
      </c>
      <c r="BC176" s="21" t="n">
        <f aca="false">IF($J176=0,0,MAX(0,NETWORKDAYS(MAX($K176,BC$4),MIN($L176,EOMONTH(BC$4,0)),Assumptions!$F$4:$F$44))/NETWORKDAYS($K176,$L176,Assumptions!$F$4:$F$44))</f>
        <v>0</v>
      </c>
    </row>
    <row r="177" customFormat="false" ht="15" hidden="false" customHeight="false" outlineLevel="2" collapsed="false">
      <c r="A177" s="27" t="n">
        <v>173</v>
      </c>
      <c r="B177" s="27" t="s">
        <v>444</v>
      </c>
      <c r="C177" s="27" t="n">
        <v>3</v>
      </c>
      <c r="D177" s="27" t="s">
        <v>92</v>
      </c>
      <c r="E177" s="28" t="s">
        <v>300</v>
      </c>
      <c r="F177" s="27" t="s">
        <v>154</v>
      </c>
      <c r="G177" s="27" t="s">
        <v>439</v>
      </c>
      <c r="H177" s="27" t="s">
        <v>49</v>
      </c>
      <c r="I177" s="29" t="n">
        <v>29</v>
      </c>
      <c r="J177" s="29" t="n">
        <v>13</v>
      </c>
      <c r="K177" s="30" t="n">
        <f aca="false">WORKDAY(Assumptions!$C$4,I177,Assumptions!$F$4:$F$44)</f>
        <v>46367</v>
      </c>
      <c r="L177" s="30" t="n">
        <f aca="false">IF(J177=0,K177,WORKDAY(K177,J177-1,Assumptions!$F$4:$F$44))</f>
        <v>46385</v>
      </c>
      <c r="M177" s="29" t="s">
        <v>443</v>
      </c>
      <c r="N177" s="31" t="n">
        <v>0</v>
      </c>
      <c r="O177" s="31" t="n">
        <v>3</v>
      </c>
      <c r="P177" s="31" t="n">
        <v>0</v>
      </c>
      <c r="Q177" s="31" t="n">
        <v>0</v>
      </c>
      <c r="R177" s="31" t="n">
        <v>9</v>
      </c>
      <c r="S177" s="31" t="n">
        <v>0</v>
      </c>
      <c r="T177" s="31" t="n">
        <v>0</v>
      </c>
      <c r="U177" s="31" t="n">
        <v>0</v>
      </c>
      <c r="V177" s="31" t="n">
        <v>0</v>
      </c>
      <c r="W177" s="31" t="n">
        <v>0</v>
      </c>
      <c r="X177" s="31" t="n">
        <v>0</v>
      </c>
      <c r="Y177" s="32" t="n">
        <f aca="false">SUM(N177:X177)</f>
        <v>12</v>
      </c>
      <c r="Z177" s="32" t="n">
        <f aca="false">Y177*(1+Assumptions!$C$5)</f>
        <v>13.8</v>
      </c>
      <c r="AA177" s="27" t="s">
        <v>301</v>
      </c>
      <c r="AB177" s="27" t="s">
        <v>95</v>
      </c>
      <c r="AC177" s="27"/>
      <c r="AD177" s="33" t="n">
        <v>0</v>
      </c>
      <c r="AF177" s="21" t="n">
        <f aca="false">IF($J177=0,0,MAX(0,NETWORKDAYS(MAX($K177,AF$4),MIN($L177,EOMONTH(AF$4,0)),Assumptions!$F$4:$F$44))/NETWORKDAYS($K177,$L177,Assumptions!$F$4:$F$44))</f>
        <v>0</v>
      </c>
      <c r="AG177" s="21" t="n">
        <f aca="false">IF($J177=0,0,MAX(0,NETWORKDAYS(MAX($K177,AG$4),MIN($L177,EOMONTH(AG$4,0)),Assumptions!$F$4:$F$44))/NETWORKDAYS($K177,$L177,Assumptions!$F$4:$F$44))</f>
        <v>1</v>
      </c>
      <c r="AH177" s="21" t="n">
        <f aca="false">IF($J177=0,0,MAX(0,NETWORKDAYS(MAX($K177,AH$4),MIN($L177,EOMONTH(AH$4,0)),Assumptions!$F$4:$F$44))/NETWORKDAYS($K177,$L177,Assumptions!$F$4:$F$44))</f>
        <v>0</v>
      </c>
      <c r="AI177" s="21" t="n">
        <f aca="false">IF($J177=0,0,MAX(0,NETWORKDAYS(MAX($K177,AI$4),MIN($L177,EOMONTH(AI$4,0)),Assumptions!$F$4:$F$44))/NETWORKDAYS($K177,$L177,Assumptions!$F$4:$F$44))</f>
        <v>0</v>
      </c>
      <c r="AJ177" s="21" t="n">
        <f aca="false">IF($J177=0,0,MAX(0,NETWORKDAYS(MAX($K177,AJ$4),MIN($L177,EOMONTH(AJ$4,0)),Assumptions!$F$4:$F$44))/NETWORKDAYS($K177,$L177,Assumptions!$F$4:$F$44))</f>
        <v>0</v>
      </c>
      <c r="AK177" s="21" t="n">
        <f aca="false">IF($J177=0,0,MAX(0,NETWORKDAYS(MAX($K177,AK$4),MIN($L177,EOMONTH(AK$4,0)),Assumptions!$F$4:$F$44))/NETWORKDAYS($K177,$L177,Assumptions!$F$4:$F$44))</f>
        <v>0</v>
      </c>
      <c r="AL177" s="21" t="n">
        <f aca="false">IF($J177=0,0,MAX(0,NETWORKDAYS(MAX($K177,AL$4),MIN($L177,EOMONTH(AL$4,0)),Assumptions!$F$4:$F$44))/NETWORKDAYS($K177,$L177,Assumptions!$F$4:$F$44))</f>
        <v>0</v>
      </c>
      <c r="AM177" s="21" t="n">
        <f aca="false">IF($J177=0,0,MAX(0,NETWORKDAYS(MAX($K177,AM$4),MIN($L177,EOMONTH(AM$4,0)),Assumptions!$F$4:$F$44))/NETWORKDAYS($K177,$L177,Assumptions!$F$4:$F$44))</f>
        <v>0</v>
      </c>
      <c r="AN177" s="21" t="n">
        <f aca="false">IF($J177=0,0,MAX(0,NETWORKDAYS(MAX($K177,AN$4),MIN($L177,EOMONTH(AN$4,0)),Assumptions!$F$4:$F$44))/NETWORKDAYS($K177,$L177,Assumptions!$F$4:$F$44))</f>
        <v>0</v>
      </c>
      <c r="AO177" s="21" t="n">
        <f aca="false">IF($J177=0,0,MAX(0,NETWORKDAYS(MAX($K177,AO$4),MIN($L177,EOMONTH(AO$4,0)),Assumptions!$F$4:$F$44))/NETWORKDAYS($K177,$L177,Assumptions!$F$4:$F$44))</f>
        <v>0</v>
      </c>
      <c r="AP177" s="21" t="n">
        <f aca="false">IF($J177=0,0,MAX(0,NETWORKDAYS(MAX($K177,AP$4),MIN($L177,EOMONTH(AP$4,0)),Assumptions!$F$4:$F$44))/NETWORKDAYS($K177,$L177,Assumptions!$F$4:$F$44))</f>
        <v>0</v>
      </c>
      <c r="AQ177" s="21" t="n">
        <f aca="false">IF($J177=0,0,MAX(0,NETWORKDAYS(MAX($K177,AQ$4),MIN($L177,EOMONTH(AQ$4,0)),Assumptions!$F$4:$F$44))/NETWORKDAYS($K177,$L177,Assumptions!$F$4:$F$44))</f>
        <v>0</v>
      </c>
      <c r="AR177" s="21" t="n">
        <f aca="false">IF($J177=0,0,MAX(0,NETWORKDAYS(MAX($K177,AR$4),MIN($L177,EOMONTH(AR$4,0)),Assumptions!$F$4:$F$44))/NETWORKDAYS($K177,$L177,Assumptions!$F$4:$F$44))</f>
        <v>0</v>
      </c>
      <c r="AS177" s="21" t="n">
        <f aca="false">IF($J177=0,0,MAX(0,NETWORKDAYS(MAX($K177,AS$4),MIN($L177,EOMONTH(AS$4,0)),Assumptions!$F$4:$F$44))/NETWORKDAYS($K177,$L177,Assumptions!$F$4:$F$44))</f>
        <v>0</v>
      </c>
      <c r="AT177" s="21" t="n">
        <f aca="false">IF($J177=0,0,MAX(0,NETWORKDAYS(MAX($K177,AT$4),MIN($L177,EOMONTH(AT$4,0)),Assumptions!$F$4:$F$44))/NETWORKDAYS($K177,$L177,Assumptions!$F$4:$F$44))</f>
        <v>0</v>
      </c>
      <c r="AU177" s="21" t="n">
        <f aca="false">IF($J177=0,0,MAX(0,NETWORKDAYS(MAX($K177,AU$4),MIN($L177,EOMONTH(AU$4,0)),Assumptions!$F$4:$F$44))/NETWORKDAYS($K177,$L177,Assumptions!$F$4:$F$44))</f>
        <v>0</v>
      </c>
      <c r="AV177" s="21" t="n">
        <f aca="false">IF($J177=0,0,MAX(0,NETWORKDAYS(MAX($K177,AV$4),MIN($L177,EOMONTH(AV$4,0)),Assumptions!$F$4:$F$44))/NETWORKDAYS($K177,$L177,Assumptions!$F$4:$F$44))</f>
        <v>0</v>
      </c>
      <c r="AW177" s="21" t="n">
        <f aca="false">IF($J177=0,0,MAX(0,NETWORKDAYS(MAX($K177,AW$4),MIN($L177,EOMONTH(AW$4,0)),Assumptions!$F$4:$F$44))/NETWORKDAYS($K177,$L177,Assumptions!$F$4:$F$44))</f>
        <v>0</v>
      </c>
      <c r="AX177" s="21" t="n">
        <f aca="false">IF($J177=0,0,MAX(0,NETWORKDAYS(MAX($K177,AX$4),MIN($L177,EOMONTH(AX$4,0)),Assumptions!$F$4:$F$44))/NETWORKDAYS($K177,$L177,Assumptions!$F$4:$F$44))</f>
        <v>0</v>
      </c>
      <c r="AY177" s="21" t="n">
        <f aca="false">IF($J177=0,0,MAX(0,NETWORKDAYS(MAX($K177,AY$4),MIN($L177,EOMONTH(AY$4,0)),Assumptions!$F$4:$F$44))/NETWORKDAYS($K177,$L177,Assumptions!$F$4:$F$44))</f>
        <v>0</v>
      </c>
      <c r="AZ177" s="21" t="n">
        <f aca="false">IF($J177=0,0,MAX(0,NETWORKDAYS(MAX($K177,AZ$4),MIN($L177,EOMONTH(AZ$4,0)),Assumptions!$F$4:$F$44))/NETWORKDAYS($K177,$L177,Assumptions!$F$4:$F$44))</f>
        <v>0</v>
      </c>
      <c r="BA177" s="21" t="n">
        <f aca="false">IF($J177=0,0,MAX(0,NETWORKDAYS(MAX($K177,BA$4),MIN($L177,EOMONTH(BA$4,0)),Assumptions!$F$4:$F$44))/NETWORKDAYS($K177,$L177,Assumptions!$F$4:$F$44))</f>
        <v>0</v>
      </c>
      <c r="BB177" s="21" t="n">
        <f aca="false">IF($J177=0,0,MAX(0,NETWORKDAYS(MAX($K177,BB$4),MIN($L177,EOMONTH(BB$4,0)),Assumptions!$F$4:$F$44))/NETWORKDAYS($K177,$L177,Assumptions!$F$4:$F$44))</f>
        <v>0</v>
      </c>
      <c r="BC177" s="21" t="n">
        <f aca="false">IF($J177=0,0,MAX(0,NETWORKDAYS(MAX($K177,BC$4),MIN($L177,EOMONTH(BC$4,0)),Assumptions!$F$4:$F$44))/NETWORKDAYS($K177,$L177,Assumptions!$F$4:$F$44))</f>
        <v>0</v>
      </c>
    </row>
    <row r="178" customFormat="false" ht="15" hidden="false" customHeight="false" outlineLevel="2" collapsed="false">
      <c r="A178" s="27" t="n">
        <v>174</v>
      </c>
      <c r="B178" s="27" t="s">
        <v>445</v>
      </c>
      <c r="C178" s="27" t="n">
        <v>3</v>
      </c>
      <c r="D178" s="27" t="s">
        <v>92</v>
      </c>
      <c r="E178" s="28" t="s">
        <v>303</v>
      </c>
      <c r="F178" s="27" t="s">
        <v>154</v>
      </c>
      <c r="G178" s="27" t="s">
        <v>439</v>
      </c>
      <c r="H178" s="27" t="s">
        <v>47</v>
      </c>
      <c r="I178" s="29" t="n">
        <v>40</v>
      </c>
      <c r="J178" s="29" t="n">
        <v>47</v>
      </c>
      <c r="K178" s="30" t="n">
        <f aca="false">WORKDAY(Assumptions!$C$4,I178,Assumptions!$F$4:$F$44)</f>
        <v>46384</v>
      </c>
      <c r="L178" s="30" t="n">
        <f aca="false">IF(J178=0,K178,WORKDAY(K178,J178-1,Assumptions!$F$4:$F$44))</f>
        <v>46448</v>
      </c>
      <c r="M178" s="29" t="s">
        <v>446</v>
      </c>
      <c r="N178" s="31" t="n">
        <v>0</v>
      </c>
      <c r="O178" s="31" t="n">
        <v>0</v>
      </c>
      <c r="P178" s="31" t="n">
        <v>0</v>
      </c>
      <c r="Q178" s="31" t="n">
        <v>46</v>
      </c>
      <c r="R178" s="31" t="n">
        <v>0</v>
      </c>
      <c r="S178" s="31" t="n">
        <v>0</v>
      </c>
      <c r="T178" s="31" t="n">
        <v>0</v>
      </c>
      <c r="U178" s="31" t="n">
        <v>0</v>
      </c>
      <c r="V178" s="31" t="n">
        <v>0</v>
      </c>
      <c r="W178" s="31" t="n">
        <v>0</v>
      </c>
      <c r="X178" s="31" t="n">
        <v>0</v>
      </c>
      <c r="Y178" s="32" t="n">
        <f aca="false">SUM(N178:X178)</f>
        <v>46</v>
      </c>
      <c r="Z178" s="32" t="n">
        <f aca="false">Y178*(1+Assumptions!$C$5)</f>
        <v>52.9</v>
      </c>
      <c r="AA178" s="27" t="s">
        <v>305</v>
      </c>
      <c r="AB178" s="27" t="s">
        <v>95</v>
      </c>
      <c r="AC178" s="27"/>
      <c r="AD178" s="33" t="n">
        <v>0</v>
      </c>
      <c r="AF178" s="21" t="n">
        <f aca="false">IF($J178=0,0,MAX(0,NETWORKDAYS(MAX($K178,AF$4),MIN($L178,EOMONTH(AF$4,0)),Assumptions!$F$4:$F$44))/NETWORKDAYS($K178,$L178,Assumptions!$F$4:$F$44))</f>
        <v>0</v>
      </c>
      <c r="AG178" s="21" t="n">
        <f aca="false">IF($J178=0,0,MAX(0,NETWORKDAYS(MAX($K178,AG$4),MIN($L178,EOMONTH(AG$4,0)),Assumptions!$F$4:$F$44))/NETWORKDAYS($K178,$L178,Assumptions!$F$4:$F$44))</f>
        <v>0.0851063829787234</v>
      </c>
      <c r="AH178" s="21" t="n">
        <f aca="false">IF($J178=0,0,MAX(0,NETWORKDAYS(MAX($K178,AH$4),MIN($L178,EOMONTH(AH$4,0)),Assumptions!$F$4:$F$44))/NETWORKDAYS($K178,$L178,Assumptions!$F$4:$F$44))</f>
        <v>0.446808510638298</v>
      </c>
      <c r="AI178" s="21" t="n">
        <f aca="false">IF($J178=0,0,MAX(0,NETWORKDAYS(MAX($K178,AI$4),MIN($L178,EOMONTH(AI$4,0)),Assumptions!$F$4:$F$44))/NETWORKDAYS($K178,$L178,Assumptions!$F$4:$F$44))</f>
        <v>0.425531914893617</v>
      </c>
      <c r="AJ178" s="21" t="n">
        <f aca="false">IF($J178=0,0,MAX(0,NETWORKDAYS(MAX($K178,AJ$4),MIN($L178,EOMONTH(AJ$4,0)),Assumptions!$F$4:$F$44))/NETWORKDAYS($K178,$L178,Assumptions!$F$4:$F$44))</f>
        <v>0.0425531914893617</v>
      </c>
      <c r="AK178" s="21" t="n">
        <f aca="false">IF($J178=0,0,MAX(0,NETWORKDAYS(MAX($K178,AK$4),MIN($L178,EOMONTH(AK$4,0)),Assumptions!$F$4:$F$44))/NETWORKDAYS($K178,$L178,Assumptions!$F$4:$F$44))</f>
        <v>0</v>
      </c>
      <c r="AL178" s="21" t="n">
        <f aca="false">IF($J178=0,0,MAX(0,NETWORKDAYS(MAX($K178,AL$4),MIN($L178,EOMONTH(AL$4,0)),Assumptions!$F$4:$F$44))/NETWORKDAYS($K178,$L178,Assumptions!$F$4:$F$44))</f>
        <v>0</v>
      </c>
      <c r="AM178" s="21" t="n">
        <f aca="false">IF($J178=0,0,MAX(0,NETWORKDAYS(MAX($K178,AM$4),MIN($L178,EOMONTH(AM$4,0)),Assumptions!$F$4:$F$44))/NETWORKDAYS($K178,$L178,Assumptions!$F$4:$F$44))</f>
        <v>0</v>
      </c>
      <c r="AN178" s="21" t="n">
        <f aca="false">IF($J178=0,0,MAX(0,NETWORKDAYS(MAX($K178,AN$4),MIN($L178,EOMONTH(AN$4,0)),Assumptions!$F$4:$F$44))/NETWORKDAYS($K178,$L178,Assumptions!$F$4:$F$44))</f>
        <v>0</v>
      </c>
      <c r="AO178" s="21" t="n">
        <f aca="false">IF($J178=0,0,MAX(0,NETWORKDAYS(MAX($K178,AO$4),MIN($L178,EOMONTH(AO$4,0)),Assumptions!$F$4:$F$44))/NETWORKDAYS($K178,$L178,Assumptions!$F$4:$F$44))</f>
        <v>0</v>
      </c>
      <c r="AP178" s="21" t="n">
        <f aca="false">IF($J178=0,0,MAX(0,NETWORKDAYS(MAX($K178,AP$4),MIN($L178,EOMONTH(AP$4,0)),Assumptions!$F$4:$F$44))/NETWORKDAYS($K178,$L178,Assumptions!$F$4:$F$44))</f>
        <v>0</v>
      </c>
      <c r="AQ178" s="21" t="n">
        <f aca="false">IF($J178=0,0,MAX(0,NETWORKDAYS(MAX($K178,AQ$4),MIN($L178,EOMONTH(AQ$4,0)),Assumptions!$F$4:$F$44))/NETWORKDAYS($K178,$L178,Assumptions!$F$4:$F$44))</f>
        <v>0</v>
      </c>
      <c r="AR178" s="21" t="n">
        <f aca="false">IF($J178=0,0,MAX(0,NETWORKDAYS(MAX($K178,AR$4),MIN($L178,EOMONTH(AR$4,0)),Assumptions!$F$4:$F$44))/NETWORKDAYS($K178,$L178,Assumptions!$F$4:$F$44))</f>
        <v>0</v>
      </c>
      <c r="AS178" s="21" t="n">
        <f aca="false">IF($J178=0,0,MAX(0,NETWORKDAYS(MAX($K178,AS$4),MIN($L178,EOMONTH(AS$4,0)),Assumptions!$F$4:$F$44))/NETWORKDAYS($K178,$L178,Assumptions!$F$4:$F$44))</f>
        <v>0</v>
      </c>
      <c r="AT178" s="21" t="n">
        <f aca="false">IF($J178=0,0,MAX(0,NETWORKDAYS(MAX($K178,AT$4),MIN($L178,EOMONTH(AT$4,0)),Assumptions!$F$4:$F$44))/NETWORKDAYS($K178,$L178,Assumptions!$F$4:$F$44))</f>
        <v>0</v>
      </c>
      <c r="AU178" s="21" t="n">
        <f aca="false">IF($J178=0,0,MAX(0,NETWORKDAYS(MAX($K178,AU$4),MIN($L178,EOMONTH(AU$4,0)),Assumptions!$F$4:$F$44))/NETWORKDAYS($K178,$L178,Assumptions!$F$4:$F$44))</f>
        <v>0</v>
      </c>
      <c r="AV178" s="21" t="n">
        <f aca="false">IF($J178=0,0,MAX(0,NETWORKDAYS(MAX($K178,AV$4),MIN($L178,EOMONTH(AV$4,0)),Assumptions!$F$4:$F$44))/NETWORKDAYS($K178,$L178,Assumptions!$F$4:$F$44))</f>
        <v>0</v>
      </c>
      <c r="AW178" s="21" t="n">
        <f aca="false">IF($J178=0,0,MAX(0,NETWORKDAYS(MAX($K178,AW$4),MIN($L178,EOMONTH(AW$4,0)),Assumptions!$F$4:$F$44))/NETWORKDAYS($K178,$L178,Assumptions!$F$4:$F$44))</f>
        <v>0</v>
      </c>
      <c r="AX178" s="21" t="n">
        <f aca="false">IF($J178=0,0,MAX(0,NETWORKDAYS(MAX($K178,AX$4),MIN($L178,EOMONTH(AX$4,0)),Assumptions!$F$4:$F$44))/NETWORKDAYS($K178,$L178,Assumptions!$F$4:$F$44))</f>
        <v>0</v>
      </c>
      <c r="AY178" s="21" t="n">
        <f aca="false">IF($J178=0,0,MAX(0,NETWORKDAYS(MAX($K178,AY$4),MIN($L178,EOMONTH(AY$4,0)),Assumptions!$F$4:$F$44))/NETWORKDAYS($K178,$L178,Assumptions!$F$4:$F$44))</f>
        <v>0</v>
      </c>
      <c r="AZ178" s="21" t="n">
        <f aca="false">IF($J178=0,0,MAX(0,NETWORKDAYS(MAX($K178,AZ$4),MIN($L178,EOMONTH(AZ$4,0)),Assumptions!$F$4:$F$44))/NETWORKDAYS($K178,$L178,Assumptions!$F$4:$F$44))</f>
        <v>0</v>
      </c>
      <c r="BA178" s="21" t="n">
        <f aca="false">IF($J178=0,0,MAX(0,NETWORKDAYS(MAX($K178,BA$4),MIN($L178,EOMONTH(BA$4,0)),Assumptions!$F$4:$F$44))/NETWORKDAYS($K178,$L178,Assumptions!$F$4:$F$44))</f>
        <v>0</v>
      </c>
      <c r="BB178" s="21" t="n">
        <f aca="false">IF($J178=0,0,MAX(0,NETWORKDAYS(MAX($K178,BB$4),MIN($L178,EOMONTH(BB$4,0)),Assumptions!$F$4:$F$44))/NETWORKDAYS($K178,$L178,Assumptions!$F$4:$F$44))</f>
        <v>0</v>
      </c>
      <c r="BC178" s="21" t="n">
        <f aca="false">IF($J178=0,0,MAX(0,NETWORKDAYS(MAX($K178,BC$4),MIN($L178,EOMONTH(BC$4,0)),Assumptions!$F$4:$F$44))/NETWORKDAYS($K178,$L178,Assumptions!$F$4:$F$44))</f>
        <v>0</v>
      </c>
    </row>
    <row r="179" customFormat="false" ht="15" hidden="false" customHeight="false" outlineLevel="2" collapsed="false">
      <c r="A179" s="27" t="n">
        <v>175</v>
      </c>
      <c r="B179" s="27" t="s">
        <v>447</v>
      </c>
      <c r="C179" s="27" t="n">
        <v>3</v>
      </c>
      <c r="D179" s="27" t="s">
        <v>92</v>
      </c>
      <c r="E179" s="28" t="s">
        <v>307</v>
      </c>
      <c r="F179" s="27" t="s">
        <v>154</v>
      </c>
      <c r="G179" s="27" t="s">
        <v>439</v>
      </c>
      <c r="H179" s="27" t="s">
        <v>47</v>
      </c>
      <c r="I179" s="29" t="n">
        <v>54</v>
      </c>
      <c r="J179" s="29" t="n">
        <v>34</v>
      </c>
      <c r="K179" s="30" t="n">
        <f aca="false">WORKDAY(Assumptions!$C$4,I179,Assumptions!$F$4:$F$44)</f>
        <v>46402</v>
      </c>
      <c r="L179" s="30" t="n">
        <f aca="false">IF(J179=0,K179,WORKDAY(K179,J179-1,Assumptions!$F$4:$F$44))</f>
        <v>46449</v>
      </c>
      <c r="M179" s="29" t="s">
        <v>446</v>
      </c>
      <c r="N179" s="31" t="n">
        <v>0</v>
      </c>
      <c r="O179" s="31" t="n">
        <v>6</v>
      </c>
      <c r="P179" s="31" t="n">
        <v>0</v>
      </c>
      <c r="Q179" s="31" t="n">
        <v>15</v>
      </c>
      <c r="R179" s="31" t="n">
        <v>0</v>
      </c>
      <c r="S179" s="31" t="n">
        <v>0</v>
      </c>
      <c r="T179" s="31" t="n">
        <v>0</v>
      </c>
      <c r="U179" s="31" t="n">
        <v>0</v>
      </c>
      <c r="V179" s="31" t="n">
        <v>0</v>
      </c>
      <c r="W179" s="31" t="n">
        <v>0</v>
      </c>
      <c r="X179" s="31" t="n">
        <v>0</v>
      </c>
      <c r="Y179" s="32" t="n">
        <f aca="false">SUM(N179:X179)</f>
        <v>21</v>
      </c>
      <c r="Z179" s="32" t="n">
        <f aca="false">Y179*(1+Assumptions!$C$5)</f>
        <v>24.15</v>
      </c>
      <c r="AA179" s="27" t="s">
        <v>308</v>
      </c>
      <c r="AB179" s="27" t="s">
        <v>95</v>
      </c>
      <c r="AC179" s="27"/>
      <c r="AD179" s="33" t="n">
        <v>0</v>
      </c>
      <c r="AF179" s="21" t="n">
        <f aca="false">IF($J179=0,0,MAX(0,NETWORKDAYS(MAX($K179,AF$4),MIN($L179,EOMONTH(AF$4,0)),Assumptions!$F$4:$F$44))/NETWORKDAYS($K179,$L179,Assumptions!$F$4:$F$44))</f>
        <v>0</v>
      </c>
      <c r="AG179" s="21" t="n">
        <f aca="false">IF($J179=0,0,MAX(0,NETWORKDAYS(MAX($K179,AG$4),MIN($L179,EOMONTH(AG$4,0)),Assumptions!$F$4:$F$44))/NETWORKDAYS($K179,$L179,Assumptions!$F$4:$F$44))</f>
        <v>0</v>
      </c>
      <c r="AH179" s="21" t="n">
        <f aca="false">IF($J179=0,0,MAX(0,NETWORKDAYS(MAX($K179,AH$4),MIN($L179,EOMONTH(AH$4,0)),Assumptions!$F$4:$F$44))/NETWORKDAYS($K179,$L179,Assumptions!$F$4:$F$44))</f>
        <v>0.323529411764706</v>
      </c>
      <c r="AI179" s="21" t="n">
        <f aca="false">IF($J179=0,0,MAX(0,NETWORKDAYS(MAX($K179,AI$4),MIN($L179,EOMONTH(AI$4,0)),Assumptions!$F$4:$F$44))/NETWORKDAYS($K179,$L179,Assumptions!$F$4:$F$44))</f>
        <v>0.588235294117647</v>
      </c>
      <c r="AJ179" s="21" t="n">
        <f aca="false">IF($J179=0,0,MAX(0,NETWORKDAYS(MAX($K179,AJ$4),MIN($L179,EOMONTH(AJ$4,0)),Assumptions!$F$4:$F$44))/NETWORKDAYS($K179,$L179,Assumptions!$F$4:$F$44))</f>
        <v>0.0882352941176471</v>
      </c>
      <c r="AK179" s="21" t="n">
        <f aca="false">IF($J179=0,0,MAX(0,NETWORKDAYS(MAX($K179,AK$4),MIN($L179,EOMONTH(AK$4,0)),Assumptions!$F$4:$F$44))/NETWORKDAYS($K179,$L179,Assumptions!$F$4:$F$44))</f>
        <v>0</v>
      </c>
      <c r="AL179" s="21" t="n">
        <f aca="false">IF($J179=0,0,MAX(0,NETWORKDAYS(MAX($K179,AL$4),MIN($L179,EOMONTH(AL$4,0)),Assumptions!$F$4:$F$44))/NETWORKDAYS($K179,$L179,Assumptions!$F$4:$F$44))</f>
        <v>0</v>
      </c>
      <c r="AM179" s="21" t="n">
        <f aca="false">IF($J179=0,0,MAX(0,NETWORKDAYS(MAX($K179,AM$4),MIN($L179,EOMONTH(AM$4,0)),Assumptions!$F$4:$F$44))/NETWORKDAYS($K179,$L179,Assumptions!$F$4:$F$44))</f>
        <v>0</v>
      </c>
      <c r="AN179" s="21" t="n">
        <f aca="false">IF($J179=0,0,MAX(0,NETWORKDAYS(MAX($K179,AN$4),MIN($L179,EOMONTH(AN$4,0)),Assumptions!$F$4:$F$44))/NETWORKDAYS($K179,$L179,Assumptions!$F$4:$F$44))</f>
        <v>0</v>
      </c>
      <c r="AO179" s="21" t="n">
        <f aca="false">IF($J179=0,0,MAX(0,NETWORKDAYS(MAX($K179,AO$4),MIN($L179,EOMONTH(AO$4,0)),Assumptions!$F$4:$F$44))/NETWORKDAYS($K179,$L179,Assumptions!$F$4:$F$44))</f>
        <v>0</v>
      </c>
      <c r="AP179" s="21" t="n">
        <f aca="false">IF($J179=0,0,MAX(0,NETWORKDAYS(MAX($K179,AP$4),MIN($L179,EOMONTH(AP$4,0)),Assumptions!$F$4:$F$44))/NETWORKDAYS($K179,$L179,Assumptions!$F$4:$F$44))</f>
        <v>0</v>
      </c>
      <c r="AQ179" s="21" t="n">
        <f aca="false">IF($J179=0,0,MAX(0,NETWORKDAYS(MAX($K179,AQ$4),MIN($L179,EOMONTH(AQ$4,0)),Assumptions!$F$4:$F$44))/NETWORKDAYS($K179,$L179,Assumptions!$F$4:$F$44))</f>
        <v>0</v>
      </c>
      <c r="AR179" s="21" t="n">
        <f aca="false">IF($J179=0,0,MAX(0,NETWORKDAYS(MAX($K179,AR$4),MIN($L179,EOMONTH(AR$4,0)),Assumptions!$F$4:$F$44))/NETWORKDAYS($K179,$L179,Assumptions!$F$4:$F$44))</f>
        <v>0</v>
      </c>
      <c r="AS179" s="21" t="n">
        <f aca="false">IF($J179=0,0,MAX(0,NETWORKDAYS(MAX($K179,AS$4),MIN($L179,EOMONTH(AS$4,0)),Assumptions!$F$4:$F$44))/NETWORKDAYS($K179,$L179,Assumptions!$F$4:$F$44))</f>
        <v>0</v>
      </c>
      <c r="AT179" s="21" t="n">
        <f aca="false">IF($J179=0,0,MAX(0,NETWORKDAYS(MAX($K179,AT$4),MIN($L179,EOMONTH(AT$4,0)),Assumptions!$F$4:$F$44))/NETWORKDAYS($K179,$L179,Assumptions!$F$4:$F$44))</f>
        <v>0</v>
      </c>
      <c r="AU179" s="21" t="n">
        <f aca="false">IF($J179=0,0,MAX(0,NETWORKDAYS(MAX($K179,AU$4),MIN($L179,EOMONTH(AU$4,0)),Assumptions!$F$4:$F$44))/NETWORKDAYS($K179,$L179,Assumptions!$F$4:$F$44))</f>
        <v>0</v>
      </c>
      <c r="AV179" s="21" t="n">
        <f aca="false">IF($J179=0,0,MAX(0,NETWORKDAYS(MAX($K179,AV$4),MIN($L179,EOMONTH(AV$4,0)),Assumptions!$F$4:$F$44))/NETWORKDAYS($K179,$L179,Assumptions!$F$4:$F$44))</f>
        <v>0</v>
      </c>
      <c r="AW179" s="21" t="n">
        <f aca="false">IF($J179=0,0,MAX(0,NETWORKDAYS(MAX($K179,AW$4),MIN($L179,EOMONTH(AW$4,0)),Assumptions!$F$4:$F$44))/NETWORKDAYS($K179,$L179,Assumptions!$F$4:$F$44))</f>
        <v>0</v>
      </c>
      <c r="AX179" s="21" t="n">
        <f aca="false">IF($J179=0,0,MAX(0,NETWORKDAYS(MAX($K179,AX$4),MIN($L179,EOMONTH(AX$4,0)),Assumptions!$F$4:$F$44))/NETWORKDAYS($K179,$L179,Assumptions!$F$4:$F$44))</f>
        <v>0</v>
      </c>
      <c r="AY179" s="21" t="n">
        <f aca="false">IF($J179=0,0,MAX(0,NETWORKDAYS(MAX($K179,AY$4),MIN($L179,EOMONTH(AY$4,0)),Assumptions!$F$4:$F$44))/NETWORKDAYS($K179,$L179,Assumptions!$F$4:$F$44))</f>
        <v>0</v>
      </c>
      <c r="AZ179" s="21" t="n">
        <f aca="false">IF($J179=0,0,MAX(0,NETWORKDAYS(MAX($K179,AZ$4),MIN($L179,EOMONTH(AZ$4,0)),Assumptions!$F$4:$F$44))/NETWORKDAYS($K179,$L179,Assumptions!$F$4:$F$44))</f>
        <v>0</v>
      </c>
      <c r="BA179" s="21" t="n">
        <f aca="false">IF($J179=0,0,MAX(0,NETWORKDAYS(MAX($K179,BA$4),MIN($L179,EOMONTH(BA$4,0)),Assumptions!$F$4:$F$44))/NETWORKDAYS($K179,$L179,Assumptions!$F$4:$F$44))</f>
        <v>0</v>
      </c>
      <c r="BB179" s="21" t="n">
        <f aca="false">IF($J179=0,0,MAX(0,NETWORKDAYS(MAX($K179,BB$4),MIN($L179,EOMONTH(BB$4,0)),Assumptions!$F$4:$F$44))/NETWORKDAYS($K179,$L179,Assumptions!$F$4:$F$44))</f>
        <v>0</v>
      </c>
      <c r="BC179" s="21" t="n">
        <f aca="false">IF($J179=0,0,MAX(0,NETWORKDAYS(MAX($K179,BC$4),MIN($L179,EOMONTH(BC$4,0)),Assumptions!$F$4:$F$44))/NETWORKDAYS($K179,$L179,Assumptions!$F$4:$F$44))</f>
        <v>0</v>
      </c>
    </row>
    <row r="180" customFormat="false" ht="15" hidden="false" customHeight="false" outlineLevel="2" collapsed="false">
      <c r="A180" s="27" t="n">
        <v>176</v>
      </c>
      <c r="B180" s="27" t="s">
        <v>448</v>
      </c>
      <c r="C180" s="27" t="n">
        <v>3</v>
      </c>
      <c r="D180" s="27" t="s">
        <v>92</v>
      </c>
      <c r="E180" s="28" t="s">
        <v>310</v>
      </c>
      <c r="F180" s="27" t="s">
        <v>154</v>
      </c>
      <c r="G180" s="27" t="s">
        <v>439</v>
      </c>
      <c r="H180" s="27" t="s">
        <v>49</v>
      </c>
      <c r="I180" s="29" t="n">
        <v>48</v>
      </c>
      <c r="J180" s="29" t="n">
        <v>45</v>
      </c>
      <c r="K180" s="30" t="n">
        <f aca="false">WORKDAY(Assumptions!$C$4,I180,Assumptions!$F$4:$F$44)</f>
        <v>46394</v>
      </c>
      <c r="L180" s="30" t="n">
        <f aca="false">IF(J180=0,K180,WORKDAY(K180,J180-1,Assumptions!$F$4:$F$44))</f>
        <v>46456</v>
      </c>
      <c r="M180" s="29" t="s">
        <v>449</v>
      </c>
      <c r="N180" s="31" t="n">
        <v>0</v>
      </c>
      <c r="O180" s="31" t="n">
        <v>0</v>
      </c>
      <c r="P180" s="31" t="n">
        <v>0</v>
      </c>
      <c r="Q180" s="31" t="n">
        <v>0</v>
      </c>
      <c r="R180" s="31" t="n">
        <v>38</v>
      </c>
      <c r="S180" s="31" t="n">
        <v>0</v>
      </c>
      <c r="T180" s="31" t="n">
        <v>0</v>
      </c>
      <c r="U180" s="31" t="n">
        <v>0</v>
      </c>
      <c r="V180" s="31" t="n">
        <v>0</v>
      </c>
      <c r="W180" s="31" t="n">
        <v>0</v>
      </c>
      <c r="X180" s="31" t="n">
        <v>0</v>
      </c>
      <c r="Y180" s="32" t="n">
        <f aca="false">SUM(N180:X180)</f>
        <v>38</v>
      </c>
      <c r="Z180" s="32" t="n">
        <f aca="false">Y180*(1+Assumptions!$C$5)</f>
        <v>43.7</v>
      </c>
      <c r="AA180" s="27" t="s">
        <v>312</v>
      </c>
      <c r="AB180" s="27" t="s">
        <v>95</v>
      </c>
      <c r="AC180" s="27"/>
      <c r="AD180" s="33" t="n">
        <v>0</v>
      </c>
      <c r="AF180" s="21" t="n">
        <f aca="false">IF($J180=0,0,MAX(0,NETWORKDAYS(MAX($K180,AF$4),MIN($L180,EOMONTH(AF$4,0)),Assumptions!$F$4:$F$44))/NETWORKDAYS($K180,$L180,Assumptions!$F$4:$F$44))</f>
        <v>0</v>
      </c>
      <c r="AG180" s="21" t="n">
        <f aca="false">IF($J180=0,0,MAX(0,NETWORKDAYS(MAX($K180,AG$4),MIN($L180,EOMONTH(AG$4,0)),Assumptions!$F$4:$F$44))/NETWORKDAYS($K180,$L180,Assumptions!$F$4:$F$44))</f>
        <v>0</v>
      </c>
      <c r="AH180" s="21" t="n">
        <f aca="false">IF($J180=0,0,MAX(0,NETWORKDAYS(MAX($K180,AH$4),MIN($L180,EOMONTH(AH$4,0)),Assumptions!$F$4:$F$44))/NETWORKDAYS($K180,$L180,Assumptions!$F$4:$F$44))</f>
        <v>0.377777777777778</v>
      </c>
      <c r="AI180" s="21" t="n">
        <f aca="false">IF($J180=0,0,MAX(0,NETWORKDAYS(MAX($K180,AI$4),MIN($L180,EOMONTH(AI$4,0)),Assumptions!$F$4:$F$44))/NETWORKDAYS($K180,$L180,Assumptions!$F$4:$F$44))</f>
        <v>0.444444444444444</v>
      </c>
      <c r="AJ180" s="21" t="n">
        <f aca="false">IF($J180=0,0,MAX(0,NETWORKDAYS(MAX($K180,AJ$4),MIN($L180,EOMONTH(AJ$4,0)),Assumptions!$F$4:$F$44))/NETWORKDAYS($K180,$L180,Assumptions!$F$4:$F$44))</f>
        <v>0.177777777777778</v>
      </c>
      <c r="AK180" s="21" t="n">
        <f aca="false">IF($J180=0,0,MAX(0,NETWORKDAYS(MAX($K180,AK$4),MIN($L180,EOMONTH(AK$4,0)),Assumptions!$F$4:$F$44))/NETWORKDAYS($K180,$L180,Assumptions!$F$4:$F$44))</f>
        <v>0</v>
      </c>
      <c r="AL180" s="21" t="n">
        <f aca="false">IF($J180=0,0,MAX(0,NETWORKDAYS(MAX($K180,AL$4),MIN($L180,EOMONTH(AL$4,0)),Assumptions!$F$4:$F$44))/NETWORKDAYS($K180,$L180,Assumptions!$F$4:$F$44))</f>
        <v>0</v>
      </c>
      <c r="AM180" s="21" t="n">
        <f aca="false">IF($J180=0,0,MAX(0,NETWORKDAYS(MAX($K180,AM$4),MIN($L180,EOMONTH(AM$4,0)),Assumptions!$F$4:$F$44))/NETWORKDAYS($K180,$L180,Assumptions!$F$4:$F$44))</f>
        <v>0</v>
      </c>
      <c r="AN180" s="21" t="n">
        <f aca="false">IF($J180=0,0,MAX(0,NETWORKDAYS(MAX($K180,AN$4),MIN($L180,EOMONTH(AN$4,0)),Assumptions!$F$4:$F$44))/NETWORKDAYS($K180,$L180,Assumptions!$F$4:$F$44))</f>
        <v>0</v>
      </c>
      <c r="AO180" s="21" t="n">
        <f aca="false">IF($J180=0,0,MAX(0,NETWORKDAYS(MAX($K180,AO$4),MIN($L180,EOMONTH(AO$4,0)),Assumptions!$F$4:$F$44))/NETWORKDAYS($K180,$L180,Assumptions!$F$4:$F$44))</f>
        <v>0</v>
      </c>
      <c r="AP180" s="21" t="n">
        <f aca="false">IF($J180=0,0,MAX(0,NETWORKDAYS(MAX($K180,AP$4),MIN($L180,EOMONTH(AP$4,0)),Assumptions!$F$4:$F$44))/NETWORKDAYS($K180,$L180,Assumptions!$F$4:$F$44))</f>
        <v>0</v>
      </c>
      <c r="AQ180" s="21" t="n">
        <f aca="false">IF($J180=0,0,MAX(0,NETWORKDAYS(MAX($K180,AQ$4),MIN($L180,EOMONTH(AQ$4,0)),Assumptions!$F$4:$F$44))/NETWORKDAYS($K180,$L180,Assumptions!$F$4:$F$44))</f>
        <v>0</v>
      </c>
      <c r="AR180" s="21" t="n">
        <f aca="false">IF($J180=0,0,MAX(0,NETWORKDAYS(MAX($K180,AR$4),MIN($L180,EOMONTH(AR$4,0)),Assumptions!$F$4:$F$44))/NETWORKDAYS($K180,$L180,Assumptions!$F$4:$F$44))</f>
        <v>0</v>
      </c>
      <c r="AS180" s="21" t="n">
        <f aca="false">IF($J180=0,0,MAX(0,NETWORKDAYS(MAX($K180,AS$4),MIN($L180,EOMONTH(AS$4,0)),Assumptions!$F$4:$F$44))/NETWORKDAYS($K180,$L180,Assumptions!$F$4:$F$44))</f>
        <v>0</v>
      </c>
      <c r="AT180" s="21" t="n">
        <f aca="false">IF($J180=0,0,MAX(0,NETWORKDAYS(MAX($K180,AT$4),MIN($L180,EOMONTH(AT$4,0)),Assumptions!$F$4:$F$44))/NETWORKDAYS($K180,$L180,Assumptions!$F$4:$F$44))</f>
        <v>0</v>
      </c>
      <c r="AU180" s="21" t="n">
        <f aca="false">IF($J180=0,0,MAX(0,NETWORKDAYS(MAX($K180,AU$4),MIN($L180,EOMONTH(AU$4,0)),Assumptions!$F$4:$F$44))/NETWORKDAYS($K180,$L180,Assumptions!$F$4:$F$44))</f>
        <v>0</v>
      </c>
      <c r="AV180" s="21" t="n">
        <f aca="false">IF($J180=0,0,MAX(0,NETWORKDAYS(MAX($K180,AV$4),MIN($L180,EOMONTH(AV$4,0)),Assumptions!$F$4:$F$44))/NETWORKDAYS($K180,$L180,Assumptions!$F$4:$F$44))</f>
        <v>0</v>
      </c>
      <c r="AW180" s="21" t="n">
        <f aca="false">IF($J180=0,0,MAX(0,NETWORKDAYS(MAX($K180,AW$4),MIN($L180,EOMONTH(AW$4,0)),Assumptions!$F$4:$F$44))/NETWORKDAYS($K180,$L180,Assumptions!$F$4:$F$44))</f>
        <v>0</v>
      </c>
      <c r="AX180" s="21" t="n">
        <f aca="false">IF($J180=0,0,MAX(0,NETWORKDAYS(MAX($K180,AX$4),MIN($L180,EOMONTH(AX$4,0)),Assumptions!$F$4:$F$44))/NETWORKDAYS($K180,$L180,Assumptions!$F$4:$F$44))</f>
        <v>0</v>
      </c>
      <c r="AY180" s="21" t="n">
        <f aca="false">IF($J180=0,0,MAX(0,NETWORKDAYS(MAX($K180,AY$4),MIN($L180,EOMONTH(AY$4,0)),Assumptions!$F$4:$F$44))/NETWORKDAYS($K180,$L180,Assumptions!$F$4:$F$44))</f>
        <v>0</v>
      </c>
      <c r="AZ180" s="21" t="n">
        <f aca="false">IF($J180=0,0,MAX(0,NETWORKDAYS(MAX($K180,AZ$4),MIN($L180,EOMONTH(AZ$4,0)),Assumptions!$F$4:$F$44))/NETWORKDAYS($K180,$L180,Assumptions!$F$4:$F$44))</f>
        <v>0</v>
      </c>
      <c r="BA180" s="21" t="n">
        <f aca="false">IF($J180=0,0,MAX(0,NETWORKDAYS(MAX($K180,BA$4),MIN($L180,EOMONTH(BA$4,0)),Assumptions!$F$4:$F$44))/NETWORKDAYS($K180,$L180,Assumptions!$F$4:$F$44))</f>
        <v>0</v>
      </c>
      <c r="BB180" s="21" t="n">
        <f aca="false">IF($J180=0,0,MAX(0,NETWORKDAYS(MAX($K180,BB$4),MIN($L180,EOMONTH(BB$4,0)),Assumptions!$F$4:$F$44))/NETWORKDAYS($K180,$L180,Assumptions!$F$4:$F$44))</f>
        <v>0</v>
      </c>
      <c r="BC180" s="21" t="n">
        <f aca="false">IF($J180=0,0,MAX(0,NETWORKDAYS(MAX($K180,BC$4),MIN($L180,EOMONTH(BC$4,0)),Assumptions!$F$4:$F$44))/NETWORKDAYS($K180,$L180,Assumptions!$F$4:$F$44))</f>
        <v>0</v>
      </c>
    </row>
    <row r="181" customFormat="false" ht="15" hidden="false" customHeight="false" outlineLevel="2" collapsed="false">
      <c r="A181" s="27" t="n">
        <v>177</v>
      </c>
      <c r="B181" s="27" t="s">
        <v>450</v>
      </c>
      <c r="C181" s="27" t="n">
        <v>3</v>
      </c>
      <c r="D181" s="27" t="s">
        <v>92</v>
      </c>
      <c r="E181" s="28" t="s">
        <v>314</v>
      </c>
      <c r="F181" s="27" t="s">
        <v>154</v>
      </c>
      <c r="G181" s="27" t="s">
        <v>439</v>
      </c>
      <c r="H181" s="27" t="s">
        <v>49</v>
      </c>
      <c r="I181" s="29" t="n">
        <v>59</v>
      </c>
      <c r="J181" s="29" t="n">
        <v>34</v>
      </c>
      <c r="K181" s="30" t="n">
        <f aca="false">WORKDAY(Assumptions!$C$4,I181,Assumptions!$F$4:$F$44)</f>
        <v>46409</v>
      </c>
      <c r="L181" s="30" t="n">
        <f aca="false">IF(J181=0,K181,WORKDAY(K181,J181-1,Assumptions!$F$4:$F$44))</f>
        <v>46456</v>
      </c>
      <c r="M181" s="29" t="s">
        <v>449</v>
      </c>
      <c r="N181" s="31" t="n">
        <v>0</v>
      </c>
      <c r="O181" s="31" t="n">
        <v>0</v>
      </c>
      <c r="P181" s="31" t="n">
        <v>0</v>
      </c>
      <c r="Q181" s="31" t="n">
        <v>0</v>
      </c>
      <c r="R181" s="31" t="n">
        <v>18</v>
      </c>
      <c r="S181" s="31" t="n">
        <v>9</v>
      </c>
      <c r="T181" s="31" t="n">
        <v>0</v>
      </c>
      <c r="U181" s="31" t="n">
        <v>0</v>
      </c>
      <c r="V181" s="31" t="n">
        <v>0</v>
      </c>
      <c r="W181" s="31" t="n">
        <v>0</v>
      </c>
      <c r="X181" s="31" t="n">
        <v>0</v>
      </c>
      <c r="Y181" s="32" t="n">
        <f aca="false">SUM(N181:X181)</f>
        <v>27</v>
      </c>
      <c r="Z181" s="32" t="n">
        <f aca="false">Y181*(1+Assumptions!$C$5)</f>
        <v>31.05</v>
      </c>
      <c r="AA181" s="27" t="s">
        <v>315</v>
      </c>
      <c r="AB181" s="27" t="s">
        <v>95</v>
      </c>
      <c r="AC181" s="27"/>
      <c r="AD181" s="33" t="n">
        <v>0</v>
      </c>
      <c r="AF181" s="21" t="n">
        <f aca="false">IF($J181=0,0,MAX(0,NETWORKDAYS(MAX($K181,AF$4),MIN($L181,EOMONTH(AF$4,0)),Assumptions!$F$4:$F$44))/NETWORKDAYS($K181,$L181,Assumptions!$F$4:$F$44))</f>
        <v>0</v>
      </c>
      <c r="AG181" s="21" t="n">
        <f aca="false">IF($J181=0,0,MAX(0,NETWORKDAYS(MAX($K181,AG$4),MIN($L181,EOMONTH(AG$4,0)),Assumptions!$F$4:$F$44))/NETWORKDAYS($K181,$L181,Assumptions!$F$4:$F$44))</f>
        <v>0</v>
      </c>
      <c r="AH181" s="21" t="n">
        <f aca="false">IF($J181=0,0,MAX(0,NETWORKDAYS(MAX($K181,AH$4),MIN($L181,EOMONTH(AH$4,0)),Assumptions!$F$4:$F$44))/NETWORKDAYS($K181,$L181,Assumptions!$F$4:$F$44))</f>
        <v>0.176470588235294</v>
      </c>
      <c r="AI181" s="21" t="n">
        <f aca="false">IF($J181=0,0,MAX(0,NETWORKDAYS(MAX($K181,AI$4),MIN($L181,EOMONTH(AI$4,0)),Assumptions!$F$4:$F$44))/NETWORKDAYS($K181,$L181,Assumptions!$F$4:$F$44))</f>
        <v>0.588235294117647</v>
      </c>
      <c r="AJ181" s="21" t="n">
        <f aca="false">IF($J181=0,0,MAX(0,NETWORKDAYS(MAX($K181,AJ$4),MIN($L181,EOMONTH(AJ$4,0)),Assumptions!$F$4:$F$44))/NETWORKDAYS($K181,$L181,Assumptions!$F$4:$F$44))</f>
        <v>0.235294117647059</v>
      </c>
      <c r="AK181" s="21" t="n">
        <f aca="false">IF($J181=0,0,MAX(0,NETWORKDAYS(MAX($K181,AK$4),MIN($L181,EOMONTH(AK$4,0)),Assumptions!$F$4:$F$44))/NETWORKDAYS($K181,$L181,Assumptions!$F$4:$F$44))</f>
        <v>0</v>
      </c>
      <c r="AL181" s="21" t="n">
        <f aca="false">IF($J181=0,0,MAX(0,NETWORKDAYS(MAX($K181,AL$4),MIN($L181,EOMONTH(AL$4,0)),Assumptions!$F$4:$F$44))/NETWORKDAYS($K181,$L181,Assumptions!$F$4:$F$44))</f>
        <v>0</v>
      </c>
      <c r="AM181" s="21" t="n">
        <f aca="false">IF($J181=0,0,MAX(0,NETWORKDAYS(MAX($K181,AM$4),MIN($L181,EOMONTH(AM$4,0)),Assumptions!$F$4:$F$44))/NETWORKDAYS($K181,$L181,Assumptions!$F$4:$F$44))</f>
        <v>0</v>
      </c>
      <c r="AN181" s="21" t="n">
        <f aca="false">IF($J181=0,0,MAX(0,NETWORKDAYS(MAX($K181,AN$4),MIN($L181,EOMONTH(AN$4,0)),Assumptions!$F$4:$F$44))/NETWORKDAYS($K181,$L181,Assumptions!$F$4:$F$44))</f>
        <v>0</v>
      </c>
      <c r="AO181" s="21" t="n">
        <f aca="false">IF($J181=0,0,MAX(0,NETWORKDAYS(MAX($K181,AO$4),MIN($L181,EOMONTH(AO$4,0)),Assumptions!$F$4:$F$44))/NETWORKDAYS($K181,$L181,Assumptions!$F$4:$F$44))</f>
        <v>0</v>
      </c>
      <c r="AP181" s="21" t="n">
        <f aca="false">IF($J181=0,0,MAX(0,NETWORKDAYS(MAX($K181,AP$4),MIN($L181,EOMONTH(AP$4,0)),Assumptions!$F$4:$F$44))/NETWORKDAYS($K181,$L181,Assumptions!$F$4:$F$44))</f>
        <v>0</v>
      </c>
      <c r="AQ181" s="21" t="n">
        <f aca="false">IF($J181=0,0,MAX(0,NETWORKDAYS(MAX($K181,AQ$4),MIN($L181,EOMONTH(AQ$4,0)),Assumptions!$F$4:$F$44))/NETWORKDAYS($K181,$L181,Assumptions!$F$4:$F$44))</f>
        <v>0</v>
      </c>
      <c r="AR181" s="21" t="n">
        <f aca="false">IF($J181=0,0,MAX(0,NETWORKDAYS(MAX($K181,AR$4),MIN($L181,EOMONTH(AR$4,0)),Assumptions!$F$4:$F$44))/NETWORKDAYS($K181,$L181,Assumptions!$F$4:$F$44))</f>
        <v>0</v>
      </c>
      <c r="AS181" s="21" t="n">
        <f aca="false">IF($J181=0,0,MAX(0,NETWORKDAYS(MAX($K181,AS$4),MIN($L181,EOMONTH(AS$4,0)),Assumptions!$F$4:$F$44))/NETWORKDAYS($K181,$L181,Assumptions!$F$4:$F$44))</f>
        <v>0</v>
      </c>
      <c r="AT181" s="21" t="n">
        <f aca="false">IF($J181=0,0,MAX(0,NETWORKDAYS(MAX($K181,AT$4),MIN($L181,EOMONTH(AT$4,0)),Assumptions!$F$4:$F$44))/NETWORKDAYS($K181,$L181,Assumptions!$F$4:$F$44))</f>
        <v>0</v>
      </c>
      <c r="AU181" s="21" t="n">
        <f aca="false">IF($J181=0,0,MAX(0,NETWORKDAYS(MAX($K181,AU$4),MIN($L181,EOMONTH(AU$4,0)),Assumptions!$F$4:$F$44))/NETWORKDAYS($K181,$L181,Assumptions!$F$4:$F$44))</f>
        <v>0</v>
      </c>
      <c r="AV181" s="21" t="n">
        <f aca="false">IF($J181=0,0,MAX(0,NETWORKDAYS(MAX($K181,AV$4),MIN($L181,EOMONTH(AV$4,0)),Assumptions!$F$4:$F$44))/NETWORKDAYS($K181,$L181,Assumptions!$F$4:$F$44))</f>
        <v>0</v>
      </c>
      <c r="AW181" s="21" t="n">
        <f aca="false">IF($J181=0,0,MAX(0,NETWORKDAYS(MAX($K181,AW$4),MIN($L181,EOMONTH(AW$4,0)),Assumptions!$F$4:$F$44))/NETWORKDAYS($K181,$L181,Assumptions!$F$4:$F$44))</f>
        <v>0</v>
      </c>
      <c r="AX181" s="21" t="n">
        <f aca="false">IF($J181=0,0,MAX(0,NETWORKDAYS(MAX($K181,AX$4),MIN($L181,EOMONTH(AX$4,0)),Assumptions!$F$4:$F$44))/NETWORKDAYS($K181,$L181,Assumptions!$F$4:$F$44))</f>
        <v>0</v>
      </c>
      <c r="AY181" s="21" t="n">
        <f aca="false">IF($J181=0,0,MAX(0,NETWORKDAYS(MAX($K181,AY$4),MIN($L181,EOMONTH(AY$4,0)),Assumptions!$F$4:$F$44))/NETWORKDAYS($K181,$L181,Assumptions!$F$4:$F$44))</f>
        <v>0</v>
      </c>
      <c r="AZ181" s="21" t="n">
        <f aca="false">IF($J181=0,0,MAX(0,NETWORKDAYS(MAX($K181,AZ$4),MIN($L181,EOMONTH(AZ$4,0)),Assumptions!$F$4:$F$44))/NETWORKDAYS($K181,$L181,Assumptions!$F$4:$F$44))</f>
        <v>0</v>
      </c>
      <c r="BA181" s="21" t="n">
        <f aca="false">IF($J181=0,0,MAX(0,NETWORKDAYS(MAX($K181,BA$4),MIN($L181,EOMONTH(BA$4,0)),Assumptions!$F$4:$F$44))/NETWORKDAYS($K181,$L181,Assumptions!$F$4:$F$44))</f>
        <v>0</v>
      </c>
      <c r="BB181" s="21" t="n">
        <f aca="false">IF($J181=0,0,MAX(0,NETWORKDAYS(MAX($K181,BB$4),MIN($L181,EOMONTH(BB$4,0)),Assumptions!$F$4:$F$44))/NETWORKDAYS($K181,$L181,Assumptions!$F$4:$F$44))</f>
        <v>0</v>
      </c>
      <c r="BC181" s="21" t="n">
        <f aca="false">IF($J181=0,0,MAX(0,NETWORKDAYS(MAX($K181,BC$4),MIN($L181,EOMONTH(BC$4,0)),Assumptions!$F$4:$F$44))/NETWORKDAYS($K181,$L181,Assumptions!$F$4:$F$44))</f>
        <v>0</v>
      </c>
    </row>
    <row r="182" customFormat="false" ht="15" hidden="false" customHeight="false" outlineLevel="2" collapsed="false">
      <c r="A182" s="27" t="n">
        <v>178</v>
      </c>
      <c r="B182" s="27" t="s">
        <v>451</v>
      </c>
      <c r="C182" s="27" t="n">
        <v>3</v>
      </c>
      <c r="D182" s="27" t="s">
        <v>92</v>
      </c>
      <c r="E182" s="28" t="s">
        <v>452</v>
      </c>
      <c r="F182" s="27" t="s">
        <v>154</v>
      </c>
      <c r="G182" s="27" t="s">
        <v>439</v>
      </c>
      <c r="H182" s="27" t="s">
        <v>47</v>
      </c>
      <c r="I182" s="29" t="n">
        <v>65</v>
      </c>
      <c r="J182" s="29" t="n">
        <v>31</v>
      </c>
      <c r="K182" s="30" t="n">
        <f aca="false">WORKDAY(Assumptions!$C$4,I182,Assumptions!$F$4:$F$44)</f>
        <v>46419</v>
      </c>
      <c r="L182" s="30" t="n">
        <f aca="false">IF(J182=0,K182,WORKDAY(K182,J182-1,Assumptions!$F$4:$F$44))</f>
        <v>46461</v>
      </c>
      <c r="M182" s="29" t="s">
        <v>453</v>
      </c>
      <c r="N182" s="31" t="n">
        <v>0</v>
      </c>
      <c r="O182" s="31" t="n">
        <v>0</v>
      </c>
      <c r="P182" s="31" t="n">
        <v>0</v>
      </c>
      <c r="Q182" s="31" t="n">
        <v>4</v>
      </c>
      <c r="R182" s="31" t="n">
        <v>0</v>
      </c>
      <c r="S182" s="31" t="n">
        <v>0</v>
      </c>
      <c r="T182" s="31" t="n">
        <v>0</v>
      </c>
      <c r="U182" s="31" t="n">
        <v>0</v>
      </c>
      <c r="V182" s="31" t="n">
        <v>0</v>
      </c>
      <c r="W182" s="31" t="n">
        <v>0</v>
      </c>
      <c r="X182" s="31" t="n">
        <v>0</v>
      </c>
      <c r="Y182" s="32" t="n">
        <f aca="false">SUM(N182:X182)</f>
        <v>4</v>
      </c>
      <c r="Z182" s="32" t="n">
        <f aca="false">Y182*(1+Assumptions!$C$5)</f>
        <v>4.6</v>
      </c>
      <c r="AA182" s="27" t="s">
        <v>325</v>
      </c>
      <c r="AB182" s="27" t="s">
        <v>95</v>
      </c>
      <c r="AC182" s="27"/>
      <c r="AD182" s="33" t="n">
        <v>0</v>
      </c>
      <c r="AF182" s="21" t="n">
        <f aca="false">IF($J182=0,0,MAX(0,NETWORKDAYS(MAX($K182,AF$4),MIN($L182,EOMONTH(AF$4,0)),Assumptions!$F$4:$F$44))/NETWORKDAYS($K182,$L182,Assumptions!$F$4:$F$44))</f>
        <v>0</v>
      </c>
      <c r="AG182" s="21" t="n">
        <f aca="false">IF($J182=0,0,MAX(0,NETWORKDAYS(MAX($K182,AG$4),MIN($L182,EOMONTH(AG$4,0)),Assumptions!$F$4:$F$44))/NETWORKDAYS($K182,$L182,Assumptions!$F$4:$F$44))</f>
        <v>0</v>
      </c>
      <c r="AH182" s="21" t="n">
        <f aca="false">IF($J182=0,0,MAX(0,NETWORKDAYS(MAX($K182,AH$4),MIN($L182,EOMONTH(AH$4,0)),Assumptions!$F$4:$F$44))/NETWORKDAYS($K182,$L182,Assumptions!$F$4:$F$44))</f>
        <v>0</v>
      </c>
      <c r="AI182" s="21" t="n">
        <f aca="false">IF($J182=0,0,MAX(0,NETWORKDAYS(MAX($K182,AI$4),MIN($L182,EOMONTH(AI$4,0)),Assumptions!$F$4:$F$44))/NETWORKDAYS($K182,$L182,Assumptions!$F$4:$F$44))</f>
        <v>0.645161290322581</v>
      </c>
      <c r="AJ182" s="21" t="n">
        <f aca="false">IF($J182=0,0,MAX(0,NETWORKDAYS(MAX($K182,AJ$4),MIN($L182,EOMONTH(AJ$4,0)),Assumptions!$F$4:$F$44))/NETWORKDAYS($K182,$L182,Assumptions!$F$4:$F$44))</f>
        <v>0.354838709677419</v>
      </c>
      <c r="AK182" s="21" t="n">
        <f aca="false">IF($J182=0,0,MAX(0,NETWORKDAYS(MAX($K182,AK$4),MIN($L182,EOMONTH(AK$4,0)),Assumptions!$F$4:$F$44))/NETWORKDAYS($K182,$L182,Assumptions!$F$4:$F$44))</f>
        <v>0</v>
      </c>
      <c r="AL182" s="21" t="n">
        <f aca="false">IF($J182=0,0,MAX(0,NETWORKDAYS(MAX($K182,AL$4),MIN($L182,EOMONTH(AL$4,0)),Assumptions!$F$4:$F$44))/NETWORKDAYS($K182,$L182,Assumptions!$F$4:$F$44))</f>
        <v>0</v>
      </c>
      <c r="AM182" s="21" t="n">
        <f aca="false">IF($J182=0,0,MAX(0,NETWORKDAYS(MAX($K182,AM$4),MIN($L182,EOMONTH(AM$4,0)),Assumptions!$F$4:$F$44))/NETWORKDAYS($K182,$L182,Assumptions!$F$4:$F$44))</f>
        <v>0</v>
      </c>
      <c r="AN182" s="21" t="n">
        <f aca="false">IF($J182=0,0,MAX(0,NETWORKDAYS(MAX($K182,AN$4),MIN($L182,EOMONTH(AN$4,0)),Assumptions!$F$4:$F$44))/NETWORKDAYS($K182,$L182,Assumptions!$F$4:$F$44))</f>
        <v>0</v>
      </c>
      <c r="AO182" s="21" t="n">
        <f aca="false">IF($J182=0,0,MAX(0,NETWORKDAYS(MAX($K182,AO$4),MIN($L182,EOMONTH(AO$4,0)),Assumptions!$F$4:$F$44))/NETWORKDAYS($K182,$L182,Assumptions!$F$4:$F$44))</f>
        <v>0</v>
      </c>
      <c r="AP182" s="21" t="n">
        <f aca="false">IF($J182=0,0,MAX(0,NETWORKDAYS(MAX($K182,AP$4),MIN($L182,EOMONTH(AP$4,0)),Assumptions!$F$4:$F$44))/NETWORKDAYS($K182,$L182,Assumptions!$F$4:$F$44))</f>
        <v>0</v>
      </c>
      <c r="AQ182" s="21" t="n">
        <f aca="false">IF($J182=0,0,MAX(0,NETWORKDAYS(MAX($K182,AQ$4),MIN($L182,EOMONTH(AQ$4,0)),Assumptions!$F$4:$F$44))/NETWORKDAYS($K182,$L182,Assumptions!$F$4:$F$44))</f>
        <v>0</v>
      </c>
      <c r="AR182" s="21" t="n">
        <f aca="false">IF($J182=0,0,MAX(0,NETWORKDAYS(MAX($K182,AR$4),MIN($L182,EOMONTH(AR$4,0)),Assumptions!$F$4:$F$44))/NETWORKDAYS($K182,$L182,Assumptions!$F$4:$F$44))</f>
        <v>0</v>
      </c>
      <c r="AS182" s="21" t="n">
        <f aca="false">IF($J182=0,0,MAX(0,NETWORKDAYS(MAX($K182,AS$4),MIN($L182,EOMONTH(AS$4,0)),Assumptions!$F$4:$F$44))/NETWORKDAYS($K182,$L182,Assumptions!$F$4:$F$44))</f>
        <v>0</v>
      </c>
      <c r="AT182" s="21" t="n">
        <f aca="false">IF($J182=0,0,MAX(0,NETWORKDAYS(MAX($K182,AT$4),MIN($L182,EOMONTH(AT$4,0)),Assumptions!$F$4:$F$44))/NETWORKDAYS($K182,$L182,Assumptions!$F$4:$F$44))</f>
        <v>0</v>
      </c>
      <c r="AU182" s="21" t="n">
        <f aca="false">IF($J182=0,0,MAX(0,NETWORKDAYS(MAX($K182,AU$4),MIN($L182,EOMONTH(AU$4,0)),Assumptions!$F$4:$F$44))/NETWORKDAYS($K182,$L182,Assumptions!$F$4:$F$44))</f>
        <v>0</v>
      </c>
      <c r="AV182" s="21" t="n">
        <f aca="false">IF($J182=0,0,MAX(0,NETWORKDAYS(MAX($K182,AV$4),MIN($L182,EOMONTH(AV$4,0)),Assumptions!$F$4:$F$44))/NETWORKDAYS($K182,$L182,Assumptions!$F$4:$F$44))</f>
        <v>0</v>
      </c>
      <c r="AW182" s="21" t="n">
        <f aca="false">IF($J182=0,0,MAX(0,NETWORKDAYS(MAX($K182,AW$4),MIN($L182,EOMONTH(AW$4,0)),Assumptions!$F$4:$F$44))/NETWORKDAYS($K182,$L182,Assumptions!$F$4:$F$44))</f>
        <v>0</v>
      </c>
      <c r="AX182" s="21" t="n">
        <f aca="false">IF($J182=0,0,MAX(0,NETWORKDAYS(MAX($K182,AX$4),MIN($L182,EOMONTH(AX$4,0)),Assumptions!$F$4:$F$44))/NETWORKDAYS($K182,$L182,Assumptions!$F$4:$F$44))</f>
        <v>0</v>
      </c>
      <c r="AY182" s="21" t="n">
        <f aca="false">IF($J182=0,0,MAX(0,NETWORKDAYS(MAX($K182,AY$4),MIN($L182,EOMONTH(AY$4,0)),Assumptions!$F$4:$F$44))/NETWORKDAYS($K182,$L182,Assumptions!$F$4:$F$44))</f>
        <v>0</v>
      </c>
      <c r="AZ182" s="21" t="n">
        <f aca="false">IF($J182=0,0,MAX(0,NETWORKDAYS(MAX($K182,AZ$4),MIN($L182,EOMONTH(AZ$4,0)),Assumptions!$F$4:$F$44))/NETWORKDAYS($K182,$L182,Assumptions!$F$4:$F$44))</f>
        <v>0</v>
      </c>
      <c r="BA182" s="21" t="n">
        <f aca="false">IF($J182=0,0,MAX(0,NETWORKDAYS(MAX($K182,BA$4),MIN($L182,EOMONTH(BA$4,0)),Assumptions!$F$4:$F$44))/NETWORKDAYS($K182,$L182,Assumptions!$F$4:$F$44))</f>
        <v>0</v>
      </c>
      <c r="BB182" s="21" t="n">
        <f aca="false">IF($J182=0,0,MAX(0,NETWORKDAYS(MAX($K182,BB$4),MIN($L182,EOMONTH(BB$4,0)),Assumptions!$F$4:$F$44))/NETWORKDAYS($K182,$L182,Assumptions!$F$4:$F$44))</f>
        <v>0</v>
      </c>
      <c r="BC182" s="21" t="n">
        <f aca="false">IF($J182=0,0,MAX(0,NETWORKDAYS(MAX($K182,BC$4),MIN($L182,EOMONTH(BC$4,0)),Assumptions!$F$4:$F$44))/NETWORKDAYS($K182,$L182,Assumptions!$F$4:$F$44))</f>
        <v>0</v>
      </c>
    </row>
    <row r="183" customFormat="false" ht="15" hidden="false" customHeight="false" outlineLevel="2" collapsed="false">
      <c r="A183" s="27" t="n">
        <v>179</v>
      </c>
      <c r="B183" s="27" t="s">
        <v>454</v>
      </c>
      <c r="C183" s="27" t="n">
        <v>3</v>
      </c>
      <c r="D183" s="27" t="s">
        <v>92</v>
      </c>
      <c r="E183" s="28" t="s">
        <v>426</v>
      </c>
      <c r="F183" s="27" t="s">
        <v>154</v>
      </c>
      <c r="G183" s="27" t="s">
        <v>439</v>
      </c>
      <c r="H183" s="27" t="s">
        <v>47</v>
      </c>
      <c r="I183" s="29" t="n">
        <v>59</v>
      </c>
      <c r="J183" s="29" t="n">
        <v>37</v>
      </c>
      <c r="K183" s="30" t="n">
        <f aca="false">WORKDAY(Assumptions!$C$4,I183,Assumptions!$F$4:$F$44)</f>
        <v>46409</v>
      </c>
      <c r="L183" s="30" t="n">
        <f aca="false">IF(J183=0,K183,WORKDAY(K183,J183-1,Assumptions!$F$4:$F$44))</f>
        <v>46461</v>
      </c>
      <c r="M183" s="29" t="s">
        <v>446</v>
      </c>
      <c r="N183" s="31" t="n">
        <v>0</v>
      </c>
      <c r="O183" s="31" t="n">
        <v>0</v>
      </c>
      <c r="P183" s="31" t="n">
        <v>0</v>
      </c>
      <c r="Q183" s="31" t="n">
        <v>25</v>
      </c>
      <c r="R183" s="31" t="n">
        <v>0</v>
      </c>
      <c r="S183" s="31" t="n">
        <v>0</v>
      </c>
      <c r="T183" s="31" t="n">
        <v>0</v>
      </c>
      <c r="U183" s="31" t="n">
        <v>0</v>
      </c>
      <c r="V183" s="31" t="n">
        <v>5</v>
      </c>
      <c r="W183" s="31" t="n">
        <v>0</v>
      </c>
      <c r="X183" s="31" t="n">
        <v>0</v>
      </c>
      <c r="Y183" s="32" t="n">
        <f aca="false">SUM(N183:X183)</f>
        <v>30</v>
      </c>
      <c r="Z183" s="32" t="n">
        <f aca="false">Y183*(1+Assumptions!$C$5)</f>
        <v>34.5</v>
      </c>
      <c r="AA183" s="27" t="s">
        <v>328</v>
      </c>
      <c r="AB183" s="27" t="s">
        <v>95</v>
      </c>
      <c r="AC183" s="27"/>
      <c r="AD183" s="33" t="n">
        <v>0</v>
      </c>
      <c r="AF183" s="21" t="n">
        <f aca="false">IF($J183=0,0,MAX(0,NETWORKDAYS(MAX($K183,AF$4),MIN($L183,EOMONTH(AF$4,0)),Assumptions!$F$4:$F$44))/NETWORKDAYS($K183,$L183,Assumptions!$F$4:$F$44))</f>
        <v>0</v>
      </c>
      <c r="AG183" s="21" t="n">
        <f aca="false">IF($J183=0,0,MAX(0,NETWORKDAYS(MAX($K183,AG$4),MIN($L183,EOMONTH(AG$4,0)),Assumptions!$F$4:$F$44))/NETWORKDAYS($K183,$L183,Assumptions!$F$4:$F$44))</f>
        <v>0</v>
      </c>
      <c r="AH183" s="21" t="n">
        <f aca="false">IF($J183=0,0,MAX(0,NETWORKDAYS(MAX($K183,AH$4),MIN($L183,EOMONTH(AH$4,0)),Assumptions!$F$4:$F$44))/NETWORKDAYS($K183,$L183,Assumptions!$F$4:$F$44))</f>
        <v>0.162162162162162</v>
      </c>
      <c r="AI183" s="21" t="n">
        <f aca="false">IF($J183=0,0,MAX(0,NETWORKDAYS(MAX($K183,AI$4),MIN($L183,EOMONTH(AI$4,0)),Assumptions!$F$4:$F$44))/NETWORKDAYS($K183,$L183,Assumptions!$F$4:$F$44))</f>
        <v>0.540540540540541</v>
      </c>
      <c r="AJ183" s="21" t="n">
        <f aca="false">IF($J183=0,0,MAX(0,NETWORKDAYS(MAX($K183,AJ$4),MIN($L183,EOMONTH(AJ$4,0)),Assumptions!$F$4:$F$44))/NETWORKDAYS($K183,$L183,Assumptions!$F$4:$F$44))</f>
        <v>0.297297297297297</v>
      </c>
      <c r="AK183" s="21" t="n">
        <f aca="false">IF($J183=0,0,MAX(0,NETWORKDAYS(MAX($K183,AK$4),MIN($L183,EOMONTH(AK$4,0)),Assumptions!$F$4:$F$44))/NETWORKDAYS($K183,$L183,Assumptions!$F$4:$F$44))</f>
        <v>0</v>
      </c>
      <c r="AL183" s="21" t="n">
        <f aca="false">IF($J183=0,0,MAX(0,NETWORKDAYS(MAX($K183,AL$4),MIN($L183,EOMONTH(AL$4,0)),Assumptions!$F$4:$F$44))/NETWORKDAYS($K183,$L183,Assumptions!$F$4:$F$44))</f>
        <v>0</v>
      </c>
      <c r="AM183" s="21" t="n">
        <f aca="false">IF($J183=0,0,MAX(0,NETWORKDAYS(MAX($K183,AM$4),MIN($L183,EOMONTH(AM$4,0)),Assumptions!$F$4:$F$44))/NETWORKDAYS($K183,$L183,Assumptions!$F$4:$F$44))</f>
        <v>0</v>
      </c>
      <c r="AN183" s="21" t="n">
        <f aca="false">IF($J183=0,0,MAX(0,NETWORKDAYS(MAX($K183,AN$4),MIN($L183,EOMONTH(AN$4,0)),Assumptions!$F$4:$F$44))/NETWORKDAYS($K183,$L183,Assumptions!$F$4:$F$44))</f>
        <v>0</v>
      </c>
      <c r="AO183" s="21" t="n">
        <f aca="false">IF($J183=0,0,MAX(0,NETWORKDAYS(MAX($K183,AO$4),MIN($L183,EOMONTH(AO$4,0)),Assumptions!$F$4:$F$44))/NETWORKDAYS($K183,$L183,Assumptions!$F$4:$F$44))</f>
        <v>0</v>
      </c>
      <c r="AP183" s="21" t="n">
        <f aca="false">IF($J183=0,0,MAX(0,NETWORKDAYS(MAX($K183,AP$4),MIN($L183,EOMONTH(AP$4,0)),Assumptions!$F$4:$F$44))/NETWORKDAYS($K183,$L183,Assumptions!$F$4:$F$44))</f>
        <v>0</v>
      </c>
      <c r="AQ183" s="21" t="n">
        <f aca="false">IF($J183=0,0,MAX(0,NETWORKDAYS(MAX($K183,AQ$4),MIN($L183,EOMONTH(AQ$4,0)),Assumptions!$F$4:$F$44))/NETWORKDAYS($K183,$L183,Assumptions!$F$4:$F$44))</f>
        <v>0</v>
      </c>
      <c r="AR183" s="21" t="n">
        <f aca="false">IF($J183=0,0,MAX(0,NETWORKDAYS(MAX($K183,AR$4),MIN($L183,EOMONTH(AR$4,0)),Assumptions!$F$4:$F$44))/NETWORKDAYS($K183,$L183,Assumptions!$F$4:$F$44))</f>
        <v>0</v>
      </c>
      <c r="AS183" s="21" t="n">
        <f aca="false">IF($J183=0,0,MAX(0,NETWORKDAYS(MAX($K183,AS$4),MIN($L183,EOMONTH(AS$4,0)),Assumptions!$F$4:$F$44))/NETWORKDAYS($K183,$L183,Assumptions!$F$4:$F$44))</f>
        <v>0</v>
      </c>
      <c r="AT183" s="21" t="n">
        <f aca="false">IF($J183=0,0,MAX(0,NETWORKDAYS(MAX($K183,AT$4),MIN($L183,EOMONTH(AT$4,0)),Assumptions!$F$4:$F$44))/NETWORKDAYS($K183,$L183,Assumptions!$F$4:$F$44))</f>
        <v>0</v>
      </c>
      <c r="AU183" s="21" t="n">
        <f aca="false">IF($J183=0,0,MAX(0,NETWORKDAYS(MAX($K183,AU$4),MIN($L183,EOMONTH(AU$4,0)),Assumptions!$F$4:$F$44))/NETWORKDAYS($K183,$L183,Assumptions!$F$4:$F$44))</f>
        <v>0</v>
      </c>
      <c r="AV183" s="21" t="n">
        <f aca="false">IF($J183=0,0,MAX(0,NETWORKDAYS(MAX($K183,AV$4),MIN($L183,EOMONTH(AV$4,0)),Assumptions!$F$4:$F$44))/NETWORKDAYS($K183,$L183,Assumptions!$F$4:$F$44))</f>
        <v>0</v>
      </c>
      <c r="AW183" s="21" t="n">
        <f aca="false">IF($J183=0,0,MAX(0,NETWORKDAYS(MAX($K183,AW$4),MIN($L183,EOMONTH(AW$4,0)),Assumptions!$F$4:$F$44))/NETWORKDAYS($K183,$L183,Assumptions!$F$4:$F$44))</f>
        <v>0</v>
      </c>
      <c r="AX183" s="21" t="n">
        <f aca="false">IF($J183=0,0,MAX(0,NETWORKDAYS(MAX($K183,AX$4),MIN($L183,EOMONTH(AX$4,0)),Assumptions!$F$4:$F$44))/NETWORKDAYS($K183,$L183,Assumptions!$F$4:$F$44))</f>
        <v>0</v>
      </c>
      <c r="AY183" s="21" t="n">
        <f aca="false">IF($J183=0,0,MAX(0,NETWORKDAYS(MAX($K183,AY$4),MIN($L183,EOMONTH(AY$4,0)),Assumptions!$F$4:$F$44))/NETWORKDAYS($K183,$L183,Assumptions!$F$4:$F$44))</f>
        <v>0</v>
      </c>
      <c r="AZ183" s="21" t="n">
        <f aca="false">IF($J183=0,0,MAX(0,NETWORKDAYS(MAX($K183,AZ$4),MIN($L183,EOMONTH(AZ$4,0)),Assumptions!$F$4:$F$44))/NETWORKDAYS($K183,$L183,Assumptions!$F$4:$F$44))</f>
        <v>0</v>
      </c>
      <c r="BA183" s="21" t="n">
        <f aca="false">IF($J183=0,0,MAX(0,NETWORKDAYS(MAX($K183,BA$4),MIN($L183,EOMONTH(BA$4,0)),Assumptions!$F$4:$F$44))/NETWORKDAYS($K183,$L183,Assumptions!$F$4:$F$44))</f>
        <v>0</v>
      </c>
      <c r="BB183" s="21" t="n">
        <f aca="false">IF($J183=0,0,MAX(0,NETWORKDAYS(MAX($K183,BB$4),MIN($L183,EOMONTH(BB$4,0)),Assumptions!$F$4:$F$44))/NETWORKDAYS($K183,$L183,Assumptions!$F$4:$F$44))</f>
        <v>0</v>
      </c>
      <c r="BC183" s="21" t="n">
        <f aca="false">IF($J183=0,0,MAX(0,NETWORKDAYS(MAX($K183,BC$4),MIN($L183,EOMONTH(BC$4,0)),Assumptions!$F$4:$F$44))/NETWORKDAYS($K183,$L183,Assumptions!$F$4:$F$44))</f>
        <v>0</v>
      </c>
    </row>
    <row r="184" customFormat="false" ht="15" hidden="false" customHeight="false" outlineLevel="2" collapsed="false">
      <c r="A184" s="27" t="n">
        <v>180</v>
      </c>
      <c r="B184" s="27" t="s">
        <v>455</v>
      </c>
      <c r="C184" s="27" t="n">
        <v>3</v>
      </c>
      <c r="D184" s="27" t="s">
        <v>92</v>
      </c>
      <c r="E184" s="28" t="s">
        <v>330</v>
      </c>
      <c r="F184" s="27" t="s">
        <v>154</v>
      </c>
      <c r="G184" s="27" t="s">
        <v>439</v>
      </c>
      <c r="H184" s="27" t="s">
        <v>47</v>
      </c>
      <c r="I184" s="29" t="n">
        <v>76</v>
      </c>
      <c r="J184" s="29" t="n">
        <v>22</v>
      </c>
      <c r="K184" s="30" t="n">
        <f aca="false">WORKDAY(Assumptions!$C$4,I184,Assumptions!$F$4:$F$44)</f>
        <v>46434</v>
      </c>
      <c r="L184" s="30" t="n">
        <f aca="false">IF(J184=0,K184,WORKDAY(K184,J184-1,Assumptions!$F$4:$F$44))</f>
        <v>46463</v>
      </c>
      <c r="M184" s="29" t="s">
        <v>453</v>
      </c>
      <c r="N184" s="31" t="n">
        <v>0</v>
      </c>
      <c r="O184" s="31" t="n">
        <v>3</v>
      </c>
      <c r="P184" s="31" t="n">
        <v>0</v>
      </c>
      <c r="Q184" s="31" t="n">
        <v>6</v>
      </c>
      <c r="R184" s="31" t="n">
        <v>6</v>
      </c>
      <c r="S184" s="31" t="n">
        <v>0</v>
      </c>
      <c r="T184" s="31" t="n">
        <v>0</v>
      </c>
      <c r="U184" s="31" t="n">
        <v>0</v>
      </c>
      <c r="V184" s="31" t="n">
        <v>0</v>
      </c>
      <c r="W184" s="31" t="n">
        <v>0</v>
      </c>
      <c r="X184" s="31" t="n">
        <v>0</v>
      </c>
      <c r="Y184" s="32" t="n">
        <f aca="false">SUM(N184:X184)</f>
        <v>15</v>
      </c>
      <c r="Z184" s="32" t="n">
        <f aca="false">Y184*(1+Assumptions!$C$5)</f>
        <v>17.25</v>
      </c>
      <c r="AA184" s="27" t="s">
        <v>331</v>
      </c>
      <c r="AB184" s="27" t="s">
        <v>95</v>
      </c>
      <c r="AC184" s="27"/>
      <c r="AD184" s="33" t="n">
        <v>0</v>
      </c>
      <c r="AF184" s="21" t="n">
        <f aca="false">IF($J184=0,0,MAX(0,NETWORKDAYS(MAX($K184,AF$4),MIN($L184,EOMONTH(AF$4,0)),Assumptions!$F$4:$F$44))/NETWORKDAYS($K184,$L184,Assumptions!$F$4:$F$44))</f>
        <v>0</v>
      </c>
      <c r="AG184" s="21" t="n">
        <f aca="false">IF($J184=0,0,MAX(0,NETWORKDAYS(MAX($K184,AG$4),MIN($L184,EOMONTH(AG$4,0)),Assumptions!$F$4:$F$44))/NETWORKDAYS($K184,$L184,Assumptions!$F$4:$F$44))</f>
        <v>0</v>
      </c>
      <c r="AH184" s="21" t="n">
        <f aca="false">IF($J184=0,0,MAX(0,NETWORKDAYS(MAX($K184,AH$4),MIN($L184,EOMONTH(AH$4,0)),Assumptions!$F$4:$F$44))/NETWORKDAYS($K184,$L184,Assumptions!$F$4:$F$44))</f>
        <v>0</v>
      </c>
      <c r="AI184" s="21" t="n">
        <f aca="false">IF($J184=0,0,MAX(0,NETWORKDAYS(MAX($K184,AI$4),MIN($L184,EOMONTH(AI$4,0)),Assumptions!$F$4:$F$44))/NETWORKDAYS($K184,$L184,Assumptions!$F$4:$F$44))</f>
        <v>0.409090909090909</v>
      </c>
      <c r="AJ184" s="21" t="n">
        <f aca="false">IF($J184=0,0,MAX(0,NETWORKDAYS(MAX($K184,AJ$4),MIN($L184,EOMONTH(AJ$4,0)),Assumptions!$F$4:$F$44))/NETWORKDAYS($K184,$L184,Assumptions!$F$4:$F$44))</f>
        <v>0.590909090909091</v>
      </c>
      <c r="AK184" s="21" t="n">
        <f aca="false">IF($J184=0,0,MAX(0,NETWORKDAYS(MAX($K184,AK$4),MIN($L184,EOMONTH(AK$4,0)),Assumptions!$F$4:$F$44))/NETWORKDAYS($K184,$L184,Assumptions!$F$4:$F$44))</f>
        <v>0</v>
      </c>
      <c r="AL184" s="21" t="n">
        <f aca="false">IF($J184=0,0,MAX(0,NETWORKDAYS(MAX($K184,AL$4),MIN($L184,EOMONTH(AL$4,0)),Assumptions!$F$4:$F$44))/NETWORKDAYS($K184,$L184,Assumptions!$F$4:$F$44))</f>
        <v>0</v>
      </c>
      <c r="AM184" s="21" t="n">
        <f aca="false">IF($J184=0,0,MAX(0,NETWORKDAYS(MAX($K184,AM$4),MIN($L184,EOMONTH(AM$4,0)),Assumptions!$F$4:$F$44))/NETWORKDAYS($K184,$L184,Assumptions!$F$4:$F$44))</f>
        <v>0</v>
      </c>
      <c r="AN184" s="21" t="n">
        <f aca="false">IF($J184=0,0,MAX(0,NETWORKDAYS(MAX($K184,AN$4),MIN($L184,EOMONTH(AN$4,0)),Assumptions!$F$4:$F$44))/NETWORKDAYS($K184,$L184,Assumptions!$F$4:$F$44))</f>
        <v>0</v>
      </c>
      <c r="AO184" s="21" t="n">
        <f aca="false">IF($J184=0,0,MAX(0,NETWORKDAYS(MAX($K184,AO$4),MIN($L184,EOMONTH(AO$4,0)),Assumptions!$F$4:$F$44))/NETWORKDAYS($K184,$L184,Assumptions!$F$4:$F$44))</f>
        <v>0</v>
      </c>
      <c r="AP184" s="21" t="n">
        <f aca="false">IF($J184=0,0,MAX(0,NETWORKDAYS(MAX($K184,AP$4),MIN($L184,EOMONTH(AP$4,0)),Assumptions!$F$4:$F$44))/NETWORKDAYS($K184,$L184,Assumptions!$F$4:$F$44))</f>
        <v>0</v>
      </c>
      <c r="AQ184" s="21" t="n">
        <f aca="false">IF($J184=0,0,MAX(0,NETWORKDAYS(MAX($K184,AQ$4),MIN($L184,EOMONTH(AQ$4,0)),Assumptions!$F$4:$F$44))/NETWORKDAYS($K184,$L184,Assumptions!$F$4:$F$44))</f>
        <v>0</v>
      </c>
      <c r="AR184" s="21" t="n">
        <f aca="false">IF($J184=0,0,MAX(0,NETWORKDAYS(MAX($K184,AR$4),MIN($L184,EOMONTH(AR$4,0)),Assumptions!$F$4:$F$44))/NETWORKDAYS($K184,$L184,Assumptions!$F$4:$F$44))</f>
        <v>0</v>
      </c>
      <c r="AS184" s="21" t="n">
        <f aca="false">IF($J184=0,0,MAX(0,NETWORKDAYS(MAX($K184,AS$4),MIN($L184,EOMONTH(AS$4,0)),Assumptions!$F$4:$F$44))/NETWORKDAYS($K184,$L184,Assumptions!$F$4:$F$44))</f>
        <v>0</v>
      </c>
      <c r="AT184" s="21" t="n">
        <f aca="false">IF($J184=0,0,MAX(0,NETWORKDAYS(MAX($K184,AT$4),MIN($L184,EOMONTH(AT$4,0)),Assumptions!$F$4:$F$44))/NETWORKDAYS($K184,$L184,Assumptions!$F$4:$F$44))</f>
        <v>0</v>
      </c>
      <c r="AU184" s="21" t="n">
        <f aca="false">IF($J184=0,0,MAX(0,NETWORKDAYS(MAX($K184,AU$4),MIN($L184,EOMONTH(AU$4,0)),Assumptions!$F$4:$F$44))/NETWORKDAYS($K184,$L184,Assumptions!$F$4:$F$44))</f>
        <v>0</v>
      </c>
      <c r="AV184" s="21" t="n">
        <f aca="false">IF($J184=0,0,MAX(0,NETWORKDAYS(MAX($K184,AV$4),MIN($L184,EOMONTH(AV$4,0)),Assumptions!$F$4:$F$44))/NETWORKDAYS($K184,$L184,Assumptions!$F$4:$F$44))</f>
        <v>0</v>
      </c>
      <c r="AW184" s="21" t="n">
        <f aca="false">IF($J184=0,0,MAX(0,NETWORKDAYS(MAX($K184,AW$4),MIN($L184,EOMONTH(AW$4,0)),Assumptions!$F$4:$F$44))/NETWORKDAYS($K184,$L184,Assumptions!$F$4:$F$44))</f>
        <v>0</v>
      </c>
      <c r="AX184" s="21" t="n">
        <f aca="false">IF($J184=0,0,MAX(0,NETWORKDAYS(MAX($K184,AX$4),MIN($L184,EOMONTH(AX$4,0)),Assumptions!$F$4:$F$44))/NETWORKDAYS($K184,$L184,Assumptions!$F$4:$F$44))</f>
        <v>0</v>
      </c>
      <c r="AY184" s="21" t="n">
        <f aca="false">IF($J184=0,0,MAX(0,NETWORKDAYS(MAX($K184,AY$4),MIN($L184,EOMONTH(AY$4,0)),Assumptions!$F$4:$F$44))/NETWORKDAYS($K184,$L184,Assumptions!$F$4:$F$44))</f>
        <v>0</v>
      </c>
      <c r="AZ184" s="21" t="n">
        <f aca="false">IF($J184=0,0,MAX(0,NETWORKDAYS(MAX($K184,AZ$4),MIN($L184,EOMONTH(AZ$4,0)),Assumptions!$F$4:$F$44))/NETWORKDAYS($K184,$L184,Assumptions!$F$4:$F$44))</f>
        <v>0</v>
      </c>
      <c r="BA184" s="21" t="n">
        <f aca="false">IF($J184=0,0,MAX(0,NETWORKDAYS(MAX($K184,BA$4),MIN($L184,EOMONTH(BA$4,0)),Assumptions!$F$4:$F$44))/NETWORKDAYS($K184,$L184,Assumptions!$F$4:$F$44))</f>
        <v>0</v>
      </c>
      <c r="BB184" s="21" t="n">
        <f aca="false">IF($J184=0,0,MAX(0,NETWORKDAYS(MAX($K184,BB$4),MIN($L184,EOMONTH(BB$4,0)),Assumptions!$F$4:$F$44))/NETWORKDAYS($K184,$L184,Assumptions!$F$4:$F$44))</f>
        <v>0</v>
      </c>
      <c r="BC184" s="21" t="n">
        <f aca="false">IF($J184=0,0,MAX(0,NETWORKDAYS(MAX($K184,BC$4),MIN($L184,EOMONTH(BC$4,0)),Assumptions!$F$4:$F$44))/NETWORKDAYS($K184,$L184,Assumptions!$F$4:$F$44))</f>
        <v>0</v>
      </c>
    </row>
    <row r="185" customFormat="false" ht="15" hidden="false" customHeight="false" outlineLevel="2" collapsed="false">
      <c r="A185" s="27" t="n">
        <v>181</v>
      </c>
      <c r="B185" s="27" t="s">
        <v>456</v>
      </c>
      <c r="C185" s="27" t="n">
        <v>3</v>
      </c>
      <c r="D185" s="27" t="s">
        <v>92</v>
      </c>
      <c r="E185" s="28" t="s">
        <v>457</v>
      </c>
      <c r="F185" s="27" t="s">
        <v>154</v>
      </c>
      <c r="G185" s="27" t="s">
        <v>439</v>
      </c>
      <c r="H185" s="27" t="s">
        <v>59</v>
      </c>
      <c r="I185" s="29" t="n">
        <v>54</v>
      </c>
      <c r="J185" s="29" t="n">
        <v>50</v>
      </c>
      <c r="K185" s="30" t="n">
        <f aca="false">WORKDAY(Assumptions!$C$4,I185,Assumptions!$F$4:$F$44)</f>
        <v>46402</v>
      </c>
      <c r="L185" s="30" t="n">
        <f aca="false">IF(J185=0,K185,WORKDAY(K185,J185-1,Assumptions!$F$4:$F$44))</f>
        <v>46471</v>
      </c>
      <c r="M185" s="29" t="s">
        <v>446</v>
      </c>
      <c r="N185" s="31" t="n">
        <v>0</v>
      </c>
      <c r="O185" s="31" t="n">
        <v>3</v>
      </c>
      <c r="P185" s="31" t="n">
        <v>0</v>
      </c>
      <c r="Q185" s="31" t="n">
        <v>0</v>
      </c>
      <c r="R185" s="31" t="n">
        <v>0</v>
      </c>
      <c r="S185" s="31" t="n">
        <v>0</v>
      </c>
      <c r="T185" s="31" t="n">
        <v>0</v>
      </c>
      <c r="U185" s="31" t="n">
        <v>0</v>
      </c>
      <c r="V185" s="31" t="n">
        <v>0</v>
      </c>
      <c r="W185" s="31" t="n">
        <v>18</v>
      </c>
      <c r="X185" s="31" t="n">
        <v>0</v>
      </c>
      <c r="Y185" s="32" t="n">
        <f aca="false">SUM(N185:X185)</f>
        <v>21</v>
      </c>
      <c r="Z185" s="32" t="n">
        <f aca="false">Y185*(1+Assumptions!$C$5)</f>
        <v>24.15</v>
      </c>
      <c r="AA185" s="27" t="s">
        <v>334</v>
      </c>
      <c r="AB185" s="27" t="s">
        <v>95</v>
      </c>
      <c r="AC185" s="27"/>
      <c r="AD185" s="33" t="n">
        <v>0</v>
      </c>
      <c r="AF185" s="21" t="n">
        <f aca="false">IF($J185=0,0,MAX(0,NETWORKDAYS(MAX($K185,AF$4),MIN($L185,EOMONTH(AF$4,0)),Assumptions!$F$4:$F$44))/NETWORKDAYS($K185,$L185,Assumptions!$F$4:$F$44))</f>
        <v>0</v>
      </c>
      <c r="AG185" s="21" t="n">
        <f aca="false">IF($J185=0,0,MAX(0,NETWORKDAYS(MAX($K185,AG$4),MIN($L185,EOMONTH(AG$4,0)),Assumptions!$F$4:$F$44))/NETWORKDAYS($K185,$L185,Assumptions!$F$4:$F$44))</f>
        <v>0</v>
      </c>
      <c r="AH185" s="21" t="n">
        <f aca="false">IF($J185=0,0,MAX(0,NETWORKDAYS(MAX($K185,AH$4),MIN($L185,EOMONTH(AH$4,0)),Assumptions!$F$4:$F$44))/NETWORKDAYS($K185,$L185,Assumptions!$F$4:$F$44))</f>
        <v>0.22</v>
      </c>
      <c r="AI185" s="21" t="n">
        <f aca="false">IF($J185=0,0,MAX(0,NETWORKDAYS(MAX($K185,AI$4),MIN($L185,EOMONTH(AI$4,0)),Assumptions!$F$4:$F$44))/NETWORKDAYS($K185,$L185,Assumptions!$F$4:$F$44))</f>
        <v>0.4</v>
      </c>
      <c r="AJ185" s="21" t="n">
        <f aca="false">IF($J185=0,0,MAX(0,NETWORKDAYS(MAX($K185,AJ$4),MIN($L185,EOMONTH(AJ$4,0)),Assumptions!$F$4:$F$44))/NETWORKDAYS($K185,$L185,Assumptions!$F$4:$F$44))</f>
        <v>0.38</v>
      </c>
      <c r="AK185" s="21" t="n">
        <f aca="false">IF($J185=0,0,MAX(0,NETWORKDAYS(MAX($K185,AK$4),MIN($L185,EOMONTH(AK$4,0)),Assumptions!$F$4:$F$44))/NETWORKDAYS($K185,$L185,Assumptions!$F$4:$F$44))</f>
        <v>0</v>
      </c>
      <c r="AL185" s="21" t="n">
        <f aca="false">IF($J185=0,0,MAX(0,NETWORKDAYS(MAX($K185,AL$4),MIN($L185,EOMONTH(AL$4,0)),Assumptions!$F$4:$F$44))/NETWORKDAYS($K185,$L185,Assumptions!$F$4:$F$44))</f>
        <v>0</v>
      </c>
      <c r="AM185" s="21" t="n">
        <f aca="false">IF($J185=0,0,MAX(0,NETWORKDAYS(MAX($K185,AM$4),MIN($L185,EOMONTH(AM$4,0)),Assumptions!$F$4:$F$44))/NETWORKDAYS($K185,$L185,Assumptions!$F$4:$F$44))</f>
        <v>0</v>
      </c>
      <c r="AN185" s="21" t="n">
        <f aca="false">IF($J185=0,0,MAX(0,NETWORKDAYS(MAX($K185,AN$4),MIN($L185,EOMONTH(AN$4,0)),Assumptions!$F$4:$F$44))/NETWORKDAYS($K185,$L185,Assumptions!$F$4:$F$44))</f>
        <v>0</v>
      </c>
      <c r="AO185" s="21" t="n">
        <f aca="false">IF($J185=0,0,MAX(0,NETWORKDAYS(MAX($K185,AO$4),MIN($L185,EOMONTH(AO$4,0)),Assumptions!$F$4:$F$44))/NETWORKDAYS($K185,$L185,Assumptions!$F$4:$F$44))</f>
        <v>0</v>
      </c>
      <c r="AP185" s="21" t="n">
        <f aca="false">IF($J185=0,0,MAX(0,NETWORKDAYS(MAX($K185,AP$4),MIN($L185,EOMONTH(AP$4,0)),Assumptions!$F$4:$F$44))/NETWORKDAYS($K185,$L185,Assumptions!$F$4:$F$44))</f>
        <v>0</v>
      </c>
      <c r="AQ185" s="21" t="n">
        <f aca="false">IF($J185=0,0,MAX(0,NETWORKDAYS(MAX($K185,AQ$4),MIN($L185,EOMONTH(AQ$4,0)),Assumptions!$F$4:$F$44))/NETWORKDAYS($K185,$L185,Assumptions!$F$4:$F$44))</f>
        <v>0</v>
      </c>
      <c r="AR185" s="21" t="n">
        <f aca="false">IF($J185=0,0,MAX(0,NETWORKDAYS(MAX($K185,AR$4),MIN($L185,EOMONTH(AR$4,0)),Assumptions!$F$4:$F$44))/NETWORKDAYS($K185,$L185,Assumptions!$F$4:$F$44))</f>
        <v>0</v>
      </c>
      <c r="AS185" s="21" t="n">
        <f aca="false">IF($J185=0,0,MAX(0,NETWORKDAYS(MAX($K185,AS$4),MIN($L185,EOMONTH(AS$4,0)),Assumptions!$F$4:$F$44))/NETWORKDAYS($K185,$L185,Assumptions!$F$4:$F$44))</f>
        <v>0</v>
      </c>
      <c r="AT185" s="21" t="n">
        <f aca="false">IF($J185=0,0,MAX(0,NETWORKDAYS(MAX($K185,AT$4),MIN($L185,EOMONTH(AT$4,0)),Assumptions!$F$4:$F$44))/NETWORKDAYS($K185,$L185,Assumptions!$F$4:$F$44))</f>
        <v>0</v>
      </c>
      <c r="AU185" s="21" t="n">
        <f aca="false">IF($J185=0,0,MAX(0,NETWORKDAYS(MAX($K185,AU$4),MIN($L185,EOMONTH(AU$4,0)),Assumptions!$F$4:$F$44))/NETWORKDAYS($K185,$L185,Assumptions!$F$4:$F$44))</f>
        <v>0</v>
      </c>
      <c r="AV185" s="21" t="n">
        <f aca="false">IF($J185=0,0,MAX(0,NETWORKDAYS(MAX($K185,AV$4),MIN($L185,EOMONTH(AV$4,0)),Assumptions!$F$4:$F$44))/NETWORKDAYS($K185,$L185,Assumptions!$F$4:$F$44))</f>
        <v>0</v>
      </c>
      <c r="AW185" s="21" t="n">
        <f aca="false">IF($J185=0,0,MAX(0,NETWORKDAYS(MAX($K185,AW$4),MIN($L185,EOMONTH(AW$4,0)),Assumptions!$F$4:$F$44))/NETWORKDAYS($K185,$L185,Assumptions!$F$4:$F$44))</f>
        <v>0</v>
      </c>
      <c r="AX185" s="21" t="n">
        <f aca="false">IF($J185=0,0,MAX(0,NETWORKDAYS(MAX($K185,AX$4),MIN($L185,EOMONTH(AX$4,0)),Assumptions!$F$4:$F$44))/NETWORKDAYS($K185,$L185,Assumptions!$F$4:$F$44))</f>
        <v>0</v>
      </c>
      <c r="AY185" s="21" t="n">
        <f aca="false">IF($J185=0,0,MAX(0,NETWORKDAYS(MAX($K185,AY$4),MIN($L185,EOMONTH(AY$4,0)),Assumptions!$F$4:$F$44))/NETWORKDAYS($K185,$L185,Assumptions!$F$4:$F$44))</f>
        <v>0</v>
      </c>
      <c r="AZ185" s="21" t="n">
        <f aca="false">IF($J185=0,0,MAX(0,NETWORKDAYS(MAX($K185,AZ$4),MIN($L185,EOMONTH(AZ$4,0)),Assumptions!$F$4:$F$44))/NETWORKDAYS($K185,$L185,Assumptions!$F$4:$F$44))</f>
        <v>0</v>
      </c>
      <c r="BA185" s="21" t="n">
        <f aca="false">IF($J185=0,0,MAX(0,NETWORKDAYS(MAX($K185,BA$4),MIN($L185,EOMONTH(BA$4,0)),Assumptions!$F$4:$F$44))/NETWORKDAYS($K185,$L185,Assumptions!$F$4:$F$44))</f>
        <v>0</v>
      </c>
      <c r="BB185" s="21" t="n">
        <f aca="false">IF($J185=0,0,MAX(0,NETWORKDAYS(MAX($K185,BB$4),MIN($L185,EOMONTH(BB$4,0)),Assumptions!$F$4:$F$44))/NETWORKDAYS($K185,$L185,Assumptions!$F$4:$F$44))</f>
        <v>0</v>
      </c>
      <c r="BC185" s="21" t="n">
        <f aca="false">IF($J185=0,0,MAX(0,NETWORKDAYS(MAX($K185,BC$4),MIN($L185,EOMONTH(BC$4,0)),Assumptions!$F$4:$F$44))/NETWORKDAYS($K185,$L185,Assumptions!$F$4:$F$44))</f>
        <v>0</v>
      </c>
    </row>
    <row r="186" customFormat="false" ht="15" hidden="false" customHeight="false" outlineLevel="2" collapsed="false">
      <c r="A186" s="27" t="n">
        <v>182</v>
      </c>
      <c r="B186" s="27" t="s">
        <v>458</v>
      </c>
      <c r="C186" s="27" t="n">
        <v>3</v>
      </c>
      <c r="D186" s="27" t="s">
        <v>92</v>
      </c>
      <c r="E186" s="28" t="s">
        <v>336</v>
      </c>
      <c r="F186" s="27" t="s">
        <v>154</v>
      </c>
      <c r="G186" s="27" t="s">
        <v>439</v>
      </c>
      <c r="H186" s="27" t="s">
        <v>57</v>
      </c>
      <c r="I186" s="29" t="n">
        <v>89</v>
      </c>
      <c r="J186" s="29" t="n">
        <v>18</v>
      </c>
      <c r="K186" s="30" t="n">
        <f aca="false">WORKDAY(Assumptions!$C$4,I186,Assumptions!$F$4:$F$44)</f>
        <v>46451</v>
      </c>
      <c r="L186" s="30" t="n">
        <f aca="false">IF(J186=0,K186,WORKDAY(K186,J186-1,Assumptions!$F$4:$F$44))</f>
        <v>46476</v>
      </c>
      <c r="M186" s="29" t="s">
        <v>459</v>
      </c>
      <c r="N186" s="31" t="n">
        <v>0</v>
      </c>
      <c r="O186" s="31" t="n">
        <v>0</v>
      </c>
      <c r="P186" s="31" t="n">
        <v>0</v>
      </c>
      <c r="Q186" s="31" t="n">
        <v>0</v>
      </c>
      <c r="R186" s="31" t="n">
        <v>0</v>
      </c>
      <c r="S186" s="31" t="n">
        <v>0</v>
      </c>
      <c r="T186" s="31" t="n">
        <v>0</v>
      </c>
      <c r="U186" s="31" t="n">
        <v>0</v>
      </c>
      <c r="V186" s="31" t="n">
        <v>30</v>
      </c>
      <c r="W186" s="31" t="n">
        <v>0</v>
      </c>
      <c r="X186" s="31" t="n">
        <v>0</v>
      </c>
      <c r="Y186" s="32" t="n">
        <f aca="false">SUM(N186:X186)</f>
        <v>30</v>
      </c>
      <c r="Z186" s="32" t="n">
        <f aca="false">Y186*(1+Assumptions!$C$5)</f>
        <v>34.5</v>
      </c>
      <c r="AA186" s="27" t="s">
        <v>338</v>
      </c>
      <c r="AB186" s="27" t="s">
        <v>95</v>
      </c>
      <c r="AC186" s="27"/>
      <c r="AD186" s="33" t="n">
        <v>0</v>
      </c>
      <c r="AF186" s="21" t="n">
        <f aca="false">IF($J186=0,0,MAX(0,NETWORKDAYS(MAX($K186,AF$4),MIN($L186,EOMONTH(AF$4,0)),Assumptions!$F$4:$F$44))/NETWORKDAYS($K186,$L186,Assumptions!$F$4:$F$44))</f>
        <v>0</v>
      </c>
      <c r="AG186" s="21" t="n">
        <f aca="false">IF($J186=0,0,MAX(0,NETWORKDAYS(MAX($K186,AG$4),MIN($L186,EOMONTH(AG$4,0)),Assumptions!$F$4:$F$44))/NETWORKDAYS($K186,$L186,Assumptions!$F$4:$F$44))</f>
        <v>0</v>
      </c>
      <c r="AH186" s="21" t="n">
        <f aca="false">IF($J186=0,0,MAX(0,NETWORKDAYS(MAX($K186,AH$4),MIN($L186,EOMONTH(AH$4,0)),Assumptions!$F$4:$F$44))/NETWORKDAYS($K186,$L186,Assumptions!$F$4:$F$44))</f>
        <v>0</v>
      </c>
      <c r="AI186" s="21" t="n">
        <f aca="false">IF($J186=0,0,MAX(0,NETWORKDAYS(MAX($K186,AI$4),MIN($L186,EOMONTH(AI$4,0)),Assumptions!$F$4:$F$44))/NETWORKDAYS($K186,$L186,Assumptions!$F$4:$F$44))</f>
        <v>0</v>
      </c>
      <c r="AJ186" s="21" t="n">
        <f aca="false">IF($J186=0,0,MAX(0,NETWORKDAYS(MAX($K186,AJ$4),MIN($L186,EOMONTH(AJ$4,0)),Assumptions!$F$4:$F$44))/NETWORKDAYS($K186,$L186,Assumptions!$F$4:$F$44))</f>
        <v>1</v>
      </c>
      <c r="AK186" s="21" t="n">
        <f aca="false">IF($J186=0,0,MAX(0,NETWORKDAYS(MAX($K186,AK$4),MIN($L186,EOMONTH(AK$4,0)),Assumptions!$F$4:$F$44))/NETWORKDAYS($K186,$L186,Assumptions!$F$4:$F$44))</f>
        <v>0</v>
      </c>
      <c r="AL186" s="21" t="n">
        <f aca="false">IF($J186=0,0,MAX(0,NETWORKDAYS(MAX($K186,AL$4),MIN($L186,EOMONTH(AL$4,0)),Assumptions!$F$4:$F$44))/NETWORKDAYS($K186,$L186,Assumptions!$F$4:$F$44))</f>
        <v>0</v>
      </c>
      <c r="AM186" s="21" t="n">
        <f aca="false">IF($J186=0,0,MAX(0,NETWORKDAYS(MAX($K186,AM$4),MIN($L186,EOMONTH(AM$4,0)),Assumptions!$F$4:$F$44))/NETWORKDAYS($K186,$L186,Assumptions!$F$4:$F$44))</f>
        <v>0</v>
      </c>
      <c r="AN186" s="21" t="n">
        <f aca="false">IF($J186=0,0,MAX(0,NETWORKDAYS(MAX($K186,AN$4),MIN($L186,EOMONTH(AN$4,0)),Assumptions!$F$4:$F$44))/NETWORKDAYS($K186,$L186,Assumptions!$F$4:$F$44))</f>
        <v>0</v>
      </c>
      <c r="AO186" s="21" t="n">
        <f aca="false">IF($J186=0,0,MAX(0,NETWORKDAYS(MAX($K186,AO$4),MIN($L186,EOMONTH(AO$4,0)),Assumptions!$F$4:$F$44))/NETWORKDAYS($K186,$L186,Assumptions!$F$4:$F$44))</f>
        <v>0</v>
      </c>
      <c r="AP186" s="21" t="n">
        <f aca="false">IF($J186=0,0,MAX(0,NETWORKDAYS(MAX($K186,AP$4),MIN($L186,EOMONTH(AP$4,0)),Assumptions!$F$4:$F$44))/NETWORKDAYS($K186,$L186,Assumptions!$F$4:$F$44))</f>
        <v>0</v>
      </c>
      <c r="AQ186" s="21" t="n">
        <f aca="false">IF($J186=0,0,MAX(0,NETWORKDAYS(MAX($K186,AQ$4),MIN($L186,EOMONTH(AQ$4,0)),Assumptions!$F$4:$F$44))/NETWORKDAYS($K186,$L186,Assumptions!$F$4:$F$44))</f>
        <v>0</v>
      </c>
      <c r="AR186" s="21" t="n">
        <f aca="false">IF($J186=0,0,MAX(0,NETWORKDAYS(MAX($K186,AR$4),MIN($L186,EOMONTH(AR$4,0)),Assumptions!$F$4:$F$44))/NETWORKDAYS($K186,$L186,Assumptions!$F$4:$F$44))</f>
        <v>0</v>
      </c>
      <c r="AS186" s="21" t="n">
        <f aca="false">IF($J186=0,0,MAX(0,NETWORKDAYS(MAX($K186,AS$4),MIN($L186,EOMONTH(AS$4,0)),Assumptions!$F$4:$F$44))/NETWORKDAYS($K186,$L186,Assumptions!$F$4:$F$44))</f>
        <v>0</v>
      </c>
      <c r="AT186" s="21" t="n">
        <f aca="false">IF($J186=0,0,MAX(0,NETWORKDAYS(MAX($K186,AT$4),MIN($L186,EOMONTH(AT$4,0)),Assumptions!$F$4:$F$44))/NETWORKDAYS($K186,$L186,Assumptions!$F$4:$F$44))</f>
        <v>0</v>
      </c>
      <c r="AU186" s="21" t="n">
        <f aca="false">IF($J186=0,0,MAX(0,NETWORKDAYS(MAX($K186,AU$4),MIN($L186,EOMONTH(AU$4,0)),Assumptions!$F$4:$F$44))/NETWORKDAYS($K186,$L186,Assumptions!$F$4:$F$44))</f>
        <v>0</v>
      </c>
      <c r="AV186" s="21" t="n">
        <f aca="false">IF($J186=0,0,MAX(0,NETWORKDAYS(MAX($K186,AV$4),MIN($L186,EOMONTH(AV$4,0)),Assumptions!$F$4:$F$44))/NETWORKDAYS($K186,$L186,Assumptions!$F$4:$F$44))</f>
        <v>0</v>
      </c>
      <c r="AW186" s="21" t="n">
        <f aca="false">IF($J186=0,0,MAX(0,NETWORKDAYS(MAX($K186,AW$4),MIN($L186,EOMONTH(AW$4,0)),Assumptions!$F$4:$F$44))/NETWORKDAYS($K186,$L186,Assumptions!$F$4:$F$44))</f>
        <v>0</v>
      </c>
      <c r="AX186" s="21" t="n">
        <f aca="false">IF($J186=0,0,MAX(0,NETWORKDAYS(MAX($K186,AX$4),MIN($L186,EOMONTH(AX$4,0)),Assumptions!$F$4:$F$44))/NETWORKDAYS($K186,$L186,Assumptions!$F$4:$F$44))</f>
        <v>0</v>
      </c>
      <c r="AY186" s="21" t="n">
        <f aca="false">IF($J186=0,0,MAX(0,NETWORKDAYS(MAX($K186,AY$4),MIN($L186,EOMONTH(AY$4,0)),Assumptions!$F$4:$F$44))/NETWORKDAYS($K186,$L186,Assumptions!$F$4:$F$44))</f>
        <v>0</v>
      </c>
      <c r="AZ186" s="21" t="n">
        <f aca="false">IF($J186=0,0,MAX(0,NETWORKDAYS(MAX($K186,AZ$4),MIN($L186,EOMONTH(AZ$4,0)),Assumptions!$F$4:$F$44))/NETWORKDAYS($K186,$L186,Assumptions!$F$4:$F$44))</f>
        <v>0</v>
      </c>
      <c r="BA186" s="21" t="n">
        <f aca="false">IF($J186=0,0,MAX(0,NETWORKDAYS(MAX($K186,BA$4),MIN($L186,EOMONTH(BA$4,0)),Assumptions!$F$4:$F$44))/NETWORKDAYS($K186,$L186,Assumptions!$F$4:$F$44))</f>
        <v>0</v>
      </c>
      <c r="BB186" s="21" t="n">
        <f aca="false">IF($J186=0,0,MAX(0,NETWORKDAYS(MAX($K186,BB$4),MIN($L186,EOMONTH(BB$4,0)),Assumptions!$F$4:$F$44))/NETWORKDAYS($K186,$L186,Assumptions!$F$4:$F$44))</f>
        <v>0</v>
      </c>
      <c r="BC186" s="21" t="n">
        <f aca="false">IF($J186=0,0,MAX(0,NETWORKDAYS(MAX($K186,BC$4),MIN($L186,EOMONTH(BC$4,0)),Assumptions!$F$4:$F$44))/NETWORKDAYS($K186,$L186,Assumptions!$F$4:$F$44))</f>
        <v>0</v>
      </c>
    </row>
    <row r="187" customFormat="false" ht="15" hidden="false" customHeight="false" outlineLevel="2" collapsed="false">
      <c r="A187" s="27" t="n">
        <v>183</v>
      </c>
      <c r="B187" s="27" t="s">
        <v>460</v>
      </c>
      <c r="C187" s="27" t="n">
        <v>3</v>
      </c>
      <c r="D187" s="27" t="s">
        <v>92</v>
      </c>
      <c r="E187" s="28" t="s">
        <v>340</v>
      </c>
      <c r="F187" s="27" t="s">
        <v>154</v>
      </c>
      <c r="G187" s="27" t="s">
        <v>439</v>
      </c>
      <c r="H187" s="27" t="s">
        <v>47</v>
      </c>
      <c r="I187" s="29" t="n">
        <v>93</v>
      </c>
      <c r="J187" s="29" t="n">
        <v>22</v>
      </c>
      <c r="K187" s="30" t="n">
        <f aca="false">WORKDAY(Assumptions!$C$4,I187,Assumptions!$F$4:$F$44)</f>
        <v>46457</v>
      </c>
      <c r="L187" s="30" t="n">
        <f aca="false">IF(J187=0,K187,WORKDAY(K187,J187-1,Assumptions!$F$4:$F$44))</f>
        <v>46486</v>
      </c>
      <c r="M187" s="29" t="s">
        <v>461</v>
      </c>
      <c r="N187" s="31" t="n">
        <v>0</v>
      </c>
      <c r="O187" s="31" t="n">
        <v>0</v>
      </c>
      <c r="P187" s="31" t="n">
        <v>0</v>
      </c>
      <c r="Q187" s="31" t="n">
        <v>12</v>
      </c>
      <c r="R187" s="31" t="n">
        <v>8</v>
      </c>
      <c r="S187" s="31" t="n">
        <v>0</v>
      </c>
      <c r="T187" s="31" t="n">
        <v>0</v>
      </c>
      <c r="U187" s="31" t="n">
        <v>0</v>
      </c>
      <c r="V187" s="31" t="n">
        <v>6</v>
      </c>
      <c r="W187" s="31" t="n">
        <v>0</v>
      </c>
      <c r="X187" s="31" t="n">
        <v>0</v>
      </c>
      <c r="Y187" s="32" t="n">
        <f aca="false">SUM(N187:X187)</f>
        <v>26</v>
      </c>
      <c r="Z187" s="32" t="n">
        <f aca="false">Y187*(1+Assumptions!$C$5)</f>
        <v>29.9</v>
      </c>
      <c r="AA187" s="27" t="s">
        <v>342</v>
      </c>
      <c r="AB187" s="27" t="s">
        <v>95</v>
      </c>
      <c r="AC187" s="27"/>
      <c r="AD187" s="33" t="n">
        <v>0</v>
      </c>
      <c r="AF187" s="21" t="n">
        <f aca="false">IF($J187=0,0,MAX(0,NETWORKDAYS(MAX($K187,AF$4),MIN($L187,EOMONTH(AF$4,0)),Assumptions!$F$4:$F$44))/NETWORKDAYS($K187,$L187,Assumptions!$F$4:$F$44))</f>
        <v>0</v>
      </c>
      <c r="AG187" s="21" t="n">
        <f aca="false">IF($J187=0,0,MAX(0,NETWORKDAYS(MAX($K187,AG$4),MIN($L187,EOMONTH(AG$4,0)),Assumptions!$F$4:$F$44))/NETWORKDAYS($K187,$L187,Assumptions!$F$4:$F$44))</f>
        <v>0</v>
      </c>
      <c r="AH187" s="21" t="n">
        <f aca="false">IF($J187=0,0,MAX(0,NETWORKDAYS(MAX($K187,AH$4),MIN($L187,EOMONTH(AH$4,0)),Assumptions!$F$4:$F$44))/NETWORKDAYS($K187,$L187,Assumptions!$F$4:$F$44))</f>
        <v>0</v>
      </c>
      <c r="AI187" s="21" t="n">
        <f aca="false">IF($J187=0,0,MAX(0,NETWORKDAYS(MAX($K187,AI$4),MIN($L187,EOMONTH(AI$4,0)),Assumptions!$F$4:$F$44))/NETWORKDAYS($K187,$L187,Assumptions!$F$4:$F$44))</f>
        <v>0</v>
      </c>
      <c r="AJ187" s="21" t="n">
        <f aca="false">IF($J187=0,0,MAX(0,NETWORKDAYS(MAX($K187,AJ$4),MIN($L187,EOMONTH(AJ$4,0)),Assumptions!$F$4:$F$44))/NETWORKDAYS($K187,$L187,Assumptions!$F$4:$F$44))</f>
        <v>0.681818181818182</v>
      </c>
      <c r="AK187" s="21" t="n">
        <f aca="false">IF($J187=0,0,MAX(0,NETWORKDAYS(MAX($K187,AK$4),MIN($L187,EOMONTH(AK$4,0)),Assumptions!$F$4:$F$44))/NETWORKDAYS($K187,$L187,Assumptions!$F$4:$F$44))</f>
        <v>0.318181818181818</v>
      </c>
      <c r="AL187" s="21" t="n">
        <f aca="false">IF($J187=0,0,MAX(0,NETWORKDAYS(MAX($K187,AL$4),MIN($L187,EOMONTH(AL$4,0)),Assumptions!$F$4:$F$44))/NETWORKDAYS($K187,$L187,Assumptions!$F$4:$F$44))</f>
        <v>0</v>
      </c>
      <c r="AM187" s="21" t="n">
        <f aca="false">IF($J187=0,0,MAX(0,NETWORKDAYS(MAX($K187,AM$4),MIN($L187,EOMONTH(AM$4,0)),Assumptions!$F$4:$F$44))/NETWORKDAYS($K187,$L187,Assumptions!$F$4:$F$44))</f>
        <v>0</v>
      </c>
      <c r="AN187" s="21" t="n">
        <f aca="false">IF($J187=0,0,MAX(0,NETWORKDAYS(MAX($K187,AN$4),MIN($L187,EOMONTH(AN$4,0)),Assumptions!$F$4:$F$44))/NETWORKDAYS($K187,$L187,Assumptions!$F$4:$F$44))</f>
        <v>0</v>
      </c>
      <c r="AO187" s="21" t="n">
        <f aca="false">IF($J187=0,0,MAX(0,NETWORKDAYS(MAX($K187,AO$4),MIN($L187,EOMONTH(AO$4,0)),Assumptions!$F$4:$F$44))/NETWORKDAYS($K187,$L187,Assumptions!$F$4:$F$44))</f>
        <v>0</v>
      </c>
      <c r="AP187" s="21" t="n">
        <f aca="false">IF($J187=0,0,MAX(0,NETWORKDAYS(MAX($K187,AP$4),MIN($L187,EOMONTH(AP$4,0)),Assumptions!$F$4:$F$44))/NETWORKDAYS($K187,$L187,Assumptions!$F$4:$F$44))</f>
        <v>0</v>
      </c>
      <c r="AQ187" s="21" t="n">
        <f aca="false">IF($J187=0,0,MAX(0,NETWORKDAYS(MAX($K187,AQ$4),MIN($L187,EOMONTH(AQ$4,0)),Assumptions!$F$4:$F$44))/NETWORKDAYS($K187,$L187,Assumptions!$F$4:$F$44))</f>
        <v>0</v>
      </c>
      <c r="AR187" s="21" t="n">
        <f aca="false">IF($J187=0,0,MAX(0,NETWORKDAYS(MAX($K187,AR$4),MIN($L187,EOMONTH(AR$4,0)),Assumptions!$F$4:$F$44))/NETWORKDAYS($K187,$L187,Assumptions!$F$4:$F$44))</f>
        <v>0</v>
      </c>
      <c r="AS187" s="21" t="n">
        <f aca="false">IF($J187=0,0,MAX(0,NETWORKDAYS(MAX($K187,AS$4),MIN($L187,EOMONTH(AS$4,0)),Assumptions!$F$4:$F$44))/NETWORKDAYS($K187,$L187,Assumptions!$F$4:$F$44))</f>
        <v>0</v>
      </c>
      <c r="AT187" s="21" t="n">
        <f aca="false">IF($J187=0,0,MAX(0,NETWORKDAYS(MAX($K187,AT$4),MIN($L187,EOMONTH(AT$4,0)),Assumptions!$F$4:$F$44))/NETWORKDAYS($K187,$L187,Assumptions!$F$4:$F$44))</f>
        <v>0</v>
      </c>
      <c r="AU187" s="21" t="n">
        <f aca="false">IF($J187=0,0,MAX(0,NETWORKDAYS(MAX($K187,AU$4),MIN($L187,EOMONTH(AU$4,0)),Assumptions!$F$4:$F$44))/NETWORKDAYS($K187,$L187,Assumptions!$F$4:$F$44))</f>
        <v>0</v>
      </c>
      <c r="AV187" s="21" t="n">
        <f aca="false">IF($J187=0,0,MAX(0,NETWORKDAYS(MAX($K187,AV$4),MIN($L187,EOMONTH(AV$4,0)),Assumptions!$F$4:$F$44))/NETWORKDAYS($K187,$L187,Assumptions!$F$4:$F$44))</f>
        <v>0</v>
      </c>
      <c r="AW187" s="21" t="n">
        <f aca="false">IF($J187=0,0,MAX(0,NETWORKDAYS(MAX($K187,AW$4),MIN($L187,EOMONTH(AW$4,0)),Assumptions!$F$4:$F$44))/NETWORKDAYS($K187,$L187,Assumptions!$F$4:$F$44))</f>
        <v>0</v>
      </c>
      <c r="AX187" s="21" t="n">
        <f aca="false">IF($J187=0,0,MAX(0,NETWORKDAYS(MAX($K187,AX$4),MIN($L187,EOMONTH(AX$4,0)),Assumptions!$F$4:$F$44))/NETWORKDAYS($K187,$L187,Assumptions!$F$4:$F$44))</f>
        <v>0</v>
      </c>
      <c r="AY187" s="21" t="n">
        <f aca="false">IF($J187=0,0,MAX(0,NETWORKDAYS(MAX($K187,AY$4),MIN($L187,EOMONTH(AY$4,0)),Assumptions!$F$4:$F$44))/NETWORKDAYS($K187,$L187,Assumptions!$F$4:$F$44))</f>
        <v>0</v>
      </c>
      <c r="AZ187" s="21" t="n">
        <f aca="false">IF($J187=0,0,MAX(0,NETWORKDAYS(MAX($K187,AZ$4),MIN($L187,EOMONTH(AZ$4,0)),Assumptions!$F$4:$F$44))/NETWORKDAYS($K187,$L187,Assumptions!$F$4:$F$44))</f>
        <v>0</v>
      </c>
      <c r="BA187" s="21" t="n">
        <f aca="false">IF($J187=0,0,MAX(0,NETWORKDAYS(MAX($K187,BA$4),MIN($L187,EOMONTH(BA$4,0)),Assumptions!$F$4:$F$44))/NETWORKDAYS($K187,$L187,Assumptions!$F$4:$F$44))</f>
        <v>0</v>
      </c>
      <c r="BB187" s="21" t="n">
        <f aca="false">IF($J187=0,0,MAX(0,NETWORKDAYS(MAX($K187,BB$4),MIN($L187,EOMONTH(BB$4,0)),Assumptions!$F$4:$F$44))/NETWORKDAYS($K187,$L187,Assumptions!$F$4:$F$44))</f>
        <v>0</v>
      </c>
      <c r="BC187" s="21" t="n">
        <f aca="false">IF($J187=0,0,MAX(0,NETWORKDAYS(MAX($K187,BC$4),MIN($L187,EOMONTH(BC$4,0)),Assumptions!$F$4:$F$44))/NETWORKDAYS($K187,$L187,Assumptions!$F$4:$F$44))</f>
        <v>0</v>
      </c>
    </row>
    <row r="188" customFormat="false" ht="15" hidden="false" customHeight="false" outlineLevel="2" collapsed="false">
      <c r="A188" s="27" t="n">
        <v>184</v>
      </c>
      <c r="B188" s="27" t="s">
        <v>462</v>
      </c>
      <c r="C188" s="27" t="n">
        <v>3</v>
      </c>
      <c r="D188" s="27" t="s">
        <v>92</v>
      </c>
      <c r="E188" s="28" t="s">
        <v>344</v>
      </c>
      <c r="F188" s="27" t="s">
        <v>154</v>
      </c>
      <c r="G188" s="27" t="s">
        <v>439</v>
      </c>
      <c r="H188" s="27" t="s">
        <v>43</v>
      </c>
      <c r="I188" s="29" t="n">
        <v>107</v>
      </c>
      <c r="J188" s="29" t="n">
        <v>11</v>
      </c>
      <c r="K188" s="30" t="n">
        <f aca="false">WORKDAY(Assumptions!$C$4,I188,Assumptions!$F$4:$F$44)</f>
        <v>46477</v>
      </c>
      <c r="L188" s="30" t="n">
        <f aca="false">IF(J188=0,K188,WORKDAY(K188,J188-1,Assumptions!$F$4:$F$44))</f>
        <v>46491</v>
      </c>
      <c r="M188" s="29" t="s">
        <v>461</v>
      </c>
      <c r="N188" s="31" t="n">
        <v>0</v>
      </c>
      <c r="O188" s="31" t="n">
        <v>8</v>
      </c>
      <c r="P188" s="31" t="n">
        <v>0</v>
      </c>
      <c r="Q188" s="31" t="n">
        <v>0</v>
      </c>
      <c r="R188" s="31" t="n">
        <v>0</v>
      </c>
      <c r="S188" s="31" t="n">
        <v>0</v>
      </c>
      <c r="T188" s="31" t="n">
        <v>0</v>
      </c>
      <c r="U188" s="31" t="n">
        <v>0</v>
      </c>
      <c r="V188" s="31" t="n">
        <v>8</v>
      </c>
      <c r="W188" s="31" t="n">
        <v>0</v>
      </c>
      <c r="X188" s="31" t="n">
        <v>0</v>
      </c>
      <c r="Y188" s="32" t="n">
        <f aca="false">SUM(N188:X188)</f>
        <v>16</v>
      </c>
      <c r="Z188" s="32" t="n">
        <f aca="false">Y188*(1+Assumptions!$C$5)</f>
        <v>18.4</v>
      </c>
      <c r="AA188" s="27" t="s">
        <v>345</v>
      </c>
      <c r="AB188" s="27" t="s">
        <v>95</v>
      </c>
      <c r="AC188" s="27"/>
      <c r="AD188" s="33" t="n">
        <v>0</v>
      </c>
      <c r="AF188" s="21" t="n">
        <f aca="false">IF($J188=0,0,MAX(0,NETWORKDAYS(MAX($K188,AF$4),MIN($L188,EOMONTH(AF$4,0)),Assumptions!$F$4:$F$44))/NETWORKDAYS($K188,$L188,Assumptions!$F$4:$F$44))</f>
        <v>0</v>
      </c>
      <c r="AG188" s="21" t="n">
        <f aca="false">IF($J188=0,0,MAX(0,NETWORKDAYS(MAX($K188,AG$4),MIN($L188,EOMONTH(AG$4,0)),Assumptions!$F$4:$F$44))/NETWORKDAYS($K188,$L188,Assumptions!$F$4:$F$44))</f>
        <v>0</v>
      </c>
      <c r="AH188" s="21" t="n">
        <f aca="false">IF($J188=0,0,MAX(0,NETWORKDAYS(MAX($K188,AH$4),MIN($L188,EOMONTH(AH$4,0)),Assumptions!$F$4:$F$44))/NETWORKDAYS($K188,$L188,Assumptions!$F$4:$F$44))</f>
        <v>0</v>
      </c>
      <c r="AI188" s="21" t="n">
        <f aca="false">IF($J188=0,0,MAX(0,NETWORKDAYS(MAX($K188,AI$4),MIN($L188,EOMONTH(AI$4,0)),Assumptions!$F$4:$F$44))/NETWORKDAYS($K188,$L188,Assumptions!$F$4:$F$44))</f>
        <v>0</v>
      </c>
      <c r="AJ188" s="21" t="n">
        <f aca="false">IF($J188=0,0,MAX(0,NETWORKDAYS(MAX($K188,AJ$4),MIN($L188,EOMONTH(AJ$4,0)),Assumptions!$F$4:$F$44))/NETWORKDAYS($K188,$L188,Assumptions!$F$4:$F$44))</f>
        <v>0.0909090909090909</v>
      </c>
      <c r="AK188" s="21" t="n">
        <f aca="false">IF($J188=0,0,MAX(0,NETWORKDAYS(MAX($K188,AK$4),MIN($L188,EOMONTH(AK$4,0)),Assumptions!$F$4:$F$44))/NETWORKDAYS($K188,$L188,Assumptions!$F$4:$F$44))</f>
        <v>0.909090909090909</v>
      </c>
      <c r="AL188" s="21" t="n">
        <f aca="false">IF($J188=0,0,MAX(0,NETWORKDAYS(MAX($K188,AL$4),MIN($L188,EOMONTH(AL$4,0)),Assumptions!$F$4:$F$44))/NETWORKDAYS($K188,$L188,Assumptions!$F$4:$F$44))</f>
        <v>0</v>
      </c>
      <c r="AM188" s="21" t="n">
        <f aca="false">IF($J188=0,0,MAX(0,NETWORKDAYS(MAX($K188,AM$4),MIN($L188,EOMONTH(AM$4,0)),Assumptions!$F$4:$F$44))/NETWORKDAYS($K188,$L188,Assumptions!$F$4:$F$44))</f>
        <v>0</v>
      </c>
      <c r="AN188" s="21" t="n">
        <f aca="false">IF($J188=0,0,MAX(0,NETWORKDAYS(MAX($K188,AN$4),MIN($L188,EOMONTH(AN$4,0)),Assumptions!$F$4:$F$44))/NETWORKDAYS($K188,$L188,Assumptions!$F$4:$F$44))</f>
        <v>0</v>
      </c>
      <c r="AO188" s="21" t="n">
        <f aca="false">IF($J188=0,0,MAX(0,NETWORKDAYS(MAX($K188,AO$4),MIN($L188,EOMONTH(AO$4,0)),Assumptions!$F$4:$F$44))/NETWORKDAYS($K188,$L188,Assumptions!$F$4:$F$44))</f>
        <v>0</v>
      </c>
      <c r="AP188" s="21" t="n">
        <f aca="false">IF($J188=0,0,MAX(0,NETWORKDAYS(MAX($K188,AP$4),MIN($L188,EOMONTH(AP$4,0)),Assumptions!$F$4:$F$44))/NETWORKDAYS($K188,$L188,Assumptions!$F$4:$F$44))</f>
        <v>0</v>
      </c>
      <c r="AQ188" s="21" t="n">
        <f aca="false">IF($J188=0,0,MAX(0,NETWORKDAYS(MAX($K188,AQ$4),MIN($L188,EOMONTH(AQ$4,0)),Assumptions!$F$4:$F$44))/NETWORKDAYS($K188,$L188,Assumptions!$F$4:$F$44))</f>
        <v>0</v>
      </c>
      <c r="AR188" s="21" t="n">
        <f aca="false">IF($J188=0,0,MAX(0,NETWORKDAYS(MAX($K188,AR$4),MIN($L188,EOMONTH(AR$4,0)),Assumptions!$F$4:$F$44))/NETWORKDAYS($K188,$L188,Assumptions!$F$4:$F$44))</f>
        <v>0</v>
      </c>
      <c r="AS188" s="21" t="n">
        <f aca="false">IF($J188=0,0,MAX(0,NETWORKDAYS(MAX($K188,AS$4),MIN($L188,EOMONTH(AS$4,0)),Assumptions!$F$4:$F$44))/NETWORKDAYS($K188,$L188,Assumptions!$F$4:$F$44))</f>
        <v>0</v>
      </c>
      <c r="AT188" s="21" t="n">
        <f aca="false">IF($J188=0,0,MAX(0,NETWORKDAYS(MAX($K188,AT$4),MIN($L188,EOMONTH(AT$4,0)),Assumptions!$F$4:$F$44))/NETWORKDAYS($K188,$L188,Assumptions!$F$4:$F$44))</f>
        <v>0</v>
      </c>
      <c r="AU188" s="21" t="n">
        <f aca="false">IF($J188=0,0,MAX(0,NETWORKDAYS(MAX($K188,AU$4),MIN($L188,EOMONTH(AU$4,0)),Assumptions!$F$4:$F$44))/NETWORKDAYS($K188,$L188,Assumptions!$F$4:$F$44))</f>
        <v>0</v>
      </c>
      <c r="AV188" s="21" t="n">
        <f aca="false">IF($J188=0,0,MAX(0,NETWORKDAYS(MAX($K188,AV$4),MIN($L188,EOMONTH(AV$4,0)),Assumptions!$F$4:$F$44))/NETWORKDAYS($K188,$L188,Assumptions!$F$4:$F$44))</f>
        <v>0</v>
      </c>
      <c r="AW188" s="21" t="n">
        <f aca="false">IF($J188=0,0,MAX(0,NETWORKDAYS(MAX($K188,AW$4),MIN($L188,EOMONTH(AW$4,0)),Assumptions!$F$4:$F$44))/NETWORKDAYS($K188,$L188,Assumptions!$F$4:$F$44))</f>
        <v>0</v>
      </c>
      <c r="AX188" s="21" t="n">
        <f aca="false">IF($J188=0,0,MAX(0,NETWORKDAYS(MAX($K188,AX$4),MIN($L188,EOMONTH(AX$4,0)),Assumptions!$F$4:$F$44))/NETWORKDAYS($K188,$L188,Assumptions!$F$4:$F$44))</f>
        <v>0</v>
      </c>
      <c r="AY188" s="21" t="n">
        <f aca="false">IF($J188=0,0,MAX(0,NETWORKDAYS(MAX($K188,AY$4),MIN($L188,EOMONTH(AY$4,0)),Assumptions!$F$4:$F$44))/NETWORKDAYS($K188,$L188,Assumptions!$F$4:$F$44))</f>
        <v>0</v>
      </c>
      <c r="AZ188" s="21" t="n">
        <f aca="false">IF($J188=0,0,MAX(0,NETWORKDAYS(MAX($K188,AZ$4),MIN($L188,EOMONTH(AZ$4,0)),Assumptions!$F$4:$F$44))/NETWORKDAYS($K188,$L188,Assumptions!$F$4:$F$44))</f>
        <v>0</v>
      </c>
      <c r="BA188" s="21" t="n">
        <f aca="false">IF($J188=0,0,MAX(0,NETWORKDAYS(MAX($K188,BA$4),MIN($L188,EOMONTH(BA$4,0)),Assumptions!$F$4:$F$44))/NETWORKDAYS($K188,$L188,Assumptions!$F$4:$F$44))</f>
        <v>0</v>
      </c>
      <c r="BB188" s="21" t="n">
        <f aca="false">IF($J188=0,0,MAX(0,NETWORKDAYS(MAX($K188,BB$4),MIN($L188,EOMONTH(BB$4,0)),Assumptions!$F$4:$F$44))/NETWORKDAYS($K188,$L188,Assumptions!$F$4:$F$44))</f>
        <v>0</v>
      </c>
      <c r="BC188" s="21" t="n">
        <f aca="false">IF($J188=0,0,MAX(0,NETWORKDAYS(MAX($K188,BC$4),MIN($L188,EOMONTH(BC$4,0)),Assumptions!$F$4:$F$44))/NETWORKDAYS($K188,$L188,Assumptions!$F$4:$F$44))</f>
        <v>0</v>
      </c>
    </row>
    <row r="189" customFormat="false" ht="15" hidden="false" customHeight="false" outlineLevel="2" collapsed="false">
      <c r="A189" s="27" t="n">
        <v>185</v>
      </c>
      <c r="B189" s="27" t="s">
        <v>463</v>
      </c>
      <c r="C189" s="27" t="n">
        <v>3</v>
      </c>
      <c r="D189" s="27" t="s">
        <v>92</v>
      </c>
      <c r="E189" s="28" t="s">
        <v>347</v>
      </c>
      <c r="F189" s="27" t="s">
        <v>154</v>
      </c>
      <c r="G189" s="27" t="s">
        <v>439</v>
      </c>
      <c r="H189" s="27" t="s">
        <v>61</v>
      </c>
      <c r="I189" s="29" t="n">
        <v>110</v>
      </c>
      <c r="J189" s="29" t="n">
        <v>11</v>
      </c>
      <c r="K189" s="30" t="n">
        <f aca="false">WORKDAY(Assumptions!$C$4,I189,Assumptions!$F$4:$F$44)</f>
        <v>46482</v>
      </c>
      <c r="L189" s="30" t="n">
        <f aca="false">IF(J189=0,K189,WORKDAY(K189,J189-1,Assumptions!$F$4:$F$44))</f>
        <v>46496</v>
      </c>
      <c r="M189" s="29" t="s">
        <v>464</v>
      </c>
      <c r="N189" s="31" t="n">
        <v>0</v>
      </c>
      <c r="O189" s="31" t="n">
        <v>3</v>
      </c>
      <c r="P189" s="31" t="n">
        <v>0</v>
      </c>
      <c r="Q189" s="31" t="n">
        <v>0</v>
      </c>
      <c r="R189" s="31" t="n">
        <v>0</v>
      </c>
      <c r="S189" s="31" t="n">
        <v>0</v>
      </c>
      <c r="T189" s="31" t="n">
        <v>0</v>
      </c>
      <c r="U189" s="31" t="n">
        <v>0</v>
      </c>
      <c r="V189" s="31" t="n">
        <v>0</v>
      </c>
      <c r="W189" s="31" t="n">
        <v>0</v>
      </c>
      <c r="X189" s="31" t="n">
        <v>9</v>
      </c>
      <c r="Y189" s="32" t="n">
        <f aca="false">SUM(N189:X189)</f>
        <v>12</v>
      </c>
      <c r="Z189" s="32" t="n">
        <f aca="false">Y189*(1+Assumptions!$C$5)</f>
        <v>13.8</v>
      </c>
      <c r="AA189" s="27" t="s">
        <v>349</v>
      </c>
      <c r="AB189" s="27" t="s">
        <v>95</v>
      </c>
      <c r="AC189" s="27"/>
      <c r="AD189" s="33" t="n">
        <v>0</v>
      </c>
      <c r="AF189" s="21" t="n">
        <f aca="false">IF($J189=0,0,MAX(0,NETWORKDAYS(MAX($K189,AF$4),MIN($L189,EOMONTH(AF$4,0)),Assumptions!$F$4:$F$44))/NETWORKDAYS($K189,$L189,Assumptions!$F$4:$F$44))</f>
        <v>0</v>
      </c>
      <c r="AG189" s="21" t="n">
        <f aca="false">IF($J189=0,0,MAX(0,NETWORKDAYS(MAX($K189,AG$4),MIN($L189,EOMONTH(AG$4,0)),Assumptions!$F$4:$F$44))/NETWORKDAYS($K189,$L189,Assumptions!$F$4:$F$44))</f>
        <v>0</v>
      </c>
      <c r="AH189" s="21" t="n">
        <f aca="false">IF($J189=0,0,MAX(0,NETWORKDAYS(MAX($K189,AH$4),MIN($L189,EOMONTH(AH$4,0)),Assumptions!$F$4:$F$44))/NETWORKDAYS($K189,$L189,Assumptions!$F$4:$F$44))</f>
        <v>0</v>
      </c>
      <c r="AI189" s="21" t="n">
        <f aca="false">IF($J189=0,0,MAX(0,NETWORKDAYS(MAX($K189,AI$4),MIN($L189,EOMONTH(AI$4,0)),Assumptions!$F$4:$F$44))/NETWORKDAYS($K189,$L189,Assumptions!$F$4:$F$44))</f>
        <v>0</v>
      </c>
      <c r="AJ189" s="21" t="n">
        <f aca="false">IF($J189=0,0,MAX(0,NETWORKDAYS(MAX($K189,AJ$4),MIN($L189,EOMONTH(AJ$4,0)),Assumptions!$F$4:$F$44))/NETWORKDAYS($K189,$L189,Assumptions!$F$4:$F$44))</f>
        <v>0</v>
      </c>
      <c r="AK189" s="21" t="n">
        <f aca="false">IF($J189=0,0,MAX(0,NETWORKDAYS(MAX($K189,AK$4),MIN($L189,EOMONTH(AK$4,0)),Assumptions!$F$4:$F$44))/NETWORKDAYS($K189,$L189,Assumptions!$F$4:$F$44))</f>
        <v>1</v>
      </c>
      <c r="AL189" s="21" t="n">
        <f aca="false">IF($J189=0,0,MAX(0,NETWORKDAYS(MAX($K189,AL$4),MIN($L189,EOMONTH(AL$4,0)),Assumptions!$F$4:$F$44))/NETWORKDAYS($K189,$L189,Assumptions!$F$4:$F$44))</f>
        <v>0</v>
      </c>
      <c r="AM189" s="21" t="n">
        <f aca="false">IF($J189=0,0,MAX(0,NETWORKDAYS(MAX($K189,AM$4),MIN($L189,EOMONTH(AM$4,0)),Assumptions!$F$4:$F$44))/NETWORKDAYS($K189,$L189,Assumptions!$F$4:$F$44))</f>
        <v>0</v>
      </c>
      <c r="AN189" s="21" t="n">
        <f aca="false">IF($J189=0,0,MAX(0,NETWORKDAYS(MAX($K189,AN$4),MIN($L189,EOMONTH(AN$4,0)),Assumptions!$F$4:$F$44))/NETWORKDAYS($K189,$L189,Assumptions!$F$4:$F$44))</f>
        <v>0</v>
      </c>
      <c r="AO189" s="21" t="n">
        <f aca="false">IF($J189=0,0,MAX(0,NETWORKDAYS(MAX($K189,AO$4),MIN($L189,EOMONTH(AO$4,0)),Assumptions!$F$4:$F$44))/NETWORKDAYS($K189,$L189,Assumptions!$F$4:$F$44))</f>
        <v>0</v>
      </c>
      <c r="AP189" s="21" t="n">
        <f aca="false">IF($J189=0,0,MAX(0,NETWORKDAYS(MAX($K189,AP$4),MIN($L189,EOMONTH(AP$4,0)),Assumptions!$F$4:$F$44))/NETWORKDAYS($K189,$L189,Assumptions!$F$4:$F$44))</f>
        <v>0</v>
      </c>
      <c r="AQ189" s="21" t="n">
        <f aca="false">IF($J189=0,0,MAX(0,NETWORKDAYS(MAX($K189,AQ$4),MIN($L189,EOMONTH(AQ$4,0)),Assumptions!$F$4:$F$44))/NETWORKDAYS($K189,$L189,Assumptions!$F$4:$F$44))</f>
        <v>0</v>
      </c>
      <c r="AR189" s="21" t="n">
        <f aca="false">IF($J189=0,0,MAX(0,NETWORKDAYS(MAX($K189,AR$4),MIN($L189,EOMONTH(AR$4,0)),Assumptions!$F$4:$F$44))/NETWORKDAYS($K189,$L189,Assumptions!$F$4:$F$44))</f>
        <v>0</v>
      </c>
      <c r="AS189" s="21" t="n">
        <f aca="false">IF($J189=0,0,MAX(0,NETWORKDAYS(MAX($K189,AS$4),MIN($L189,EOMONTH(AS$4,0)),Assumptions!$F$4:$F$44))/NETWORKDAYS($K189,$L189,Assumptions!$F$4:$F$44))</f>
        <v>0</v>
      </c>
      <c r="AT189" s="21" t="n">
        <f aca="false">IF($J189=0,0,MAX(0,NETWORKDAYS(MAX($K189,AT$4),MIN($L189,EOMONTH(AT$4,0)),Assumptions!$F$4:$F$44))/NETWORKDAYS($K189,$L189,Assumptions!$F$4:$F$44))</f>
        <v>0</v>
      </c>
      <c r="AU189" s="21" t="n">
        <f aca="false">IF($J189=0,0,MAX(0,NETWORKDAYS(MAX($K189,AU$4),MIN($L189,EOMONTH(AU$4,0)),Assumptions!$F$4:$F$44))/NETWORKDAYS($K189,$L189,Assumptions!$F$4:$F$44))</f>
        <v>0</v>
      </c>
      <c r="AV189" s="21" t="n">
        <f aca="false">IF($J189=0,0,MAX(0,NETWORKDAYS(MAX($K189,AV$4),MIN($L189,EOMONTH(AV$4,0)),Assumptions!$F$4:$F$44))/NETWORKDAYS($K189,$L189,Assumptions!$F$4:$F$44))</f>
        <v>0</v>
      </c>
      <c r="AW189" s="21" t="n">
        <f aca="false">IF($J189=0,0,MAX(0,NETWORKDAYS(MAX($K189,AW$4),MIN($L189,EOMONTH(AW$4,0)),Assumptions!$F$4:$F$44))/NETWORKDAYS($K189,$L189,Assumptions!$F$4:$F$44))</f>
        <v>0</v>
      </c>
      <c r="AX189" s="21" t="n">
        <f aca="false">IF($J189=0,0,MAX(0,NETWORKDAYS(MAX($K189,AX$4),MIN($L189,EOMONTH(AX$4,0)),Assumptions!$F$4:$F$44))/NETWORKDAYS($K189,$L189,Assumptions!$F$4:$F$44))</f>
        <v>0</v>
      </c>
      <c r="AY189" s="21" t="n">
        <f aca="false">IF($J189=0,0,MAX(0,NETWORKDAYS(MAX($K189,AY$4),MIN($L189,EOMONTH(AY$4,0)),Assumptions!$F$4:$F$44))/NETWORKDAYS($K189,$L189,Assumptions!$F$4:$F$44))</f>
        <v>0</v>
      </c>
      <c r="AZ189" s="21" t="n">
        <f aca="false">IF($J189=0,0,MAX(0,NETWORKDAYS(MAX($K189,AZ$4),MIN($L189,EOMONTH(AZ$4,0)),Assumptions!$F$4:$F$44))/NETWORKDAYS($K189,$L189,Assumptions!$F$4:$F$44))</f>
        <v>0</v>
      </c>
      <c r="BA189" s="21" t="n">
        <f aca="false">IF($J189=0,0,MAX(0,NETWORKDAYS(MAX($K189,BA$4),MIN($L189,EOMONTH(BA$4,0)),Assumptions!$F$4:$F$44))/NETWORKDAYS($K189,$L189,Assumptions!$F$4:$F$44))</f>
        <v>0</v>
      </c>
      <c r="BB189" s="21" t="n">
        <f aca="false">IF($J189=0,0,MAX(0,NETWORKDAYS(MAX($K189,BB$4),MIN($L189,EOMONTH(BB$4,0)),Assumptions!$F$4:$F$44))/NETWORKDAYS($K189,$L189,Assumptions!$F$4:$F$44))</f>
        <v>0</v>
      </c>
      <c r="BC189" s="21" t="n">
        <f aca="false">IF($J189=0,0,MAX(0,NETWORKDAYS(MAX($K189,BC$4),MIN($L189,EOMONTH(BC$4,0)),Assumptions!$F$4:$F$44))/NETWORKDAYS($K189,$L189,Assumptions!$F$4:$F$44))</f>
        <v>0</v>
      </c>
    </row>
    <row r="190" customFormat="false" ht="15" hidden="false" customHeight="false" outlineLevel="1" collapsed="false">
      <c r="A190" s="22" t="n">
        <v>186</v>
      </c>
      <c r="B190" s="22" t="s">
        <v>465</v>
      </c>
      <c r="C190" s="22" t="n">
        <v>2</v>
      </c>
      <c r="D190" s="22" t="s">
        <v>89</v>
      </c>
      <c r="E190" s="23" t="s">
        <v>466</v>
      </c>
      <c r="F190" s="22" t="s">
        <v>154</v>
      </c>
      <c r="G190" s="22" t="s">
        <v>467</v>
      </c>
      <c r="H190" s="22"/>
      <c r="I190" s="22"/>
      <c r="J190" s="22" t="n">
        <f aca="false">NETWORKDAYS(K190,L190,Assumptions!$F$4:$F$44)</f>
        <v>22</v>
      </c>
      <c r="K190" s="24" t="n">
        <f aca="false">MIN(K191:K196)</f>
        <v>46469</v>
      </c>
      <c r="L190" s="24" t="n">
        <f aca="false">MAX(L191:L196)</f>
        <v>46498</v>
      </c>
      <c r="M190" s="22"/>
      <c r="N190" s="25" t="n">
        <f aca="false">SUMPRODUCT(($C$191:$C$196=3)*(N191:N196))</f>
        <v>0</v>
      </c>
      <c r="O190" s="25" t="n">
        <f aca="false">SUMPRODUCT(($C$191:$C$196=3)*(O191:O196))</f>
        <v>11</v>
      </c>
      <c r="P190" s="25" t="n">
        <f aca="false">SUMPRODUCT(($C$191:$C$196=3)*(P191:P196))</f>
        <v>3</v>
      </c>
      <c r="Q190" s="25" t="n">
        <f aca="false">SUMPRODUCT(($C$191:$C$196=3)*(Q191:Q196))</f>
        <v>24</v>
      </c>
      <c r="R190" s="25" t="n">
        <f aca="false">SUMPRODUCT(($C$191:$C$196=3)*(R191:R196))</f>
        <v>0</v>
      </c>
      <c r="S190" s="25" t="n">
        <f aca="false">SUMPRODUCT(($C$191:$C$196=3)*(S191:S196))</f>
        <v>0</v>
      </c>
      <c r="T190" s="25" t="n">
        <f aca="false">SUMPRODUCT(($C$191:$C$196=3)*(T191:T196))</f>
        <v>0</v>
      </c>
      <c r="U190" s="25" t="n">
        <f aca="false">SUMPRODUCT(($C$191:$C$196=3)*(U191:U196))</f>
        <v>16</v>
      </c>
      <c r="V190" s="25" t="n">
        <f aca="false">SUMPRODUCT(($C$191:$C$196=3)*(V191:V196))</f>
        <v>35</v>
      </c>
      <c r="W190" s="25" t="n">
        <f aca="false">SUMPRODUCT(($C$191:$C$196=3)*(W191:W196))</f>
        <v>12</v>
      </c>
      <c r="X190" s="25" t="n">
        <f aca="false">SUMPRODUCT(($C$191:$C$196=3)*(X191:X196))</f>
        <v>15</v>
      </c>
      <c r="Y190" s="25" t="n">
        <f aca="false">SUM(N190:X190)</f>
        <v>116</v>
      </c>
      <c r="Z190" s="25" t="n">
        <f aca="false">Y190*(1+Assumptions!$C$5)</f>
        <v>133.4</v>
      </c>
      <c r="AA190" s="22"/>
      <c r="AB190" s="22"/>
      <c r="AC190" s="22"/>
      <c r="AD190" s="26"/>
      <c r="AF190" s="21" t="n">
        <v>0</v>
      </c>
      <c r="AG190" s="21" t="n">
        <v>0</v>
      </c>
      <c r="AH190" s="21" t="n">
        <v>0</v>
      </c>
      <c r="AI190" s="21" t="n">
        <v>0</v>
      </c>
      <c r="AJ190" s="21" t="n">
        <v>0</v>
      </c>
      <c r="AK190" s="21" t="n">
        <v>0</v>
      </c>
      <c r="AL190" s="21" t="n">
        <v>0</v>
      </c>
      <c r="AM190" s="21" t="n">
        <v>0</v>
      </c>
      <c r="AN190" s="21" t="n">
        <v>0</v>
      </c>
      <c r="AO190" s="21" t="n">
        <v>0</v>
      </c>
      <c r="AP190" s="21" t="n">
        <v>0</v>
      </c>
      <c r="AQ190" s="21" t="n">
        <v>0</v>
      </c>
      <c r="AR190" s="21" t="n">
        <v>0</v>
      </c>
      <c r="AS190" s="21" t="n">
        <v>0</v>
      </c>
      <c r="AT190" s="21" t="n">
        <v>0</v>
      </c>
      <c r="AU190" s="21" t="n">
        <v>0</v>
      </c>
      <c r="AV190" s="21" t="n">
        <v>0</v>
      </c>
      <c r="AW190" s="21" t="n">
        <v>0</v>
      </c>
      <c r="AX190" s="21" t="n">
        <v>0</v>
      </c>
      <c r="AY190" s="21" t="n">
        <v>0</v>
      </c>
      <c r="AZ190" s="21" t="n">
        <v>0</v>
      </c>
      <c r="BA190" s="21" t="n">
        <v>0</v>
      </c>
      <c r="BB190" s="21" t="n">
        <v>0</v>
      </c>
      <c r="BC190" s="21" t="n">
        <v>0</v>
      </c>
    </row>
    <row r="191" customFormat="false" ht="15" hidden="false" customHeight="false" outlineLevel="2" collapsed="false">
      <c r="A191" s="27" t="n">
        <v>187</v>
      </c>
      <c r="B191" s="27" t="s">
        <v>468</v>
      </c>
      <c r="C191" s="27" t="n">
        <v>3</v>
      </c>
      <c r="D191" s="27" t="s">
        <v>92</v>
      </c>
      <c r="E191" s="28" t="s">
        <v>469</v>
      </c>
      <c r="F191" s="27" t="s">
        <v>154</v>
      </c>
      <c r="G191" s="27" t="s">
        <v>467</v>
      </c>
      <c r="H191" s="27" t="s">
        <v>57</v>
      </c>
      <c r="I191" s="29" t="n">
        <v>101</v>
      </c>
      <c r="J191" s="29" t="n">
        <v>11</v>
      </c>
      <c r="K191" s="30" t="n">
        <f aca="false">WORKDAY(Assumptions!$C$4,I191,Assumptions!$F$4:$F$44)</f>
        <v>46469</v>
      </c>
      <c r="L191" s="30" t="n">
        <f aca="false">IF(J191=0,K191,WORKDAY(K191,J191-1,Assumptions!$F$4:$F$44))</f>
        <v>46483</v>
      </c>
      <c r="M191" s="29" t="s">
        <v>470</v>
      </c>
      <c r="N191" s="31" t="n">
        <v>0</v>
      </c>
      <c r="O191" s="31" t="n">
        <v>4</v>
      </c>
      <c r="P191" s="31" t="n">
        <v>0</v>
      </c>
      <c r="Q191" s="31" t="n">
        <v>6</v>
      </c>
      <c r="R191" s="31" t="n">
        <v>0</v>
      </c>
      <c r="S191" s="31" t="n">
        <v>0</v>
      </c>
      <c r="T191" s="31" t="n">
        <v>0</v>
      </c>
      <c r="U191" s="31" t="n">
        <v>0</v>
      </c>
      <c r="V191" s="31" t="n">
        <v>20</v>
      </c>
      <c r="W191" s="31" t="n">
        <v>0</v>
      </c>
      <c r="X191" s="31" t="n">
        <v>0</v>
      </c>
      <c r="Y191" s="32" t="n">
        <f aca="false">SUM(N191:X191)</f>
        <v>30</v>
      </c>
      <c r="Z191" s="32" t="n">
        <f aca="false">Y191*(1+Assumptions!$C$5)</f>
        <v>34.5</v>
      </c>
      <c r="AA191" s="27" t="s">
        <v>471</v>
      </c>
      <c r="AB191" s="27" t="s">
        <v>95</v>
      </c>
      <c r="AC191" s="27"/>
      <c r="AD191" s="33" t="n">
        <v>0</v>
      </c>
      <c r="AF191" s="21" t="n">
        <f aca="false">IF($J191=0,0,MAX(0,NETWORKDAYS(MAX($K191,AF$4),MIN($L191,EOMONTH(AF$4,0)),Assumptions!$F$4:$F$44))/NETWORKDAYS($K191,$L191,Assumptions!$F$4:$F$44))</f>
        <v>0</v>
      </c>
      <c r="AG191" s="21" t="n">
        <f aca="false">IF($J191=0,0,MAX(0,NETWORKDAYS(MAX($K191,AG$4),MIN($L191,EOMONTH(AG$4,0)),Assumptions!$F$4:$F$44))/NETWORKDAYS($K191,$L191,Assumptions!$F$4:$F$44))</f>
        <v>0</v>
      </c>
      <c r="AH191" s="21" t="n">
        <f aca="false">IF($J191=0,0,MAX(0,NETWORKDAYS(MAX($K191,AH$4),MIN($L191,EOMONTH(AH$4,0)),Assumptions!$F$4:$F$44))/NETWORKDAYS($K191,$L191,Assumptions!$F$4:$F$44))</f>
        <v>0</v>
      </c>
      <c r="AI191" s="21" t="n">
        <f aca="false">IF($J191=0,0,MAX(0,NETWORKDAYS(MAX($K191,AI$4),MIN($L191,EOMONTH(AI$4,0)),Assumptions!$F$4:$F$44))/NETWORKDAYS($K191,$L191,Assumptions!$F$4:$F$44))</f>
        <v>0</v>
      </c>
      <c r="AJ191" s="21" t="n">
        <f aca="false">IF($J191=0,0,MAX(0,NETWORKDAYS(MAX($K191,AJ$4),MIN($L191,EOMONTH(AJ$4,0)),Assumptions!$F$4:$F$44))/NETWORKDAYS($K191,$L191,Assumptions!$F$4:$F$44))</f>
        <v>0.636363636363636</v>
      </c>
      <c r="AK191" s="21" t="n">
        <f aca="false">IF($J191=0,0,MAX(0,NETWORKDAYS(MAX($K191,AK$4),MIN($L191,EOMONTH(AK$4,0)),Assumptions!$F$4:$F$44))/NETWORKDAYS($K191,$L191,Assumptions!$F$4:$F$44))</f>
        <v>0.363636363636364</v>
      </c>
      <c r="AL191" s="21" t="n">
        <f aca="false">IF($J191=0,0,MAX(0,NETWORKDAYS(MAX($K191,AL$4),MIN($L191,EOMONTH(AL$4,0)),Assumptions!$F$4:$F$44))/NETWORKDAYS($K191,$L191,Assumptions!$F$4:$F$44))</f>
        <v>0</v>
      </c>
      <c r="AM191" s="21" t="n">
        <f aca="false">IF($J191=0,0,MAX(0,NETWORKDAYS(MAX($K191,AM$4),MIN($L191,EOMONTH(AM$4,0)),Assumptions!$F$4:$F$44))/NETWORKDAYS($K191,$L191,Assumptions!$F$4:$F$44))</f>
        <v>0</v>
      </c>
      <c r="AN191" s="21" t="n">
        <f aca="false">IF($J191=0,0,MAX(0,NETWORKDAYS(MAX($K191,AN$4),MIN($L191,EOMONTH(AN$4,0)),Assumptions!$F$4:$F$44))/NETWORKDAYS($K191,$L191,Assumptions!$F$4:$F$44))</f>
        <v>0</v>
      </c>
      <c r="AO191" s="21" t="n">
        <f aca="false">IF($J191=0,0,MAX(0,NETWORKDAYS(MAX($K191,AO$4),MIN($L191,EOMONTH(AO$4,0)),Assumptions!$F$4:$F$44))/NETWORKDAYS($K191,$L191,Assumptions!$F$4:$F$44))</f>
        <v>0</v>
      </c>
      <c r="AP191" s="21" t="n">
        <f aca="false">IF($J191=0,0,MAX(0,NETWORKDAYS(MAX($K191,AP$4),MIN($L191,EOMONTH(AP$4,0)),Assumptions!$F$4:$F$44))/NETWORKDAYS($K191,$L191,Assumptions!$F$4:$F$44))</f>
        <v>0</v>
      </c>
      <c r="AQ191" s="21" t="n">
        <f aca="false">IF($J191=0,0,MAX(0,NETWORKDAYS(MAX($K191,AQ$4),MIN($L191,EOMONTH(AQ$4,0)),Assumptions!$F$4:$F$44))/NETWORKDAYS($K191,$L191,Assumptions!$F$4:$F$44))</f>
        <v>0</v>
      </c>
      <c r="AR191" s="21" t="n">
        <f aca="false">IF($J191=0,0,MAX(0,NETWORKDAYS(MAX($K191,AR$4),MIN($L191,EOMONTH(AR$4,0)),Assumptions!$F$4:$F$44))/NETWORKDAYS($K191,$L191,Assumptions!$F$4:$F$44))</f>
        <v>0</v>
      </c>
      <c r="AS191" s="21" t="n">
        <f aca="false">IF($J191=0,0,MAX(0,NETWORKDAYS(MAX($K191,AS$4),MIN($L191,EOMONTH(AS$4,0)),Assumptions!$F$4:$F$44))/NETWORKDAYS($K191,$L191,Assumptions!$F$4:$F$44))</f>
        <v>0</v>
      </c>
      <c r="AT191" s="21" t="n">
        <f aca="false">IF($J191=0,0,MAX(0,NETWORKDAYS(MAX($K191,AT$4),MIN($L191,EOMONTH(AT$4,0)),Assumptions!$F$4:$F$44))/NETWORKDAYS($K191,$L191,Assumptions!$F$4:$F$44))</f>
        <v>0</v>
      </c>
      <c r="AU191" s="21" t="n">
        <f aca="false">IF($J191=0,0,MAX(0,NETWORKDAYS(MAX($K191,AU$4),MIN($L191,EOMONTH(AU$4,0)),Assumptions!$F$4:$F$44))/NETWORKDAYS($K191,$L191,Assumptions!$F$4:$F$44))</f>
        <v>0</v>
      </c>
      <c r="AV191" s="21" t="n">
        <f aca="false">IF($J191=0,0,MAX(0,NETWORKDAYS(MAX($K191,AV$4),MIN($L191,EOMONTH(AV$4,0)),Assumptions!$F$4:$F$44))/NETWORKDAYS($K191,$L191,Assumptions!$F$4:$F$44))</f>
        <v>0</v>
      </c>
      <c r="AW191" s="21" t="n">
        <f aca="false">IF($J191=0,0,MAX(0,NETWORKDAYS(MAX($K191,AW$4),MIN($L191,EOMONTH(AW$4,0)),Assumptions!$F$4:$F$44))/NETWORKDAYS($K191,$L191,Assumptions!$F$4:$F$44))</f>
        <v>0</v>
      </c>
      <c r="AX191" s="21" t="n">
        <f aca="false">IF($J191=0,0,MAX(0,NETWORKDAYS(MAX($K191,AX$4),MIN($L191,EOMONTH(AX$4,0)),Assumptions!$F$4:$F$44))/NETWORKDAYS($K191,$L191,Assumptions!$F$4:$F$44))</f>
        <v>0</v>
      </c>
      <c r="AY191" s="21" t="n">
        <f aca="false">IF($J191=0,0,MAX(0,NETWORKDAYS(MAX($K191,AY$4),MIN($L191,EOMONTH(AY$4,0)),Assumptions!$F$4:$F$44))/NETWORKDAYS($K191,$L191,Assumptions!$F$4:$F$44))</f>
        <v>0</v>
      </c>
      <c r="AZ191" s="21" t="n">
        <f aca="false">IF($J191=0,0,MAX(0,NETWORKDAYS(MAX($K191,AZ$4),MIN($L191,EOMONTH(AZ$4,0)),Assumptions!$F$4:$F$44))/NETWORKDAYS($K191,$L191,Assumptions!$F$4:$F$44))</f>
        <v>0</v>
      </c>
      <c r="BA191" s="21" t="n">
        <f aca="false">IF($J191=0,0,MAX(0,NETWORKDAYS(MAX($K191,BA$4),MIN($L191,EOMONTH(BA$4,0)),Assumptions!$F$4:$F$44))/NETWORKDAYS($K191,$L191,Assumptions!$F$4:$F$44))</f>
        <v>0</v>
      </c>
      <c r="BB191" s="21" t="n">
        <f aca="false">IF($J191=0,0,MAX(0,NETWORKDAYS(MAX($K191,BB$4),MIN($L191,EOMONTH(BB$4,0)),Assumptions!$F$4:$F$44))/NETWORKDAYS($K191,$L191,Assumptions!$F$4:$F$44))</f>
        <v>0</v>
      </c>
      <c r="BC191" s="21" t="n">
        <f aca="false">IF($J191=0,0,MAX(0,NETWORKDAYS(MAX($K191,BC$4),MIN($L191,EOMONTH(BC$4,0)),Assumptions!$F$4:$F$44))/NETWORKDAYS($K191,$L191,Assumptions!$F$4:$F$44))</f>
        <v>0</v>
      </c>
    </row>
    <row r="192" customFormat="false" ht="15" hidden="false" customHeight="false" outlineLevel="2" collapsed="false">
      <c r="A192" s="27" t="n">
        <v>188</v>
      </c>
      <c r="B192" s="27" t="s">
        <v>472</v>
      </c>
      <c r="C192" s="27" t="n">
        <v>3</v>
      </c>
      <c r="D192" s="27" t="s">
        <v>92</v>
      </c>
      <c r="E192" s="28" t="s">
        <v>473</v>
      </c>
      <c r="F192" s="27" t="s">
        <v>154</v>
      </c>
      <c r="G192" s="27" t="s">
        <v>467</v>
      </c>
      <c r="H192" s="27" t="s">
        <v>57</v>
      </c>
      <c r="I192" s="29" t="n">
        <v>104</v>
      </c>
      <c r="J192" s="29" t="n">
        <v>8</v>
      </c>
      <c r="K192" s="30" t="n">
        <f aca="false">WORKDAY(Assumptions!$C$4,I192,Assumptions!$F$4:$F$44)</f>
        <v>46472</v>
      </c>
      <c r="L192" s="30" t="n">
        <f aca="false">IF(J192=0,K192,WORKDAY(K192,J192-1,Assumptions!$F$4:$F$44))</f>
        <v>46483</v>
      </c>
      <c r="M192" s="29"/>
      <c r="N192" s="31" t="n">
        <v>0</v>
      </c>
      <c r="O192" s="31" t="n">
        <v>0</v>
      </c>
      <c r="P192" s="31" t="n">
        <v>0</v>
      </c>
      <c r="Q192" s="31" t="n">
        <v>4</v>
      </c>
      <c r="R192" s="31" t="n">
        <v>0</v>
      </c>
      <c r="S192" s="31" t="n">
        <v>0</v>
      </c>
      <c r="T192" s="31" t="n">
        <v>0</v>
      </c>
      <c r="U192" s="31" t="n">
        <v>4</v>
      </c>
      <c r="V192" s="31" t="n">
        <v>8</v>
      </c>
      <c r="W192" s="31" t="n">
        <v>0</v>
      </c>
      <c r="X192" s="31" t="n">
        <v>0</v>
      </c>
      <c r="Y192" s="32" t="n">
        <f aca="false">SUM(N192:X192)</f>
        <v>16</v>
      </c>
      <c r="Z192" s="32" t="n">
        <f aca="false">Y192*(1+Assumptions!$C$5)</f>
        <v>18.4</v>
      </c>
      <c r="AA192" s="27" t="s">
        <v>474</v>
      </c>
      <c r="AB192" s="27" t="s">
        <v>95</v>
      </c>
      <c r="AC192" s="27"/>
      <c r="AD192" s="33" t="n">
        <v>0</v>
      </c>
      <c r="AF192" s="21" t="n">
        <f aca="false">IF($J192=0,0,MAX(0,NETWORKDAYS(MAX($K192,AF$4),MIN($L192,EOMONTH(AF$4,0)),Assumptions!$F$4:$F$44))/NETWORKDAYS($K192,$L192,Assumptions!$F$4:$F$44))</f>
        <v>0</v>
      </c>
      <c r="AG192" s="21" t="n">
        <f aca="false">IF($J192=0,0,MAX(0,NETWORKDAYS(MAX($K192,AG$4),MIN($L192,EOMONTH(AG$4,0)),Assumptions!$F$4:$F$44))/NETWORKDAYS($K192,$L192,Assumptions!$F$4:$F$44))</f>
        <v>0</v>
      </c>
      <c r="AH192" s="21" t="n">
        <f aca="false">IF($J192=0,0,MAX(0,NETWORKDAYS(MAX($K192,AH$4),MIN($L192,EOMONTH(AH$4,0)),Assumptions!$F$4:$F$44))/NETWORKDAYS($K192,$L192,Assumptions!$F$4:$F$44))</f>
        <v>0</v>
      </c>
      <c r="AI192" s="21" t="n">
        <f aca="false">IF($J192=0,0,MAX(0,NETWORKDAYS(MAX($K192,AI$4),MIN($L192,EOMONTH(AI$4,0)),Assumptions!$F$4:$F$44))/NETWORKDAYS($K192,$L192,Assumptions!$F$4:$F$44))</f>
        <v>0</v>
      </c>
      <c r="AJ192" s="21" t="n">
        <f aca="false">IF($J192=0,0,MAX(0,NETWORKDAYS(MAX($K192,AJ$4),MIN($L192,EOMONTH(AJ$4,0)),Assumptions!$F$4:$F$44))/NETWORKDAYS($K192,$L192,Assumptions!$F$4:$F$44))</f>
        <v>0.5</v>
      </c>
      <c r="AK192" s="21" t="n">
        <f aca="false">IF($J192=0,0,MAX(0,NETWORKDAYS(MAX($K192,AK$4),MIN($L192,EOMONTH(AK$4,0)),Assumptions!$F$4:$F$44))/NETWORKDAYS($K192,$L192,Assumptions!$F$4:$F$44))</f>
        <v>0.5</v>
      </c>
      <c r="AL192" s="21" t="n">
        <f aca="false">IF($J192=0,0,MAX(0,NETWORKDAYS(MAX($K192,AL$4),MIN($L192,EOMONTH(AL$4,0)),Assumptions!$F$4:$F$44))/NETWORKDAYS($K192,$L192,Assumptions!$F$4:$F$44))</f>
        <v>0</v>
      </c>
      <c r="AM192" s="21" t="n">
        <f aca="false">IF($J192=0,0,MAX(0,NETWORKDAYS(MAX($K192,AM$4),MIN($L192,EOMONTH(AM$4,0)),Assumptions!$F$4:$F$44))/NETWORKDAYS($K192,$L192,Assumptions!$F$4:$F$44))</f>
        <v>0</v>
      </c>
      <c r="AN192" s="21" t="n">
        <f aca="false">IF($J192=0,0,MAX(0,NETWORKDAYS(MAX($K192,AN$4),MIN($L192,EOMONTH(AN$4,0)),Assumptions!$F$4:$F$44))/NETWORKDAYS($K192,$L192,Assumptions!$F$4:$F$44))</f>
        <v>0</v>
      </c>
      <c r="AO192" s="21" t="n">
        <f aca="false">IF($J192=0,0,MAX(0,NETWORKDAYS(MAX($K192,AO$4),MIN($L192,EOMONTH(AO$4,0)),Assumptions!$F$4:$F$44))/NETWORKDAYS($K192,$L192,Assumptions!$F$4:$F$44))</f>
        <v>0</v>
      </c>
      <c r="AP192" s="21" t="n">
        <f aca="false">IF($J192=0,0,MAX(0,NETWORKDAYS(MAX($K192,AP$4),MIN($L192,EOMONTH(AP$4,0)),Assumptions!$F$4:$F$44))/NETWORKDAYS($K192,$L192,Assumptions!$F$4:$F$44))</f>
        <v>0</v>
      </c>
      <c r="AQ192" s="21" t="n">
        <f aca="false">IF($J192=0,0,MAX(0,NETWORKDAYS(MAX($K192,AQ$4),MIN($L192,EOMONTH(AQ$4,0)),Assumptions!$F$4:$F$44))/NETWORKDAYS($K192,$L192,Assumptions!$F$4:$F$44))</f>
        <v>0</v>
      </c>
      <c r="AR192" s="21" t="n">
        <f aca="false">IF($J192=0,0,MAX(0,NETWORKDAYS(MAX($K192,AR$4),MIN($L192,EOMONTH(AR$4,0)),Assumptions!$F$4:$F$44))/NETWORKDAYS($K192,$L192,Assumptions!$F$4:$F$44))</f>
        <v>0</v>
      </c>
      <c r="AS192" s="21" t="n">
        <f aca="false">IF($J192=0,0,MAX(0,NETWORKDAYS(MAX($K192,AS$4),MIN($L192,EOMONTH(AS$4,0)),Assumptions!$F$4:$F$44))/NETWORKDAYS($K192,$L192,Assumptions!$F$4:$F$44))</f>
        <v>0</v>
      </c>
      <c r="AT192" s="21" t="n">
        <f aca="false">IF($J192=0,0,MAX(0,NETWORKDAYS(MAX($K192,AT$4),MIN($L192,EOMONTH(AT$4,0)),Assumptions!$F$4:$F$44))/NETWORKDAYS($K192,$L192,Assumptions!$F$4:$F$44))</f>
        <v>0</v>
      </c>
      <c r="AU192" s="21" t="n">
        <f aca="false">IF($J192=0,0,MAX(0,NETWORKDAYS(MAX($K192,AU$4),MIN($L192,EOMONTH(AU$4,0)),Assumptions!$F$4:$F$44))/NETWORKDAYS($K192,$L192,Assumptions!$F$4:$F$44))</f>
        <v>0</v>
      </c>
      <c r="AV192" s="21" t="n">
        <f aca="false">IF($J192=0,0,MAX(0,NETWORKDAYS(MAX($K192,AV$4),MIN($L192,EOMONTH(AV$4,0)),Assumptions!$F$4:$F$44))/NETWORKDAYS($K192,$L192,Assumptions!$F$4:$F$44))</f>
        <v>0</v>
      </c>
      <c r="AW192" s="21" t="n">
        <f aca="false">IF($J192=0,0,MAX(0,NETWORKDAYS(MAX($K192,AW$4),MIN($L192,EOMONTH(AW$4,0)),Assumptions!$F$4:$F$44))/NETWORKDAYS($K192,$L192,Assumptions!$F$4:$F$44))</f>
        <v>0</v>
      </c>
      <c r="AX192" s="21" t="n">
        <f aca="false">IF($J192=0,0,MAX(0,NETWORKDAYS(MAX($K192,AX$4),MIN($L192,EOMONTH(AX$4,0)),Assumptions!$F$4:$F$44))/NETWORKDAYS($K192,$L192,Assumptions!$F$4:$F$44))</f>
        <v>0</v>
      </c>
      <c r="AY192" s="21" t="n">
        <f aca="false">IF($J192=0,0,MAX(0,NETWORKDAYS(MAX($K192,AY$4),MIN($L192,EOMONTH(AY$4,0)),Assumptions!$F$4:$F$44))/NETWORKDAYS($K192,$L192,Assumptions!$F$4:$F$44))</f>
        <v>0</v>
      </c>
      <c r="AZ192" s="21" t="n">
        <f aca="false">IF($J192=0,0,MAX(0,NETWORKDAYS(MAX($K192,AZ$4),MIN($L192,EOMONTH(AZ$4,0)),Assumptions!$F$4:$F$44))/NETWORKDAYS($K192,$L192,Assumptions!$F$4:$F$44))</f>
        <v>0</v>
      </c>
      <c r="BA192" s="21" t="n">
        <f aca="false">IF($J192=0,0,MAX(0,NETWORKDAYS(MAX($K192,BA$4),MIN($L192,EOMONTH(BA$4,0)),Assumptions!$F$4:$F$44))/NETWORKDAYS($K192,$L192,Assumptions!$F$4:$F$44))</f>
        <v>0</v>
      </c>
      <c r="BB192" s="21" t="n">
        <f aca="false">IF($J192=0,0,MAX(0,NETWORKDAYS(MAX($K192,BB$4),MIN($L192,EOMONTH(BB$4,0)),Assumptions!$F$4:$F$44))/NETWORKDAYS($K192,$L192,Assumptions!$F$4:$F$44))</f>
        <v>0</v>
      </c>
      <c r="BC192" s="21" t="n">
        <f aca="false">IF($J192=0,0,MAX(0,NETWORKDAYS(MAX($K192,BC$4),MIN($L192,EOMONTH(BC$4,0)),Assumptions!$F$4:$F$44))/NETWORKDAYS($K192,$L192,Assumptions!$F$4:$F$44))</f>
        <v>0</v>
      </c>
    </row>
    <row r="193" customFormat="false" ht="15" hidden="false" customHeight="false" outlineLevel="2" collapsed="false">
      <c r="A193" s="27" t="n">
        <v>189</v>
      </c>
      <c r="B193" s="27" t="s">
        <v>475</v>
      </c>
      <c r="C193" s="27" t="n">
        <v>3</v>
      </c>
      <c r="D193" s="27" t="s">
        <v>92</v>
      </c>
      <c r="E193" s="28" t="s">
        <v>476</v>
      </c>
      <c r="F193" s="27" t="s">
        <v>154</v>
      </c>
      <c r="G193" s="27" t="s">
        <v>467</v>
      </c>
      <c r="H193" s="27" t="s">
        <v>57</v>
      </c>
      <c r="I193" s="29" t="n">
        <v>107</v>
      </c>
      <c r="J193" s="29" t="n">
        <v>11</v>
      </c>
      <c r="K193" s="30" t="n">
        <f aca="false">WORKDAY(Assumptions!$C$4,I193,Assumptions!$F$4:$F$44)</f>
        <v>46477</v>
      </c>
      <c r="L193" s="30" t="n">
        <f aca="false">IF(J193=0,K193,WORKDAY(K193,J193-1,Assumptions!$F$4:$F$44))</f>
        <v>46491</v>
      </c>
      <c r="M193" s="29"/>
      <c r="N193" s="31" t="n">
        <v>0</v>
      </c>
      <c r="O193" s="31" t="n">
        <v>0</v>
      </c>
      <c r="P193" s="31" t="n">
        <v>3</v>
      </c>
      <c r="Q193" s="31" t="n">
        <v>10</v>
      </c>
      <c r="R193" s="31" t="n">
        <v>0</v>
      </c>
      <c r="S193" s="31" t="n">
        <v>0</v>
      </c>
      <c r="T193" s="31" t="n">
        <v>0</v>
      </c>
      <c r="U193" s="31" t="n">
        <v>4</v>
      </c>
      <c r="V193" s="31" t="n">
        <v>4</v>
      </c>
      <c r="W193" s="31" t="n">
        <v>0</v>
      </c>
      <c r="X193" s="31" t="n">
        <v>0</v>
      </c>
      <c r="Y193" s="32" t="n">
        <f aca="false">SUM(N193:X193)</f>
        <v>21</v>
      </c>
      <c r="Z193" s="32" t="n">
        <f aca="false">Y193*(1+Assumptions!$C$5)</f>
        <v>24.15</v>
      </c>
      <c r="AA193" s="27" t="s">
        <v>477</v>
      </c>
      <c r="AB193" s="27" t="s">
        <v>95</v>
      </c>
      <c r="AC193" s="27"/>
      <c r="AD193" s="33" t="n">
        <v>0</v>
      </c>
      <c r="AF193" s="21" t="n">
        <f aca="false">IF($J193=0,0,MAX(0,NETWORKDAYS(MAX($K193,AF$4),MIN($L193,EOMONTH(AF$4,0)),Assumptions!$F$4:$F$44))/NETWORKDAYS($K193,$L193,Assumptions!$F$4:$F$44))</f>
        <v>0</v>
      </c>
      <c r="AG193" s="21" t="n">
        <f aca="false">IF($J193=0,0,MAX(0,NETWORKDAYS(MAX($K193,AG$4),MIN($L193,EOMONTH(AG$4,0)),Assumptions!$F$4:$F$44))/NETWORKDAYS($K193,$L193,Assumptions!$F$4:$F$44))</f>
        <v>0</v>
      </c>
      <c r="AH193" s="21" t="n">
        <f aca="false">IF($J193=0,0,MAX(0,NETWORKDAYS(MAX($K193,AH$4),MIN($L193,EOMONTH(AH$4,0)),Assumptions!$F$4:$F$44))/NETWORKDAYS($K193,$L193,Assumptions!$F$4:$F$44))</f>
        <v>0</v>
      </c>
      <c r="AI193" s="21" t="n">
        <f aca="false">IF($J193=0,0,MAX(0,NETWORKDAYS(MAX($K193,AI$4),MIN($L193,EOMONTH(AI$4,0)),Assumptions!$F$4:$F$44))/NETWORKDAYS($K193,$L193,Assumptions!$F$4:$F$44))</f>
        <v>0</v>
      </c>
      <c r="AJ193" s="21" t="n">
        <f aca="false">IF($J193=0,0,MAX(0,NETWORKDAYS(MAX($K193,AJ$4),MIN($L193,EOMONTH(AJ$4,0)),Assumptions!$F$4:$F$44))/NETWORKDAYS($K193,$L193,Assumptions!$F$4:$F$44))</f>
        <v>0.0909090909090909</v>
      </c>
      <c r="AK193" s="21" t="n">
        <f aca="false">IF($J193=0,0,MAX(0,NETWORKDAYS(MAX($K193,AK$4),MIN($L193,EOMONTH(AK$4,0)),Assumptions!$F$4:$F$44))/NETWORKDAYS($K193,$L193,Assumptions!$F$4:$F$44))</f>
        <v>0.909090909090909</v>
      </c>
      <c r="AL193" s="21" t="n">
        <f aca="false">IF($J193=0,0,MAX(0,NETWORKDAYS(MAX($K193,AL$4),MIN($L193,EOMONTH(AL$4,0)),Assumptions!$F$4:$F$44))/NETWORKDAYS($K193,$L193,Assumptions!$F$4:$F$44))</f>
        <v>0</v>
      </c>
      <c r="AM193" s="21" t="n">
        <f aca="false">IF($J193=0,0,MAX(0,NETWORKDAYS(MAX($K193,AM$4),MIN($L193,EOMONTH(AM$4,0)),Assumptions!$F$4:$F$44))/NETWORKDAYS($K193,$L193,Assumptions!$F$4:$F$44))</f>
        <v>0</v>
      </c>
      <c r="AN193" s="21" t="n">
        <f aca="false">IF($J193=0,0,MAX(0,NETWORKDAYS(MAX($K193,AN$4),MIN($L193,EOMONTH(AN$4,0)),Assumptions!$F$4:$F$44))/NETWORKDAYS($K193,$L193,Assumptions!$F$4:$F$44))</f>
        <v>0</v>
      </c>
      <c r="AO193" s="21" t="n">
        <f aca="false">IF($J193=0,0,MAX(0,NETWORKDAYS(MAX($K193,AO$4),MIN($L193,EOMONTH(AO$4,0)),Assumptions!$F$4:$F$44))/NETWORKDAYS($K193,$L193,Assumptions!$F$4:$F$44))</f>
        <v>0</v>
      </c>
      <c r="AP193" s="21" t="n">
        <f aca="false">IF($J193=0,0,MAX(0,NETWORKDAYS(MAX($K193,AP$4),MIN($L193,EOMONTH(AP$4,0)),Assumptions!$F$4:$F$44))/NETWORKDAYS($K193,$L193,Assumptions!$F$4:$F$44))</f>
        <v>0</v>
      </c>
      <c r="AQ193" s="21" t="n">
        <f aca="false">IF($J193=0,0,MAX(0,NETWORKDAYS(MAX($K193,AQ$4),MIN($L193,EOMONTH(AQ$4,0)),Assumptions!$F$4:$F$44))/NETWORKDAYS($K193,$L193,Assumptions!$F$4:$F$44))</f>
        <v>0</v>
      </c>
      <c r="AR193" s="21" t="n">
        <f aca="false">IF($J193=0,0,MAX(0,NETWORKDAYS(MAX($K193,AR$4),MIN($L193,EOMONTH(AR$4,0)),Assumptions!$F$4:$F$44))/NETWORKDAYS($K193,$L193,Assumptions!$F$4:$F$44))</f>
        <v>0</v>
      </c>
      <c r="AS193" s="21" t="n">
        <f aca="false">IF($J193=0,0,MAX(0,NETWORKDAYS(MAX($K193,AS$4),MIN($L193,EOMONTH(AS$4,0)),Assumptions!$F$4:$F$44))/NETWORKDAYS($K193,$L193,Assumptions!$F$4:$F$44))</f>
        <v>0</v>
      </c>
      <c r="AT193" s="21" t="n">
        <f aca="false">IF($J193=0,0,MAX(0,NETWORKDAYS(MAX($K193,AT$4),MIN($L193,EOMONTH(AT$4,0)),Assumptions!$F$4:$F$44))/NETWORKDAYS($K193,$L193,Assumptions!$F$4:$F$44))</f>
        <v>0</v>
      </c>
      <c r="AU193" s="21" t="n">
        <f aca="false">IF($J193=0,0,MAX(0,NETWORKDAYS(MAX($K193,AU$4),MIN($L193,EOMONTH(AU$4,0)),Assumptions!$F$4:$F$44))/NETWORKDAYS($K193,$L193,Assumptions!$F$4:$F$44))</f>
        <v>0</v>
      </c>
      <c r="AV193" s="21" t="n">
        <f aca="false">IF($J193=0,0,MAX(0,NETWORKDAYS(MAX($K193,AV$4),MIN($L193,EOMONTH(AV$4,0)),Assumptions!$F$4:$F$44))/NETWORKDAYS($K193,$L193,Assumptions!$F$4:$F$44))</f>
        <v>0</v>
      </c>
      <c r="AW193" s="21" t="n">
        <f aca="false">IF($J193=0,0,MAX(0,NETWORKDAYS(MAX($K193,AW$4),MIN($L193,EOMONTH(AW$4,0)),Assumptions!$F$4:$F$44))/NETWORKDAYS($K193,$L193,Assumptions!$F$4:$F$44))</f>
        <v>0</v>
      </c>
      <c r="AX193" s="21" t="n">
        <f aca="false">IF($J193=0,0,MAX(0,NETWORKDAYS(MAX($K193,AX$4),MIN($L193,EOMONTH(AX$4,0)),Assumptions!$F$4:$F$44))/NETWORKDAYS($K193,$L193,Assumptions!$F$4:$F$44))</f>
        <v>0</v>
      </c>
      <c r="AY193" s="21" t="n">
        <f aca="false">IF($J193=0,0,MAX(0,NETWORKDAYS(MAX($K193,AY$4),MIN($L193,EOMONTH(AY$4,0)),Assumptions!$F$4:$F$44))/NETWORKDAYS($K193,$L193,Assumptions!$F$4:$F$44))</f>
        <v>0</v>
      </c>
      <c r="AZ193" s="21" t="n">
        <f aca="false">IF($J193=0,0,MAX(0,NETWORKDAYS(MAX($K193,AZ$4),MIN($L193,EOMONTH(AZ$4,0)),Assumptions!$F$4:$F$44))/NETWORKDAYS($K193,$L193,Assumptions!$F$4:$F$44))</f>
        <v>0</v>
      </c>
      <c r="BA193" s="21" t="n">
        <f aca="false">IF($J193=0,0,MAX(0,NETWORKDAYS(MAX($K193,BA$4),MIN($L193,EOMONTH(BA$4,0)),Assumptions!$F$4:$F$44))/NETWORKDAYS($K193,$L193,Assumptions!$F$4:$F$44))</f>
        <v>0</v>
      </c>
      <c r="BB193" s="21" t="n">
        <f aca="false">IF($J193=0,0,MAX(0,NETWORKDAYS(MAX($K193,BB$4),MIN($L193,EOMONTH(BB$4,0)),Assumptions!$F$4:$F$44))/NETWORKDAYS($K193,$L193,Assumptions!$F$4:$F$44))</f>
        <v>0</v>
      </c>
      <c r="BC193" s="21" t="n">
        <f aca="false">IF($J193=0,0,MAX(0,NETWORKDAYS(MAX($K193,BC$4),MIN($L193,EOMONTH(BC$4,0)),Assumptions!$F$4:$F$44))/NETWORKDAYS($K193,$L193,Assumptions!$F$4:$F$44))</f>
        <v>0</v>
      </c>
    </row>
    <row r="194" customFormat="false" ht="15" hidden="false" customHeight="false" outlineLevel="2" collapsed="false">
      <c r="A194" s="27" t="n">
        <v>190</v>
      </c>
      <c r="B194" s="27" t="s">
        <v>478</v>
      </c>
      <c r="C194" s="27" t="n">
        <v>3</v>
      </c>
      <c r="D194" s="27" t="s">
        <v>92</v>
      </c>
      <c r="E194" s="28" t="s">
        <v>479</v>
      </c>
      <c r="F194" s="27" t="s">
        <v>154</v>
      </c>
      <c r="G194" s="27" t="s">
        <v>467</v>
      </c>
      <c r="H194" s="27" t="s">
        <v>61</v>
      </c>
      <c r="I194" s="29" t="n">
        <v>112</v>
      </c>
      <c r="J194" s="29" t="n">
        <v>11</v>
      </c>
      <c r="K194" s="30" t="n">
        <f aca="false">WORKDAY(Assumptions!$C$4,I194,Assumptions!$F$4:$F$44)</f>
        <v>46484</v>
      </c>
      <c r="L194" s="30" t="n">
        <f aca="false">IF(J194=0,K194,WORKDAY(K194,J194-1,Assumptions!$F$4:$F$44))</f>
        <v>46498</v>
      </c>
      <c r="M194" s="29"/>
      <c r="N194" s="31" t="n">
        <v>0</v>
      </c>
      <c r="O194" s="31" t="n">
        <v>5</v>
      </c>
      <c r="P194" s="31" t="n">
        <v>0</v>
      </c>
      <c r="Q194" s="31" t="n">
        <v>0</v>
      </c>
      <c r="R194" s="31" t="n">
        <v>0</v>
      </c>
      <c r="S194" s="31" t="n">
        <v>0</v>
      </c>
      <c r="T194" s="31" t="n">
        <v>0</v>
      </c>
      <c r="U194" s="31" t="n">
        <v>0</v>
      </c>
      <c r="V194" s="31" t="n">
        <v>0</v>
      </c>
      <c r="W194" s="31" t="n">
        <v>0</v>
      </c>
      <c r="X194" s="31" t="n">
        <v>15</v>
      </c>
      <c r="Y194" s="32" t="n">
        <f aca="false">SUM(N194:X194)</f>
        <v>20</v>
      </c>
      <c r="Z194" s="32" t="n">
        <f aca="false">Y194*(1+Assumptions!$C$5)</f>
        <v>23</v>
      </c>
      <c r="AA194" s="27" t="s">
        <v>480</v>
      </c>
      <c r="AB194" s="27" t="s">
        <v>95</v>
      </c>
      <c r="AC194" s="27"/>
      <c r="AD194" s="33" t="n">
        <v>0</v>
      </c>
      <c r="AF194" s="21" t="n">
        <f aca="false">IF($J194=0,0,MAX(0,NETWORKDAYS(MAX($K194,AF$4),MIN($L194,EOMONTH(AF$4,0)),Assumptions!$F$4:$F$44))/NETWORKDAYS($K194,$L194,Assumptions!$F$4:$F$44))</f>
        <v>0</v>
      </c>
      <c r="AG194" s="21" t="n">
        <f aca="false">IF($J194=0,0,MAX(0,NETWORKDAYS(MAX($K194,AG$4),MIN($L194,EOMONTH(AG$4,0)),Assumptions!$F$4:$F$44))/NETWORKDAYS($K194,$L194,Assumptions!$F$4:$F$44))</f>
        <v>0</v>
      </c>
      <c r="AH194" s="21" t="n">
        <f aca="false">IF($J194=0,0,MAX(0,NETWORKDAYS(MAX($K194,AH$4),MIN($L194,EOMONTH(AH$4,0)),Assumptions!$F$4:$F$44))/NETWORKDAYS($K194,$L194,Assumptions!$F$4:$F$44))</f>
        <v>0</v>
      </c>
      <c r="AI194" s="21" t="n">
        <f aca="false">IF($J194=0,0,MAX(0,NETWORKDAYS(MAX($K194,AI$4),MIN($L194,EOMONTH(AI$4,0)),Assumptions!$F$4:$F$44))/NETWORKDAYS($K194,$L194,Assumptions!$F$4:$F$44))</f>
        <v>0</v>
      </c>
      <c r="AJ194" s="21" t="n">
        <f aca="false">IF($J194=0,0,MAX(0,NETWORKDAYS(MAX($K194,AJ$4),MIN($L194,EOMONTH(AJ$4,0)),Assumptions!$F$4:$F$44))/NETWORKDAYS($K194,$L194,Assumptions!$F$4:$F$44))</f>
        <v>0</v>
      </c>
      <c r="AK194" s="21" t="n">
        <f aca="false">IF($J194=0,0,MAX(0,NETWORKDAYS(MAX($K194,AK$4),MIN($L194,EOMONTH(AK$4,0)),Assumptions!$F$4:$F$44))/NETWORKDAYS($K194,$L194,Assumptions!$F$4:$F$44))</f>
        <v>1</v>
      </c>
      <c r="AL194" s="21" t="n">
        <f aca="false">IF($J194=0,0,MAX(0,NETWORKDAYS(MAX($K194,AL$4),MIN($L194,EOMONTH(AL$4,0)),Assumptions!$F$4:$F$44))/NETWORKDAYS($K194,$L194,Assumptions!$F$4:$F$44))</f>
        <v>0</v>
      </c>
      <c r="AM194" s="21" t="n">
        <f aca="false">IF($J194=0,0,MAX(0,NETWORKDAYS(MAX($K194,AM$4),MIN($L194,EOMONTH(AM$4,0)),Assumptions!$F$4:$F$44))/NETWORKDAYS($K194,$L194,Assumptions!$F$4:$F$44))</f>
        <v>0</v>
      </c>
      <c r="AN194" s="21" t="n">
        <f aca="false">IF($J194=0,0,MAX(0,NETWORKDAYS(MAX($K194,AN$4),MIN($L194,EOMONTH(AN$4,0)),Assumptions!$F$4:$F$44))/NETWORKDAYS($K194,$L194,Assumptions!$F$4:$F$44))</f>
        <v>0</v>
      </c>
      <c r="AO194" s="21" t="n">
        <f aca="false">IF($J194=0,0,MAX(0,NETWORKDAYS(MAX($K194,AO$4),MIN($L194,EOMONTH(AO$4,0)),Assumptions!$F$4:$F$44))/NETWORKDAYS($K194,$L194,Assumptions!$F$4:$F$44))</f>
        <v>0</v>
      </c>
      <c r="AP194" s="21" t="n">
        <f aca="false">IF($J194=0,0,MAX(0,NETWORKDAYS(MAX($K194,AP$4),MIN($L194,EOMONTH(AP$4,0)),Assumptions!$F$4:$F$44))/NETWORKDAYS($K194,$L194,Assumptions!$F$4:$F$44))</f>
        <v>0</v>
      </c>
      <c r="AQ194" s="21" t="n">
        <f aca="false">IF($J194=0,0,MAX(0,NETWORKDAYS(MAX($K194,AQ$4),MIN($L194,EOMONTH(AQ$4,0)),Assumptions!$F$4:$F$44))/NETWORKDAYS($K194,$L194,Assumptions!$F$4:$F$44))</f>
        <v>0</v>
      </c>
      <c r="AR194" s="21" t="n">
        <f aca="false">IF($J194=0,0,MAX(0,NETWORKDAYS(MAX($K194,AR$4),MIN($L194,EOMONTH(AR$4,0)),Assumptions!$F$4:$F$44))/NETWORKDAYS($K194,$L194,Assumptions!$F$4:$F$44))</f>
        <v>0</v>
      </c>
      <c r="AS194" s="21" t="n">
        <f aca="false">IF($J194=0,0,MAX(0,NETWORKDAYS(MAX($K194,AS$4),MIN($L194,EOMONTH(AS$4,0)),Assumptions!$F$4:$F$44))/NETWORKDAYS($K194,$L194,Assumptions!$F$4:$F$44))</f>
        <v>0</v>
      </c>
      <c r="AT194" s="21" t="n">
        <f aca="false">IF($J194=0,0,MAX(0,NETWORKDAYS(MAX($K194,AT$4),MIN($L194,EOMONTH(AT$4,0)),Assumptions!$F$4:$F$44))/NETWORKDAYS($K194,$L194,Assumptions!$F$4:$F$44))</f>
        <v>0</v>
      </c>
      <c r="AU194" s="21" t="n">
        <f aca="false">IF($J194=0,0,MAX(0,NETWORKDAYS(MAX($K194,AU$4),MIN($L194,EOMONTH(AU$4,0)),Assumptions!$F$4:$F$44))/NETWORKDAYS($K194,$L194,Assumptions!$F$4:$F$44))</f>
        <v>0</v>
      </c>
      <c r="AV194" s="21" t="n">
        <f aca="false">IF($J194=0,0,MAX(0,NETWORKDAYS(MAX($K194,AV$4),MIN($L194,EOMONTH(AV$4,0)),Assumptions!$F$4:$F$44))/NETWORKDAYS($K194,$L194,Assumptions!$F$4:$F$44))</f>
        <v>0</v>
      </c>
      <c r="AW194" s="21" t="n">
        <f aca="false">IF($J194=0,0,MAX(0,NETWORKDAYS(MAX($K194,AW$4),MIN($L194,EOMONTH(AW$4,0)),Assumptions!$F$4:$F$44))/NETWORKDAYS($K194,$L194,Assumptions!$F$4:$F$44))</f>
        <v>0</v>
      </c>
      <c r="AX194" s="21" t="n">
        <f aca="false">IF($J194=0,0,MAX(0,NETWORKDAYS(MAX($K194,AX$4),MIN($L194,EOMONTH(AX$4,0)),Assumptions!$F$4:$F$44))/NETWORKDAYS($K194,$L194,Assumptions!$F$4:$F$44))</f>
        <v>0</v>
      </c>
      <c r="AY194" s="21" t="n">
        <f aca="false">IF($J194=0,0,MAX(0,NETWORKDAYS(MAX($K194,AY$4),MIN($L194,EOMONTH(AY$4,0)),Assumptions!$F$4:$F$44))/NETWORKDAYS($K194,$L194,Assumptions!$F$4:$F$44))</f>
        <v>0</v>
      </c>
      <c r="AZ194" s="21" t="n">
        <f aca="false">IF($J194=0,0,MAX(0,NETWORKDAYS(MAX($K194,AZ$4),MIN($L194,EOMONTH(AZ$4,0)),Assumptions!$F$4:$F$44))/NETWORKDAYS($K194,$L194,Assumptions!$F$4:$F$44))</f>
        <v>0</v>
      </c>
      <c r="BA194" s="21" t="n">
        <f aca="false">IF($J194=0,0,MAX(0,NETWORKDAYS(MAX($K194,BA$4),MIN($L194,EOMONTH(BA$4,0)),Assumptions!$F$4:$F$44))/NETWORKDAYS($K194,$L194,Assumptions!$F$4:$F$44))</f>
        <v>0</v>
      </c>
      <c r="BB194" s="21" t="n">
        <f aca="false">IF($J194=0,0,MAX(0,NETWORKDAYS(MAX($K194,BB$4),MIN($L194,EOMONTH(BB$4,0)),Assumptions!$F$4:$F$44))/NETWORKDAYS($K194,$L194,Assumptions!$F$4:$F$44))</f>
        <v>0</v>
      </c>
      <c r="BC194" s="21" t="n">
        <f aca="false">IF($J194=0,0,MAX(0,NETWORKDAYS(MAX($K194,BC$4),MIN($L194,EOMONTH(BC$4,0)),Assumptions!$F$4:$F$44))/NETWORKDAYS($K194,$L194,Assumptions!$F$4:$F$44))</f>
        <v>0</v>
      </c>
    </row>
    <row r="195" customFormat="false" ht="15" hidden="false" customHeight="false" outlineLevel="2" collapsed="false">
      <c r="A195" s="27" t="n">
        <v>191</v>
      </c>
      <c r="B195" s="27" t="s">
        <v>481</v>
      </c>
      <c r="C195" s="27" t="n">
        <v>3</v>
      </c>
      <c r="D195" s="27" t="s">
        <v>92</v>
      </c>
      <c r="E195" s="28" t="s">
        <v>482</v>
      </c>
      <c r="F195" s="27" t="s">
        <v>154</v>
      </c>
      <c r="G195" s="27" t="s">
        <v>467</v>
      </c>
      <c r="H195" s="27" t="s">
        <v>59</v>
      </c>
      <c r="I195" s="29" t="n">
        <v>114</v>
      </c>
      <c r="J195" s="29" t="n">
        <v>7</v>
      </c>
      <c r="K195" s="30" t="n">
        <f aca="false">WORKDAY(Assumptions!$C$4,I195,Assumptions!$F$4:$F$44)</f>
        <v>46486</v>
      </c>
      <c r="L195" s="30" t="n">
        <f aca="false">IF(J195=0,K195,WORKDAY(K195,J195-1,Assumptions!$F$4:$F$44))</f>
        <v>46496</v>
      </c>
      <c r="M195" s="29"/>
      <c r="N195" s="31" t="n">
        <v>0</v>
      </c>
      <c r="O195" s="31" t="n">
        <v>2</v>
      </c>
      <c r="P195" s="31" t="n">
        <v>0</v>
      </c>
      <c r="Q195" s="31" t="n">
        <v>0</v>
      </c>
      <c r="R195" s="31" t="n">
        <v>0</v>
      </c>
      <c r="S195" s="31" t="n">
        <v>0</v>
      </c>
      <c r="T195" s="31" t="n">
        <v>0</v>
      </c>
      <c r="U195" s="31" t="n">
        <v>3</v>
      </c>
      <c r="V195" s="31" t="n">
        <v>0</v>
      </c>
      <c r="W195" s="31" t="n">
        <v>8</v>
      </c>
      <c r="X195" s="31" t="n">
        <v>0</v>
      </c>
      <c r="Y195" s="32" t="n">
        <f aca="false">SUM(N195:X195)</f>
        <v>13</v>
      </c>
      <c r="Z195" s="32" t="n">
        <f aca="false">Y195*(1+Assumptions!$C$5)</f>
        <v>14.95</v>
      </c>
      <c r="AA195" s="27" t="s">
        <v>483</v>
      </c>
      <c r="AB195" s="27" t="s">
        <v>95</v>
      </c>
      <c r="AC195" s="27"/>
      <c r="AD195" s="33" t="n">
        <v>0</v>
      </c>
      <c r="AF195" s="21" t="n">
        <f aca="false">IF($J195=0,0,MAX(0,NETWORKDAYS(MAX($K195,AF$4),MIN($L195,EOMONTH(AF$4,0)),Assumptions!$F$4:$F$44))/NETWORKDAYS($K195,$L195,Assumptions!$F$4:$F$44))</f>
        <v>0</v>
      </c>
      <c r="AG195" s="21" t="n">
        <f aca="false">IF($J195=0,0,MAX(0,NETWORKDAYS(MAX($K195,AG$4),MIN($L195,EOMONTH(AG$4,0)),Assumptions!$F$4:$F$44))/NETWORKDAYS($K195,$L195,Assumptions!$F$4:$F$44))</f>
        <v>0</v>
      </c>
      <c r="AH195" s="21" t="n">
        <f aca="false">IF($J195=0,0,MAX(0,NETWORKDAYS(MAX($K195,AH$4),MIN($L195,EOMONTH(AH$4,0)),Assumptions!$F$4:$F$44))/NETWORKDAYS($K195,$L195,Assumptions!$F$4:$F$44))</f>
        <v>0</v>
      </c>
      <c r="AI195" s="21" t="n">
        <f aca="false">IF($J195=0,0,MAX(0,NETWORKDAYS(MAX($K195,AI$4),MIN($L195,EOMONTH(AI$4,0)),Assumptions!$F$4:$F$44))/NETWORKDAYS($K195,$L195,Assumptions!$F$4:$F$44))</f>
        <v>0</v>
      </c>
      <c r="AJ195" s="21" t="n">
        <f aca="false">IF($J195=0,0,MAX(0,NETWORKDAYS(MAX($K195,AJ$4),MIN($L195,EOMONTH(AJ$4,0)),Assumptions!$F$4:$F$44))/NETWORKDAYS($K195,$L195,Assumptions!$F$4:$F$44))</f>
        <v>0</v>
      </c>
      <c r="AK195" s="21" t="n">
        <f aca="false">IF($J195=0,0,MAX(0,NETWORKDAYS(MAX($K195,AK$4),MIN($L195,EOMONTH(AK$4,0)),Assumptions!$F$4:$F$44))/NETWORKDAYS($K195,$L195,Assumptions!$F$4:$F$44))</f>
        <v>1</v>
      </c>
      <c r="AL195" s="21" t="n">
        <f aca="false">IF($J195=0,0,MAX(0,NETWORKDAYS(MAX($K195,AL$4),MIN($L195,EOMONTH(AL$4,0)),Assumptions!$F$4:$F$44))/NETWORKDAYS($K195,$L195,Assumptions!$F$4:$F$44))</f>
        <v>0</v>
      </c>
      <c r="AM195" s="21" t="n">
        <f aca="false">IF($J195=0,0,MAX(0,NETWORKDAYS(MAX($K195,AM$4),MIN($L195,EOMONTH(AM$4,0)),Assumptions!$F$4:$F$44))/NETWORKDAYS($K195,$L195,Assumptions!$F$4:$F$44))</f>
        <v>0</v>
      </c>
      <c r="AN195" s="21" t="n">
        <f aca="false">IF($J195=0,0,MAX(0,NETWORKDAYS(MAX($K195,AN$4),MIN($L195,EOMONTH(AN$4,0)),Assumptions!$F$4:$F$44))/NETWORKDAYS($K195,$L195,Assumptions!$F$4:$F$44))</f>
        <v>0</v>
      </c>
      <c r="AO195" s="21" t="n">
        <f aca="false">IF($J195=0,0,MAX(0,NETWORKDAYS(MAX($K195,AO$4),MIN($L195,EOMONTH(AO$4,0)),Assumptions!$F$4:$F$44))/NETWORKDAYS($K195,$L195,Assumptions!$F$4:$F$44))</f>
        <v>0</v>
      </c>
      <c r="AP195" s="21" t="n">
        <f aca="false">IF($J195=0,0,MAX(0,NETWORKDAYS(MAX($K195,AP$4),MIN($L195,EOMONTH(AP$4,0)),Assumptions!$F$4:$F$44))/NETWORKDAYS($K195,$L195,Assumptions!$F$4:$F$44))</f>
        <v>0</v>
      </c>
      <c r="AQ195" s="21" t="n">
        <f aca="false">IF($J195=0,0,MAX(0,NETWORKDAYS(MAX($K195,AQ$4),MIN($L195,EOMONTH(AQ$4,0)),Assumptions!$F$4:$F$44))/NETWORKDAYS($K195,$L195,Assumptions!$F$4:$F$44))</f>
        <v>0</v>
      </c>
      <c r="AR195" s="21" t="n">
        <f aca="false">IF($J195=0,0,MAX(0,NETWORKDAYS(MAX($K195,AR$4),MIN($L195,EOMONTH(AR$4,0)),Assumptions!$F$4:$F$44))/NETWORKDAYS($K195,$L195,Assumptions!$F$4:$F$44))</f>
        <v>0</v>
      </c>
      <c r="AS195" s="21" t="n">
        <f aca="false">IF($J195=0,0,MAX(0,NETWORKDAYS(MAX($K195,AS$4),MIN($L195,EOMONTH(AS$4,0)),Assumptions!$F$4:$F$44))/NETWORKDAYS($K195,$L195,Assumptions!$F$4:$F$44))</f>
        <v>0</v>
      </c>
      <c r="AT195" s="21" t="n">
        <f aca="false">IF($J195=0,0,MAX(0,NETWORKDAYS(MAX($K195,AT$4),MIN($L195,EOMONTH(AT$4,0)),Assumptions!$F$4:$F$44))/NETWORKDAYS($K195,$L195,Assumptions!$F$4:$F$44))</f>
        <v>0</v>
      </c>
      <c r="AU195" s="21" t="n">
        <f aca="false">IF($J195=0,0,MAX(0,NETWORKDAYS(MAX($K195,AU$4),MIN($L195,EOMONTH(AU$4,0)),Assumptions!$F$4:$F$44))/NETWORKDAYS($K195,$L195,Assumptions!$F$4:$F$44))</f>
        <v>0</v>
      </c>
      <c r="AV195" s="21" t="n">
        <f aca="false">IF($J195=0,0,MAX(0,NETWORKDAYS(MAX($K195,AV$4),MIN($L195,EOMONTH(AV$4,0)),Assumptions!$F$4:$F$44))/NETWORKDAYS($K195,$L195,Assumptions!$F$4:$F$44))</f>
        <v>0</v>
      </c>
      <c r="AW195" s="21" t="n">
        <f aca="false">IF($J195=0,0,MAX(0,NETWORKDAYS(MAX($K195,AW$4),MIN($L195,EOMONTH(AW$4,0)),Assumptions!$F$4:$F$44))/NETWORKDAYS($K195,$L195,Assumptions!$F$4:$F$44))</f>
        <v>0</v>
      </c>
      <c r="AX195" s="21" t="n">
        <f aca="false">IF($J195=0,0,MAX(0,NETWORKDAYS(MAX($K195,AX$4),MIN($L195,EOMONTH(AX$4,0)),Assumptions!$F$4:$F$44))/NETWORKDAYS($K195,$L195,Assumptions!$F$4:$F$44))</f>
        <v>0</v>
      </c>
      <c r="AY195" s="21" t="n">
        <f aca="false">IF($J195=0,0,MAX(0,NETWORKDAYS(MAX($K195,AY$4),MIN($L195,EOMONTH(AY$4,0)),Assumptions!$F$4:$F$44))/NETWORKDAYS($K195,$L195,Assumptions!$F$4:$F$44))</f>
        <v>0</v>
      </c>
      <c r="AZ195" s="21" t="n">
        <f aca="false">IF($J195=0,0,MAX(0,NETWORKDAYS(MAX($K195,AZ$4),MIN($L195,EOMONTH(AZ$4,0)),Assumptions!$F$4:$F$44))/NETWORKDAYS($K195,$L195,Assumptions!$F$4:$F$44))</f>
        <v>0</v>
      </c>
      <c r="BA195" s="21" t="n">
        <f aca="false">IF($J195=0,0,MAX(0,NETWORKDAYS(MAX($K195,BA$4),MIN($L195,EOMONTH(BA$4,0)),Assumptions!$F$4:$F$44))/NETWORKDAYS($K195,$L195,Assumptions!$F$4:$F$44))</f>
        <v>0</v>
      </c>
      <c r="BB195" s="21" t="n">
        <f aca="false">IF($J195=0,0,MAX(0,NETWORKDAYS(MAX($K195,BB$4),MIN($L195,EOMONTH(BB$4,0)),Assumptions!$F$4:$F$44))/NETWORKDAYS($K195,$L195,Assumptions!$F$4:$F$44))</f>
        <v>0</v>
      </c>
      <c r="BC195" s="21" t="n">
        <f aca="false">IF($J195=0,0,MAX(0,NETWORKDAYS(MAX($K195,BC$4),MIN($L195,EOMONTH(BC$4,0)),Assumptions!$F$4:$F$44))/NETWORKDAYS($K195,$L195,Assumptions!$F$4:$F$44))</f>
        <v>0</v>
      </c>
    </row>
    <row r="196" customFormat="false" ht="15" hidden="false" customHeight="false" outlineLevel="2" collapsed="false">
      <c r="A196" s="27" t="n">
        <v>192</v>
      </c>
      <c r="B196" s="27" t="s">
        <v>484</v>
      </c>
      <c r="C196" s="27" t="n">
        <v>3</v>
      </c>
      <c r="D196" s="27" t="s">
        <v>92</v>
      </c>
      <c r="E196" s="28" t="s">
        <v>485</v>
      </c>
      <c r="F196" s="27" t="s">
        <v>154</v>
      </c>
      <c r="G196" s="27" t="s">
        <v>467</v>
      </c>
      <c r="H196" s="27" t="s">
        <v>55</v>
      </c>
      <c r="I196" s="29" t="n">
        <v>121</v>
      </c>
      <c r="J196" s="29" t="n">
        <v>2</v>
      </c>
      <c r="K196" s="30" t="n">
        <f aca="false">WORKDAY(Assumptions!$C$4,I196,Assumptions!$F$4:$F$44)</f>
        <v>46497</v>
      </c>
      <c r="L196" s="30" t="n">
        <f aca="false">IF(J196=0,K196,WORKDAY(K196,J196-1,Assumptions!$F$4:$F$44))</f>
        <v>46498</v>
      </c>
      <c r="M196" s="29" t="s">
        <v>486</v>
      </c>
      <c r="N196" s="31" t="n">
        <v>0</v>
      </c>
      <c r="O196" s="31" t="n">
        <v>0</v>
      </c>
      <c r="P196" s="31" t="n">
        <v>0</v>
      </c>
      <c r="Q196" s="31" t="n">
        <v>4</v>
      </c>
      <c r="R196" s="31" t="n">
        <v>0</v>
      </c>
      <c r="S196" s="31" t="n">
        <v>0</v>
      </c>
      <c r="T196" s="31" t="n">
        <v>0</v>
      </c>
      <c r="U196" s="31" t="n">
        <v>5</v>
      </c>
      <c r="V196" s="31" t="n">
        <v>3</v>
      </c>
      <c r="W196" s="31" t="n">
        <v>4</v>
      </c>
      <c r="X196" s="31" t="n">
        <v>0</v>
      </c>
      <c r="Y196" s="32" t="n">
        <f aca="false">SUM(N196:X196)</f>
        <v>16</v>
      </c>
      <c r="Z196" s="32" t="n">
        <f aca="false">Y196*(1+Assumptions!$C$5)</f>
        <v>18.4</v>
      </c>
      <c r="AA196" s="27" t="s">
        <v>487</v>
      </c>
      <c r="AB196" s="27" t="s">
        <v>95</v>
      </c>
      <c r="AC196" s="27"/>
      <c r="AD196" s="33" t="n">
        <v>0</v>
      </c>
      <c r="AF196" s="21" t="n">
        <f aca="false">IF($J196=0,0,MAX(0,NETWORKDAYS(MAX($K196,AF$4),MIN($L196,EOMONTH(AF$4,0)),Assumptions!$F$4:$F$44))/NETWORKDAYS($K196,$L196,Assumptions!$F$4:$F$44))</f>
        <v>0</v>
      </c>
      <c r="AG196" s="21" t="n">
        <f aca="false">IF($J196=0,0,MAX(0,NETWORKDAYS(MAX($K196,AG$4),MIN($L196,EOMONTH(AG$4,0)),Assumptions!$F$4:$F$44))/NETWORKDAYS($K196,$L196,Assumptions!$F$4:$F$44))</f>
        <v>0</v>
      </c>
      <c r="AH196" s="21" t="n">
        <f aca="false">IF($J196=0,0,MAX(0,NETWORKDAYS(MAX($K196,AH$4),MIN($L196,EOMONTH(AH$4,0)),Assumptions!$F$4:$F$44))/NETWORKDAYS($K196,$L196,Assumptions!$F$4:$F$44))</f>
        <v>0</v>
      </c>
      <c r="AI196" s="21" t="n">
        <f aca="false">IF($J196=0,0,MAX(0,NETWORKDAYS(MAX($K196,AI$4),MIN($L196,EOMONTH(AI$4,0)),Assumptions!$F$4:$F$44))/NETWORKDAYS($K196,$L196,Assumptions!$F$4:$F$44))</f>
        <v>0</v>
      </c>
      <c r="AJ196" s="21" t="n">
        <f aca="false">IF($J196=0,0,MAX(0,NETWORKDAYS(MAX($K196,AJ$4),MIN($L196,EOMONTH(AJ$4,0)),Assumptions!$F$4:$F$44))/NETWORKDAYS($K196,$L196,Assumptions!$F$4:$F$44))</f>
        <v>0</v>
      </c>
      <c r="AK196" s="21" t="n">
        <f aca="false">IF($J196=0,0,MAX(0,NETWORKDAYS(MAX($K196,AK$4),MIN($L196,EOMONTH(AK$4,0)),Assumptions!$F$4:$F$44))/NETWORKDAYS($K196,$L196,Assumptions!$F$4:$F$44))</f>
        <v>1</v>
      </c>
      <c r="AL196" s="21" t="n">
        <f aca="false">IF($J196=0,0,MAX(0,NETWORKDAYS(MAX($K196,AL$4),MIN($L196,EOMONTH(AL$4,0)),Assumptions!$F$4:$F$44))/NETWORKDAYS($K196,$L196,Assumptions!$F$4:$F$44))</f>
        <v>0</v>
      </c>
      <c r="AM196" s="21" t="n">
        <f aca="false">IF($J196=0,0,MAX(0,NETWORKDAYS(MAX($K196,AM$4),MIN($L196,EOMONTH(AM$4,0)),Assumptions!$F$4:$F$44))/NETWORKDAYS($K196,$L196,Assumptions!$F$4:$F$44))</f>
        <v>0</v>
      </c>
      <c r="AN196" s="21" t="n">
        <f aca="false">IF($J196=0,0,MAX(0,NETWORKDAYS(MAX($K196,AN$4),MIN($L196,EOMONTH(AN$4,0)),Assumptions!$F$4:$F$44))/NETWORKDAYS($K196,$L196,Assumptions!$F$4:$F$44))</f>
        <v>0</v>
      </c>
      <c r="AO196" s="21" t="n">
        <f aca="false">IF($J196=0,0,MAX(0,NETWORKDAYS(MAX($K196,AO$4),MIN($L196,EOMONTH(AO$4,0)),Assumptions!$F$4:$F$44))/NETWORKDAYS($K196,$L196,Assumptions!$F$4:$F$44))</f>
        <v>0</v>
      </c>
      <c r="AP196" s="21" t="n">
        <f aca="false">IF($J196=0,0,MAX(0,NETWORKDAYS(MAX($K196,AP$4),MIN($L196,EOMONTH(AP$4,0)),Assumptions!$F$4:$F$44))/NETWORKDAYS($K196,$L196,Assumptions!$F$4:$F$44))</f>
        <v>0</v>
      </c>
      <c r="AQ196" s="21" t="n">
        <f aca="false">IF($J196=0,0,MAX(0,NETWORKDAYS(MAX($K196,AQ$4),MIN($L196,EOMONTH(AQ$4,0)),Assumptions!$F$4:$F$44))/NETWORKDAYS($K196,$L196,Assumptions!$F$4:$F$44))</f>
        <v>0</v>
      </c>
      <c r="AR196" s="21" t="n">
        <f aca="false">IF($J196=0,0,MAX(0,NETWORKDAYS(MAX($K196,AR$4),MIN($L196,EOMONTH(AR$4,0)),Assumptions!$F$4:$F$44))/NETWORKDAYS($K196,$L196,Assumptions!$F$4:$F$44))</f>
        <v>0</v>
      </c>
      <c r="AS196" s="21" t="n">
        <f aca="false">IF($J196=0,0,MAX(0,NETWORKDAYS(MAX($K196,AS$4),MIN($L196,EOMONTH(AS$4,0)),Assumptions!$F$4:$F$44))/NETWORKDAYS($K196,$L196,Assumptions!$F$4:$F$44))</f>
        <v>0</v>
      </c>
      <c r="AT196" s="21" t="n">
        <f aca="false">IF($J196=0,0,MAX(0,NETWORKDAYS(MAX($K196,AT$4),MIN($L196,EOMONTH(AT$4,0)),Assumptions!$F$4:$F$44))/NETWORKDAYS($K196,$L196,Assumptions!$F$4:$F$44))</f>
        <v>0</v>
      </c>
      <c r="AU196" s="21" t="n">
        <f aca="false">IF($J196=0,0,MAX(0,NETWORKDAYS(MAX($K196,AU$4),MIN($L196,EOMONTH(AU$4,0)),Assumptions!$F$4:$F$44))/NETWORKDAYS($K196,$L196,Assumptions!$F$4:$F$44))</f>
        <v>0</v>
      </c>
      <c r="AV196" s="21" t="n">
        <f aca="false">IF($J196=0,0,MAX(0,NETWORKDAYS(MAX($K196,AV$4),MIN($L196,EOMONTH(AV$4,0)),Assumptions!$F$4:$F$44))/NETWORKDAYS($K196,$L196,Assumptions!$F$4:$F$44))</f>
        <v>0</v>
      </c>
      <c r="AW196" s="21" t="n">
        <f aca="false">IF($J196=0,0,MAX(0,NETWORKDAYS(MAX($K196,AW$4),MIN($L196,EOMONTH(AW$4,0)),Assumptions!$F$4:$F$44))/NETWORKDAYS($K196,$L196,Assumptions!$F$4:$F$44))</f>
        <v>0</v>
      </c>
      <c r="AX196" s="21" t="n">
        <f aca="false">IF($J196=0,0,MAX(0,NETWORKDAYS(MAX($K196,AX$4),MIN($L196,EOMONTH(AX$4,0)),Assumptions!$F$4:$F$44))/NETWORKDAYS($K196,$L196,Assumptions!$F$4:$F$44))</f>
        <v>0</v>
      </c>
      <c r="AY196" s="21" t="n">
        <f aca="false">IF($J196=0,0,MAX(0,NETWORKDAYS(MAX($K196,AY$4),MIN($L196,EOMONTH(AY$4,0)),Assumptions!$F$4:$F$44))/NETWORKDAYS($K196,$L196,Assumptions!$F$4:$F$44))</f>
        <v>0</v>
      </c>
      <c r="AZ196" s="21" t="n">
        <f aca="false">IF($J196=0,0,MAX(0,NETWORKDAYS(MAX($K196,AZ$4),MIN($L196,EOMONTH(AZ$4,0)),Assumptions!$F$4:$F$44))/NETWORKDAYS($K196,$L196,Assumptions!$F$4:$F$44))</f>
        <v>0</v>
      </c>
      <c r="BA196" s="21" t="n">
        <f aca="false">IF($J196=0,0,MAX(0,NETWORKDAYS(MAX($K196,BA$4),MIN($L196,EOMONTH(BA$4,0)),Assumptions!$F$4:$F$44))/NETWORKDAYS($K196,$L196,Assumptions!$F$4:$F$44))</f>
        <v>0</v>
      </c>
      <c r="BB196" s="21" t="n">
        <f aca="false">IF($J196=0,0,MAX(0,NETWORKDAYS(MAX($K196,BB$4),MIN($L196,EOMONTH(BB$4,0)),Assumptions!$F$4:$F$44))/NETWORKDAYS($K196,$L196,Assumptions!$F$4:$F$44))</f>
        <v>0</v>
      </c>
      <c r="BC196" s="21" t="n">
        <f aca="false">IF($J196=0,0,MAX(0,NETWORKDAYS(MAX($K196,BC$4),MIN($L196,EOMONTH(BC$4,0)),Assumptions!$F$4:$F$44))/NETWORKDAYS($K196,$L196,Assumptions!$F$4:$F$44))</f>
        <v>0</v>
      </c>
    </row>
    <row r="197" customFormat="false" ht="15" hidden="false" customHeight="false" outlineLevel="1" collapsed="false">
      <c r="A197" s="34" t="n">
        <v>193</v>
      </c>
      <c r="B197" s="34" t="s">
        <v>488</v>
      </c>
      <c r="C197" s="34" t="n">
        <v>2</v>
      </c>
      <c r="D197" s="34" t="s">
        <v>149</v>
      </c>
      <c r="E197" s="35" t="s">
        <v>489</v>
      </c>
      <c r="F197" s="34" t="s">
        <v>154</v>
      </c>
      <c r="G197" s="34"/>
      <c r="H197" s="34"/>
      <c r="I197" s="36" t="n">
        <v>123</v>
      </c>
      <c r="J197" s="36" t="n">
        <v>0</v>
      </c>
      <c r="K197" s="37" t="n">
        <f aca="false">WORKDAY(Assumptions!$C$4,I197,Assumptions!$F$4:$F$44)</f>
        <v>46499</v>
      </c>
      <c r="L197" s="37" t="n">
        <f aca="false">IF(J197=0,K197,WORKDAY(K197,J197-1,Assumptions!$F$4:$F$44))</f>
        <v>46499</v>
      </c>
      <c r="M197" s="36" t="s">
        <v>490</v>
      </c>
      <c r="N197" s="38" t="n">
        <v>0</v>
      </c>
      <c r="O197" s="38" t="n">
        <v>0</v>
      </c>
      <c r="P197" s="38" t="n">
        <v>0</v>
      </c>
      <c r="Q197" s="38" t="n">
        <v>0</v>
      </c>
      <c r="R197" s="38" t="n">
        <v>0</v>
      </c>
      <c r="S197" s="38" t="n">
        <v>0</v>
      </c>
      <c r="T197" s="38" t="n">
        <v>0</v>
      </c>
      <c r="U197" s="38" t="n">
        <v>0</v>
      </c>
      <c r="V197" s="38" t="n">
        <v>0</v>
      </c>
      <c r="W197" s="38" t="n">
        <v>0</v>
      </c>
      <c r="X197" s="38" t="n">
        <v>0</v>
      </c>
      <c r="Y197" s="38" t="n">
        <f aca="false">SUM(N197:X197)</f>
        <v>0</v>
      </c>
      <c r="Z197" s="38" t="n">
        <f aca="false">Y197*(1+Assumptions!$C$5)</f>
        <v>0</v>
      </c>
      <c r="AA197" s="34"/>
      <c r="AB197" s="34" t="s">
        <v>95</v>
      </c>
      <c r="AC197" s="34"/>
      <c r="AD197" s="39" t="n">
        <v>0</v>
      </c>
      <c r="AF197" s="21" t="n">
        <v>0</v>
      </c>
      <c r="AG197" s="21" t="n">
        <v>0</v>
      </c>
      <c r="AH197" s="21" t="n">
        <v>0</v>
      </c>
      <c r="AI197" s="21" t="n">
        <v>0</v>
      </c>
      <c r="AJ197" s="21" t="n">
        <v>0</v>
      </c>
      <c r="AK197" s="21" t="n">
        <v>0</v>
      </c>
      <c r="AL197" s="21" t="n">
        <v>0</v>
      </c>
      <c r="AM197" s="21" t="n">
        <v>0</v>
      </c>
      <c r="AN197" s="21" t="n">
        <v>0</v>
      </c>
      <c r="AO197" s="21" t="n">
        <v>0</v>
      </c>
      <c r="AP197" s="21" t="n">
        <v>0</v>
      </c>
      <c r="AQ197" s="21" t="n">
        <v>0</v>
      </c>
      <c r="AR197" s="21" t="n">
        <v>0</v>
      </c>
      <c r="AS197" s="21" t="n">
        <v>0</v>
      </c>
      <c r="AT197" s="21" t="n">
        <v>0</v>
      </c>
      <c r="AU197" s="21" t="n">
        <v>0</v>
      </c>
      <c r="AV197" s="21" t="n">
        <v>0</v>
      </c>
      <c r="AW197" s="21" t="n">
        <v>0</v>
      </c>
      <c r="AX197" s="21" t="n">
        <v>0</v>
      </c>
      <c r="AY197" s="21" t="n">
        <v>0</v>
      </c>
      <c r="AZ197" s="21" t="n">
        <v>0</v>
      </c>
      <c r="BA197" s="21" t="n">
        <v>0</v>
      </c>
      <c r="BB197" s="21" t="n">
        <v>0</v>
      </c>
      <c r="BC197" s="21" t="n">
        <v>0</v>
      </c>
    </row>
    <row r="198" customFormat="false" ht="15" hidden="false" customHeight="false" outlineLevel="2" collapsed="false">
      <c r="A198" s="27" t="n">
        <v>194</v>
      </c>
      <c r="B198" s="27" t="s">
        <v>491</v>
      </c>
      <c r="C198" s="27" t="n">
        <v>3</v>
      </c>
      <c r="D198" s="27" t="s">
        <v>92</v>
      </c>
      <c r="E198" s="28" t="s">
        <v>492</v>
      </c>
      <c r="F198" s="27" t="s">
        <v>154</v>
      </c>
      <c r="G198" s="27" t="s">
        <v>467</v>
      </c>
      <c r="H198" s="27" t="s">
        <v>47</v>
      </c>
      <c r="I198" s="29" t="n">
        <v>123</v>
      </c>
      <c r="J198" s="29" t="n">
        <v>17</v>
      </c>
      <c r="K198" s="30" t="n">
        <f aca="false">WORKDAY(Assumptions!$C$4,I198,Assumptions!$F$4:$F$44)</f>
        <v>46499</v>
      </c>
      <c r="L198" s="30" t="n">
        <f aca="false">IF(J198=0,K198,WORKDAY(K198,J198-1,Assumptions!$F$4:$F$44))</f>
        <v>46521</v>
      </c>
      <c r="M198" s="29" t="s">
        <v>493</v>
      </c>
      <c r="N198" s="31" t="n">
        <v>0</v>
      </c>
      <c r="O198" s="31" t="n">
        <v>5</v>
      </c>
      <c r="P198" s="31" t="n">
        <v>0</v>
      </c>
      <c r="Q198" s="31" t="n">
        <v>12</v>
      </c>
      <c r="R198" s="31" t="n">
        <v>4</v>
      </c>
      <c r="S198" s="31" t="n">
        <v>0</v>
      </c>
      <c r="T198" s="31" t="n">
        <v>0</v>
      </c>
      <c r="U198" s="31" t="n">
        <v>4</v>
      </c>
      <c r="V198" s="31" t="n">
        <v>4</v>
      </c>
      <c r="W198" s="31" t="n">
        <v>0</v>
      </c>
      <c r="X198" s="31" t="n">
        <v>0</v>
      </c>
      <c r="Y198" s="32" t="n">
        <f aca="false">SUM(N198:X198)</f>
        <v>29</v>
      </c>
      <c r="Z198" s="32" t="n">
        <f aca="false">Y198*(1+Assumptions!$C$5)</f>
        <v>33.35</v>
      </c>
      <c r="AA198" s="27" t="s">
        <v>494</v>
      </c>
      <c r="AB198" s="27" t="s">
        <v>95</v>
      </c>
      <c r="AC198" s="27"/>
      <c r="AD198" s="33" t="n">
        <v>0</v>
      </c>
      <c r="AF198" s="21" t="n">
        <f aca="false">IF($J198=0,0,MAX(0,NETWORKDAYS(MAX($K198,AF$4),MIN($L198,EOMONTH(AF$4,0)),Assumptions!$F$4:$F$44))/NETWORKDAYS($K198,$L198,Assumptions!$F$4:$F$44))</f>
        <v>0</v>
      </c>
      <c r="AG198" s="21" t="n">
        <f aca="false">IF($J198=0,0,MAX(0,NETWORKDAYS(MAX($K198,AG$4),MIN($L198,EOMONTH(AG$4,0)),Assumptions!$F$4:$F$44))/NETWORKDAYS($K198,$L198,Assumptions!$F$4:$F$44))</f>
        <v>0</v>
      </c>
      <c r="AH198" s="21" t="n">
        <f aca="false">IF($J198=0,0,MAX(0,NETWORKDAYS(MAX($K198,AH$4),MIN($L198,EOMONTH(AH$4,0)),Assumptions!$F$4:$F$44))/NETWORKDAYS($K198,$L198,Assumptions!$F$4:$F$44))</f>
        <v>0</v>
      </c>
      <c r="AI198" s="21" t="n">
        <f aca="false">IF($J198=0,0,MAX(0,NETWORKDAYS(MAX($K198,AI$4),MIN($L198,EOMONTH(AI$4,0)),Assumptions!$F$4:$F$44))/NETWORKDAYS($K198,$L198,Assumptions!$F$4:$F$44))</f>
        <v>0</v>
      </c>
      <c r="AJ198" s="21" t="n">
        <f aca="false">IF($J198=0,0,MAX(0,NETWORKDAYS(MAX($K198,AJ$4),MIN($L198,EOMONTH(AJ$4,0)),Assumptions!$F$4:$F$44))/NETWORKDAYS($K198,$L198,Assumptions!$F$4:$F$44))</f>
        <v>0</v>
      </c>
      <c r="AK198" s="21" t="n">
        <f aca="false">IF($J198=0,0,MAX(0,NETWORKDAYS(MAX($K198,AK$4),MIN($L198,EOMONTH(AK$4,0)),Assumptions!$F$4:$F$44))/NETWORKDAYS($K198,$L198,Assumptions!$F$4:$F$44))</f>
        <v>0.411764705882353</v>
      </c>
      <c r="AL198" s="21" t="n">
        <f aca="false">IF($J198=0,0,MAX(0,NETWORKDAYS(MAX($K198,AL$4),MIN($L198,EOMONTH(AL$4,0)),Assumptions!$F$4:$F$44))/NETWORKDAYS($K198,$L198,Assumptions!$F$4:$F$44))</f>
        <v>0.588235294117647</v>
      </c>
      <c r="AM198" s="21" t="n">
        <f aca="false">IF($J198=0,0,MAX(0,NETWORKDAYS(MAX($K198,AM$4),MIN($L198,EOMONTH(AM$4,0)),Assumptions!$F$4:$F$44))/NETWORKDAYS($K198,$L198,Assumptions!$F$4:$F$44))</f>
        <v>0</v>
      </c>
      <c r="AN198" s="21" t="n">
        <f aca="false">IF($J198=0,0,MAX(0,NETWORKDAYS(MAX($K198,AN$4),MIN($L198,EOMONTH(AN$4,0)),Assumptions!$F$4:$F$44))/NETWORKDAYS($K198,$L198,Assumptions!$F$4:$F$44))</f>
        <v>0</v>
      </c>
      <c r="AO198" s="21" t="n">
        <f aca="false">IF($J198=0,0,MAX(0,NETWORKDAYS(MAX($K198,AO$4),MIN($L198,EOMONTH(AO$4,0)),Assumptions!$F$4:$F$44))/NETWORKDAYS($K198,$L198,Assumptions!$F$4:$F$44))</f>
        <v>0</v>
      </c>
      <c r="AP198" s="21" t="n">
        <f aca="false">IF($J198=0,0,MAX(0,NETWORKDAYS(MAX($K198,AP$4),MIN($L198,EOMONTH(AP$4,0)),Assumptions!$F$4:$F$44))/NETWORKDAYS($K198,$L198,Assumptions!$F$4:$F$44))</f>
        <v>0</v>
      </c>
      <c r="AQ198" s="21" t="n">
        <f aca="false">IF($J198=0,0,MAX(0,NETWORKDAYS(MAX($K198,AQ$4),MIN($L198,EOMONTH(AQ$4,0)),Assumptions!$F$4:$F$44))/NETWORKDAYS($K198,$L198,Assumptions!$F$4:$F$44))</f>
        <v>0</v>
      </c>
      <c r="AR198" s="21" t="n">
        <f aca="false">IF($J198=0,0,MAX(0,NETWORKDAYS(MAX($K198,AR$4),MIN($L198,EOMONTH(AR$4,0)),Assumptions!$F$4:$F$44))/NETWORKDAYS($K198,$L198,Assumptions!$F$4:$F$44))</f>
        <v>0</v>
      </c>
      <c r="AS198" s="21" t="n">
        <f aca="false">IF($J198=0,0,MAX(0,NETWORKDAYS(MAX($K198,AS$4),MIN($L198,EOMONTH(AS$4,0)),Assumptions!$F$4:$F$44))/NETWORKDAYS($K198,$L198,Assumptions!$F$4:$F$44))</f>
        <v>0</v>
      </c>
      <c r="AT198" s="21" t="n">
        <f aca="false">IF($J198=0,0,MAX(0,NETWORKDAYS(MAX($K198,AT$4),MIN($L198,EOMONTH(AT$4,0)),Assumptions!$F$4:$F$44))/NETWORKDAYS($K198,$L198,Assumptions!$F$4:$F$44))</f>
        <v>0</v>
      </c>
      <c r="AU198" s="21" t="n">
        <f aca="false">IF($J198=0,0,MAX(0,NETWORKDAYS(MAX($K198,AU$4),MIN($L198,EOMONTH(AU$4,0)),Assumptions!$F$4:$F$44))/NETWORKDAYS($K198,$L198,Assumptions!$F$4:$F$44))</f>
        <v>0</v>
      </c>
      <c r="AV198" s="21" t="n">
        <f aca="false">IF($J198=0,0,MAX(0,NETWORKDAYS(MAX($K198,AV$4),MIN($L198,EOMONTH(AV$4,0)),Assumptions!$F$4:$F$44))/NETWORKDAYS($K198,$L198,Assumptions!$F$4:$F$44))</f>
        <v>0</v>
      </c>
      <c r="AW198" s="21" t="n">
        <f aca="false">IF($J198=0,0,MAX(0,NETWORKDAYS(MAX($K198,AW$4),MIN($L198,EOMONTH(AW$4,0)),Assumptions!$F$4:$F$44))/NETWORKDAYS($K198,$L198,Assumptions!$F$4:$F$44))</f>
        <v>0</v>
      </c>
      <c r="AX198" s="21" t="n">
        <f aca="false">IF($J198=0,0,MAX(0,NETWORKDAYS(MAX($K198,AX$4),MIN($L198,EOMONTH(AX$4,0)),Assumptions!$F$4:$F$44))/NETWORKDAYS($K198,$L198,Assumptions!$F$4:$F$44))</f>
        <v>0</v>
      </c>
      <c r="AY198" s="21" t="n">
        <f aca="false">IF($J198=0,0,MAX(0,NETWORKDAYS(MAX($K198,AY$4),MIN($L198,EOMONTH(AY$4,0)),Assumptions!$F$4:$F$44))/NETWORKDAYS($K198,$L198,Assumptions!$F$4:$F$44))</f>
        <v>0</v>
      </c>
      <c r="AZ198" s="21" t="n">
        <f aca="false">IF($J198=0,0,MAX(0,NETWORKDAYS(MAX($K198,AZ$4),MIN($L198,EOMONTH(AZ$4,0)),Assumptions!$F$4:$F$44))/NETWORKDAYS($K198,$L198,Assumptions!$F$4:$F$44))</f>
        <v>0</v>
      </c>
      <c r="BA198" s="21" t="n">
        <f aca="false">IF($J198=0,0,MAX(0,NETWORKDAYS(MAX($K198,BA$4),MIN($L198,EOMONTH(BA$4,0)),Assumptions!$F$4:$F$44))/NETWORKDAYS($K198,$L198,Assumptions!$F$4:$F$44))</f>
        <v>0</v>
      </c>
      <c r="BB198" s="21" t="n">
        <f aca="false">IF($J198=0,0,MAX(0,NETWORKDAYS(MAX($K198,BB$4),MIN($L198,EOMONTH(BB$4,0)),Assumptions!$F$4:$F$44))/NETWORKDAYS($K198,$L198,Assumptions!$F$4:$F$44))</f>
        <v>0</v>
      </c>
      <c r="BC198" s="21" t="n">
        <f aca="false">IF($J198=0,0,MAX(0,NETWORKDAYS(MAX($K198,BC$4),MIN($L198,EOMONTH(BC$4,0)),Assumptions!$F$4:$F$44))/NETWORKDAYS($K198,$L198,Assumptions!$F$4:$F$44))</f>
        <v>0</v>
      </c>
    </row>
    <row r="199" customFormat="false" ht="15" hidden="false" customHeight="false" outlineLevel="1" collapsed="false">
      <c r="A199" s="34" t="n">
        <v>195</v>
      </c>
      <c r="B199" s="34" t="s">
        <v>495</v>
      </c>
      <c r="C199" s="34" t="n">
        <v>2</v>
      </c>
      <c r="D199" s="34" t="s">
        <v>149</v>
      </c>
      <c r="E199" s="35" t="s">
        <v>496</v>
      </c>
      <c r="F199" s="34" t="s">
        <v>154</v>
      </c>
      <c r="G199" s="34"/>
      <c r="H199" s="34"/>
      <c r="I199" s="36" t="n">
        <v>139</v>
      </c>
      <c r="J199" s="36" t="n">
        <v>0</v>
      </c>
      <c r="K199" s="37" t="n">
        <f aca="false">WORKDAY(Assumptions!$C$4,I199,Assumptions!$F$4:$F$44)</f>
        <v>46521</v>
      </c>
      <c r="L199" s="37" t="n">
        <f aca="false">IF(J199=0,K199,WORKDAY(K199,J199-1,Assumptions!$F$4:$F$44))</f>
        <v>46521</v>
      </c>
      <c r="M199" s="36" t="s">
        <v>497</v>
      </c>
      <c r="N199" s="38" t="n">
        <v>0</v>
      </c>
      <c r="O199" s="38" t="n">
        <v>0</v>
      </c>
      <c r="P199" s="38" t="n">
        <v>0</v>
      </c>
      <c r="Q199" s="38" t="n">
        <v>0</v>
      </c>
      <c r="R199" s="38" t="n">
        <v>0</v>
      </c>
      <c r="S199" s="38" t="n">
        <v>0</v>
      </c>
      <c r="T199" s="38" t="n">
        <v>0</v>
      </c>
      <c r="U199" s="38" t="n">
        <v>0</v>
      </c>
      <c r="V199" s="38" t="n">
        <v>0</v>
      </c>
      <c r="W199" s="38" t="n">
        <v>0</v>
      </c>
      <c r="X199" s="38" t="n">
        <v>0</v>
      </c>
      <c r="Y199" s="38" t="n">
        <f aca="false">SUM(N199:X199)</f>
        <v>0</v>
      </c>
      <c r="Z199" s="38" t="n">
        <f aca="false">Y199*(1+Assumptions!$C$5)</f>
        <v>0</v>
      </c>
      <c r="AA199" s="34"/>
      <c r="AB199" s="34" t="s">
        <v>95</v>
      </c>
      <c r="AC199" s="34"/>
      <c r="AD199" s="39" t="n">
        <v>0</v>
      </c>
      <c r="AF199" s="21" t="n">
        <v>0</v>
      </c>
      <c r="AG199" s="21" t="n">
        <v>0</v>
      </c>
      <c r="AH199" s="21" t="n">
        <v>0</v>
      </c>
      <c r="AI199" s="21" t="n">
        <v>0</v>
      </c>
      <c r="AJ199" s="21" t="n">
        <v>0</v>
      </c>
      <c r="AK199" s="21" t="n">
        <v>0</v>
      </c>
      <c r="AL199" s="21" t="n">
        <v>0</v>
      </c>
      <c r="AM199" s="21" t="n">
        <v>0</v>
      </c>
      <c r="AN199" s="21" t="n">
        <v>0</v>
      </c>
      <c r="AO199" s="21" t="n">
        <v>0</v>
      </c>
      <c r="AP199" s="21" t="n">
        <v>0</v>
      </c>
      <c r="AQ199" s="21" t="n">
        <v>0</v>
      </c>
      <c r="AR199" s="21" t="n">
        <v>0</v>
      </c>
      <c r="AS199" s="21" t="n">
        <v>0</v>
      </c>
      <c r="AT199" s="21" t="n">
        <v>0</v>
      </c>
      <c r="AU199" s="21" t="n">
        <v>0</v>
      </c>
      <c r="AV199" s="21" t="n">
        <v>0</v>
      </c>
      <c r="AW199" s="21" t="n">
        <v>0</v>
      </c>
      <c r="AX199" s="21" t="n">
        <v>0</v>
      </c>
      <c r="AY199" s="21" t="n">
        <v>0</v>
      </c>
      <c r="AZ199" s="21" t="n">
        <v>0</v>
      </c>
      <c r="BA199" s="21" t="n">
        <v>0</v>
      </c>
      <c r="BB199" s="21" t="n">
        <v>0</v>
      </c>
      <c r="BC199" s="21" t="n">
        <v>0</v>
      </c>
    </row>
    <row r="200" customFormat="false" ht="15" hidden="false" customHeight="false" outlineLevel="1" collapsed="false">
      <c r="A200" s="34" t="n">
        <v>196</v>
      </c>
      <c r="B200" s="34" t="s">
        <v>498</v>
      </c>
      <c r="C200" s="34" t="n">
        <v>2</v>
      </c>
      <c r="D200" s="34" t="s">
        <v>149</v>
      </c>
      <c r="E200" s="35" t="s">
        <v>499</v>
      </c>
      <c r="F200" s="34" t="s">
        <v>154</v>
      </c>
      <c r="G200" s="34"/>
      <c r="H200" s="34"/>
      <c r="I200" s="36" t="n">
        <v>76</v>
      </c>
      <c r="J200" s="36" t="n">
        <v>0</v>
      </c>
      <c r="K200" s="37" t="n">
        <f aca="false">WORKDAY(Assumptions!$C$4,I200,Assumptions!$F$4:$F$44)</f>
        <v>46434</v>
      </c>
      <c r="L200" s="37" t="n">
        <f aca="false">IF(J200=0,K200,WORKDAY(K200,J200-1,Assumptions!$F$4:$F$44))</f>
        <v>46434</v>
      </c>
      <c r="M200" s="36"/>
      <c r="N200" s="38" t="n">
        <v>0</v>
      </c>
      <c r="O200" s="38" t="n">
        <v>0</v>
      </c>
      <c r="P200" s="38" t="n">
        <v>0</v>
      </c>
      <c r="Q200" s="38" t="n">
        <v>0</v>
      </c>
      <c r="R200" s="38" t="n">
        <v>0</v>
      </c>
      <c r="S200" s="38" t="n">
        <v>0</v>
      </c>
      <c r="T200" s="38" t="n">
        <v>0</v>
      </c>
      <c r="U200" s="38" t="n">
        <v>0</v>
      </c>
      <c r="V200" s="38" t="n">
        <v>0</v>
      </c>
      <c r="W200" s="38" t="n">
        <v>0</v>
      </c>
      <c r="X200" s="38" t="n">
        <v>0</v>
      </c>
      <c r="Y200" s="38" t="n">
        <f aca="false">SUM(N200:X200)</f>
        <v>0</v>
      </c>
      <c r="Z200" s="38" t="n">
        <f aca="false">Y200*(1+Assumptions!$C$5)</f>
        <v>0</v>
      </c>
      <c r="AA200" s="34"/>
      <c r="AB200" s="34" t="s">
        <v>95</v>
      </c>
      <c r="AC200" s="34"/>
      <c r="AD200" s="39" t="n">
        <v>0</v>
      </c>
      <c r="AF200" s="21" t="n">
        <v>0</v>
      </c>
      <c r="AG200" s="21" t="n">
        <v>0</v>
      </c>
      <c r="AH200" s="21" t="n">
        <v>0</v>
      </c>
      <c r="AI200" s="21" t="n">
        <v>0</v>
      </c>
      <c r="AJ200" s="21" t="n">
        <v>0</v>
      </c>
      <c r="AK200" s="21" t="n">
        <v>0</v>
      </c>
      <c r="AL200" s="21" t="n">
        <v>0</v>
      </c>
      <c r="AM200" s="21" t="n">
        <v>0</v>
      </c>
      <c r="AN200" s="21" t="n">
        <v>0</v>
      </c>
      <c r="AO200" s="21" t="n">
        <v>0</v>
      </c>
      <c r="AP200" s="21" t="n">
        <v>0</v>
      </c>
      <c r="AQ200" s="21" t="n">
        <v>0</v>
      </c>
      <c r="AR200" s="21" t="n">
        <v>0</v>
      </c>
      <c r="AS200" s="21" t="n">
        <v>0</v>
      </c>
      <c r="AT200" s="21" t="n">
        <v>0</v>
      </c>
      <c r="AU200" s="21" t="n">
        <v>0</v>
      </c>
      <c r="AV200" s="21" t="n">
        <v>0</v>
      </c>
      <c r="AW200" s="21" t="n">
        <v>0</v>
      </c>
      <c r="AX200" s="21" t="n">
        <v>0</v>
      </c>
      <c r="AY200" s="21" t="n">
        <v>0</v>
      </c>
      <c r="AZ200" s="21" t="n">
        <v>0</v>
      </c>
      <c r="BA200" s="21" t="n">
        <v>0</v>
      </c>
      <c r="BB200" s="21" t="n">
        <v>0</v>
      </c>
      <c r="BC200" s="21" t="n">
        <v>0</v>
      </c>
    </row>
    <row r="201" customFormat="false" ht="15" hidden="false" customHeight="false" outlineLevel="0" collapsed="false">
      <c r="A201" s="17" t="n">
        <v>197</v>
      </c>
      <c r="B201" s="17" t="s">
        <v>500</v>
      </c>
      <c r="C201" s="17" t="n">
        <v>1</v>
      </c>
      <c r="D201" s="17" t="s">
        <v>71</v>
      </c>
      <c r="E201" s="17" t="s">
        <v>501</v>
      </c>
      <c r="F201" s="17" t="s">
        <v>502</v>
      </c>
      <c r="G201" s="17"/>
      <c r="H201" s="17"/>
      <c r="I201" s="17"/>
      <c r="J201" s="17" t="n">
        <f aca="false">NETWORKDAYS(K201,L201,Assumptions!$F$4:$F$44)</f>
        <v>142</v>
      </c>
      <c r="K201" s="18" t="n">
        <f aca="false">MIN(K202:K304)</f>
        <v>46450</v>
      </c>
      <c r="L201" s="18" t="n">
        <f aca="false">MAX(L202:L304)</f>
        <v>46647</v>
      </c>
      <c r="M201" s="17"/>
      <c r="N201" s="19" t="n">
        <f aca="false">SUMPRODUCT(($C$202:$C$304=3)*(N202:N304))</f>
        <v>5</v>
      </c>
      <c r="O201" s="19" t="n">
        <f aca="false">SUMPRODUCT(($C$202:$C$304=3)*(O202:O304))</f>
        <v>153</v>
      </c>
      <c r="P201" s="19" t="n">
        <f aca="false">SUMPRODUCT(($C$202:$C$304=3)*(P202:P304))</f>
        <v>42</v>
      </c>
      <c r="Q201" s="19" t="n">
        <f aca="false">SUMPRODUCT(($C$202:$C$304=3)*(Q202:Q304))</f>
        <v>558</v>
      </c>
      <c r="R201" s="19" t="n">
        <f aca="false">SUMPRODUCT(($C$202:$C$304=3)*(R202:R304))</f>
        <v>303</v>
      </c>
      <c r="S201" s="19" t="n">
        <f aca="false">SUMPRODUCT(($C$202:$C$304=3)*(S202:S304))</f>
        <v>102</v>
      </c>
      <c r="T201" s="19" t="n">
        <f aca="false">SUMPRODUCT(($C$202:$C$304=3)*(T202:T304))</f>
        <v>88</v>
      </c>
      <c r="U201" s="19" t="n">
        <f aca="false">SUMPRODUCT(($C$202:$C$304=3)*(U202:U304))</f>
        <v>20</v>
      </c>
      <c r="V201" s="19" t="n">
        <f aca="false">SUMPRODUCT(($C$202:$C$304=3)*(V202:V304))</f>
        <v>229</v>
      </c>
      <c r="W201" s="19" t="n">
        <f aca="false">SUMPRODUCT(($C$202:$C$304=3)*(W202:W304))</f>
        <v>73</v>
      </c>
      <c r="X201" s="19" t="n">
        <f aca="false">SUMPRODUCT(($C$202:$C$304=3)*(X202:X304))</f>
        <v>49</v>
      </c>
      <c r="Y201" s="19" t="n">
        <f aca="false">SUM(N201:X201)</f>
        <v>1622</v>
      </c>
      <c r="Z201" s="19" t="n">
        <f aca="false">Y201*(1+Assumptions!$C$5)</f>
        <v>1865.3</v>
      </c>
      <c r="AA201" s="17"/>
      <c r="AB201" s="17"/>
      <c r="AC201" s="17"/>
      <c r="AD201" s="20"/>
      <c r="AF201" s="21" t="n">
        <v>0</v>
      </c>
      <c r="AG201" s="21" t="n">
        <v>0</v>
      </c>
      <c r="AH201" s="21" t="n">
        <v>0</v>
      </c>
      <c r="AI201" s="21" t="n">
        <v>0</v>
      </c>
      <c r="AJ201" s="21" t="n">
        <v>0</v>
      </c>
      <c r="AK201" s="21" t="n">
        <v>0</v>
      </c>
      <c r="AL201" s="21" t="n">
        <v>0</v>
      </c>
      <c r="AM201" s="21" t="n">
        <v>0</v>
      </c>
      <c r="AN201" s="21" t="n">
        <v>0</v>
      </c>
      <c r="AO201" s="21" t="n">
        <v>0</v>
      </c>
      <c r="AP201" s="21" t="n">
        <v>0</v>
      </c>
      <c r="AQ201" s="21" t="n">
        <v>0</v>
      </c>
      <c r="AR201" s="21" t="n">
        <v>0</v>
      </c>
      <c r="AS201" s="21" t="n">
        <v>0</v>
      </c>
      <c r="AT201" s="21" t="n">
        <v>0</v>
      </c>
      <c r="AU201" s="21" t="n">
        <v>0</v>
      </c>
      <c r="AV201" s="21" t="n">
        <v>0</v>
      </c>
      <c r="AW201" s="21" t="n">
        <v>0</v>
      </c>
      <c r="AX201" s="21" t="n">
        <v>0</v>
      </c>
      <c r="AY201" s="21" t="n">
        <v>0</v>
      </c>
      <c r="AZ201" s="21" t="n">
        <v>0</v>
      </c>
      <c r="BA201" s="21" t="n">
        <v>0</v>
      </c>
      <c r="BB201" s="21" t="n">
        <v>0</v>
      </c>
      <c r="BC201" s="21" t="n">
        <v>0</v>
      </c>
    </row>
    <row r="202" customFormat="false" ht="15" hidden="false" customHeight="false" outlineLevel="1" collapsed="false">
      <c r="A202" s="22" t="n">
        <v>198</v>
      </c>
      <c r="B202" s="22" t="s">
        <v>503</v>
      </c>
      <c r="C202" s="22" t="n">
        <v>2</v>
      </c>
      <c r="D202" s="22" t="s">
        <v>89</v>
      </c>
      <c r="E202" s="23" t="s">
        <v>504</v>
      </c>
      <c r="F202" s="22" t="s">
        <v>502</v>
      </c>
      <c r="G202" s="22" t="s">
        <v>157</v>
      </c>
      <c r="H202" s="22"/>
      <c r="I202" s="22"/>
      <c r="J202" s="22" t="n">
        <f aca="false">NETWORKDAYS(K202,L202,Assumptions!$F$4:$F$44)</f>
        <v>59</v>
      </c>
      <c r="K202" s="24" t="n">
        <f aca="false">MIN(K203:K204)</f>
        <v>46469</v>
      </c>
      <c r="L202" s="24" t="n">
        <f aca="false">MAX(L203:L204)</f>
        <v>46549</v>
      </c>
      <c r="M202" s="22"/>
      <c r="N202" s="25" t="n">
        <f aca="false">SUMPRODUCT(($C$203:$C$204=3)*(N203:N204))</f>
        <v>0</v>
      </c>
      <c r="O202" s="25" t="n">
        <f aca="false">SUMPRODUCT(($C$203:$C$204=3)*(O203:O204))</f>
        <v>0</v>
      </c>
      <c r="P202" s="25" t="n">
        <f aca="false">SUMPRODUCT(($C$203:$C$204=3)*(P203:P204))</f>
        <v>0</v>
      </c>
      <c r="Q202" s="25" t="n">
        <f aca="false">SUMPRODUCT(($C$203:$C$204=3)*(Q203:Q204))</f>
        <v>10</v>
      </c>
      <c r="R202" s="25" t="n">
        <f aca="false">SUMPRODUCT(($C$203:$C$204=3)*(R203:R204))</f>
        <v>6</v>
      </c>
      <c r="S202" s="25" t="n">
        <f aca="false">SUMPRODUCT(($C$203:$C$204=3)*(S203:S204))</f>
        <v>0</v>
      </c>
      <c r="T202" s="25" t="n">
        <f aca="false">SUMPRODUCT(($C$203:$C$204=3)*(T203:T204))</f>
        <v>31</v>
      </c>
      <c r="U202" s="25" t="n">
        <f aca="false">SUMPRODUCT(($C$203:$C$204=3)*(U203:U204))</f>
        <v>0</v>
      </c>
      <c r="V202" s="25" t="n">
        <f aca="false">SUMPRODUCT(($C$203:$C$204=3)*(V203:V204))</f>
        <v>4</v>
      </c>
      <c r="W202" s="25" t="n">
        <f aca="false">SUMPRODUCT(($C$203:$C$204=3)*(W203:W204))</f>
        <v>3</v>
      </c>
      <c r="X202" s="25" t="n">
        <f aca="false">SUMPRODUCT(($C$203:$C$204=3)*(X203:X204))</f>
        <v>0</v>
      </c>
      <c r="Y202" s="25" t="n">
        <f aca="false">SUM(N202:X202)</f>
        <v>54</v>
      </c>
      <c r="Z202" s="25" t="n">
        <f aca="false">Y202*(1+Assumptions!$C$5)</f>
        <v>62.1</v>
      </c>
      <c r="AA202" s="22"/>
      <c r="AB202" s="22"/>
      <c r="AC202" s="22"/>
      <c r="AD202" s="26"/>
      <c r="AF202" s="21" t="n">
        <v>0</v>
      </c>
      <c r="AG202" s="21" t="n">
        <v>0</v>
      </c>
      <c r="AH202" s="21" t="n">
        <v>0</v>
      </c>
      <c r="AI202" s="21" t="n">
        <v>0</v>
      </c>
      <c r="AJ202" s="21" t="n">
        <v>0</v>
      </c>
      <c r="AK202" s="21" t="n">
        <v>0</v>
      </c>
      <c r="AL202" s="21" t="n">
        <v>0</v>
      </c>
      <c r="AM202" s="21" t="n">
        <v>0</v>
      </c>
      <c r="AN202" s="21" t="n">
        <v>0</v>
      </c>
      <c r="AO202" s="21" t="n">
        <v>0</v>
      </c>
      <c r="AP202" s="21" t="n">
        <v>0</v>
      </c>
      <c r="AQ202" s="21" t="n">
        <v>0</v>
      </c>
      <c r="AR202" s="21" t="n">
        <v>0</v>
      </c>
      <c r="AS202" s="21" t="n">
        <v>0</v>
      </c>
      <c r="AT202" s="21" t="n">
        <v>0</v>
      </c>
      <c r="AU202" s="21" t="n">
        <v>0</v>
      </c>
      <c r="AV202" s="21" t="n">
        <v>0</v>
      </c>
      <c r="AW202" s="21" t="n">
        <v>0</v>
      </c>
      <c r="AX202" s="21" t="n">
        <v>0</v>
      </c>
      <c r="AY202" s="21" t="n">
        <v>0</v>
      </c>
      <c r="AZ202" s="21" t="n">
        <v>0</v>
      </c>
      <c r="BA202" s="21" t="n">
        <v>0</v>
      </c>
      <c r="BB202" s="21" t="n">
        <v>0</v>
      </c>
      <c r="BC202" s="21" t="n">
        <v>0</v>
      </c>
    </row>
    <row r="203" customFormat="false" ht="15" hidden="false" customHeight="false" outlineLevel="2" collapsed="false">
      <c r="A203" s="27" t="n">
        <v>199</v>
      </c>
      <c r="B203" s="27" t="s">
        <v>505</v>
      </c>
      <c r="C203" s="27" t="n">
        <v>3</v>
      </c>
      <c r="D203" s="27" t="s">
        <v>92</v>
      </c>
      <c r="E203" s="28" t="s">
        <v>506</v>
      </c>
      <c r="F203" s="27" t="s">
        <v>502</v>
      </c>
      <c r="G203" s="27" t="s">
        <v>157</v>
      </c>
      <c r="H203" s="27" t="s">
        <v>53</v>
      </c>
      <c r="I203" s="29" t="n">
        <v>101</v>
      </c>
      <c r="J203" s="29" t="n">
        <v>59</v>
      </c>
      <c r="K203" s="30" t="n">
        <f aca="false">WORKDAY(Assumptions!$C$4,I203,Assumptions!$F$4:$F$44)</f>
        <v>46469</v>
      </c>
      <c r="L203" s="30" t="n">
        <f aca="false">IF(J203=0,K203,WORKDAY(K203,J203-1,Assumptions!$F$4:$F$44))</f>
        <v>46549</v>
      </c>
      <c r="M203" s="29"/>
      <c r="N203" s="31" t="n">
        <v>0</v>
      </c>
      <c r="O203" s="31" t="n">
        <v>0</v>
      </c>
      <c r="P203" s="31" t="n">
        <v>0</v>
      </c>
      <c r="Q203" s="31" t="n">
        <v>6</v>
      </c>
      <c r="R203" s="31" t="n">
        <v>6</v>
      </c>
      <c r="S203" s="31" t="n">
        <v>0</v>
      </c>
      <c r="T203" s="31" t="n">
        <v>25</v>
      </c>
      <c r="U203" s="31" t="n">
        <v>0</v>
      </c>
      <c r="V203" s="31" t="n">
        <v>4</v>
      </c>
      <c r="W203" s="31" t="n">
        <v>0</v>
      </c>
      <c r="X203" s="31" t="n">
        <v>0</v>
      </c>
      <c r="Y203" s="32" t="n">
        <f aca="false">SUM(N203:X203)</f>
        <v>41</v>
      </c>
      <c r="Z203" s="32" t="n">
        <f aca="false">Y203*(1+Assumptions!$C$5)</f>
        <v>47.15</v>
      </c>
      <c r="AA203" s="27" t="s">
        <v>507</v>
      </c>
      <c r="AB203" s="27" t="s">
        <v>95</v>
      </c>
      <c r="AC203" s="27"/>
      <c r="AD203" s="33" t="n">
        <v>0</v>
      </c>
      <c r="AF203" s="21" t="n">
        <f aca="false">IF($J203=0,0,MAX(0,NETWORKDAYS(MAX($K203,AF$4),MIN($L203,EOMONTH(AF$4,0)),Assumptions!$F$4:$F$44))/NETWORKDAYS($K203,$L203,Assumptions!$F$4:$F$44))</f>
        <v>0</v>
      </c>
      <c r="AG203" s="21" t="n">
        <f aca="false">IF($J203=0,0,MAX(0,NETWORKDAYS(MAX($K203,AG$4),MIN($L203,EOMONTH(AG$4,0)),Assumptions!$F$4:$F$44))/NETWORKDAYS($K203,$L203,Assumptions!$F$4:$F$44))</f>
        <v>0</v>
      </c>
      <c r="AH203" s="21" t="n">
        <f aca="false">IF($J203=0,0,MAX(0,NETWORKDAYS(MAX($K203,AH$4),MIN($L203,EOMONTH(AH$4,0)),Assumptions!$F$4:$F$44))/NETWORKDAYS($K203,$L203,Assumptions!$F$4:$F$44))</f>
        <v>0</v>
      </c>
      <c r="AI203" s="21" t="n">
        <f aca="false">IF($J203=0,0,MAX(0,NETWORKDAYS(MAX($K203,AI$4),MIN($L203,EOMONTH(AI$4,0)),Assumptions!$F$4:$F$44))/NETWORKDAYS($K203,$L203,Assumptions!$F$4:$F$44))</f>
        <v>0</v>
      </c>
      <c r="AJ203" s="21" t="n">
        <f aca="false">IF($J203=0,0,MAX(0,NETWORKDAYS(MAX($K203,AJ$4),MIN($L203,EOMONTH(AJ$4,0)),Assumptions!$F$4:$F$44))/NETWORKDAYS($K203,$L203,Assumptions!$F$4:$F$44))</f>
        <v>0.11864406779661</v>
      </c>
      <c r="AK203" s="21" t="n">
        <f aca="false">IF($J203=0,0,MAX(0,NETWORKDAYS(MAX($K203,AK$4),MIN($L203,EOMONTH(AK$4,0)),Assumptions!$F$4:$F$44))/NETWORKDAYS($K203,$L203,Assumptions!$F$4:$F$44))</f>
        <v>0.372881355932203</v>
      </c>
      <c r="AL203" s="21" t="n">
        <f aca="false">IF($J203=0,0,MAX(0,NETWORKDAYS(MAX($K203,AL$4),MIN($L203,EOMONTH(AL$4,0)),Assumptions!$F$4:$F$44))/NETWORKDAYS($K203,$L203,Assumptions!$F$4:$F$44))</f>
        <v>0.355932203389831</v>
      </c>
      <c r="AM203" s="21" t="n">
        <f aca="false">IF($J203=0,0,MAX(0,NETWORKDAYS(MAX($K203,AM$4),MIN($L203,EOMONTH(AM$4,0)),Assumptions!$F$4:$F$44))/NETWORKDAYS($K203,$L203,Assumptions!$F$4:$F$44))</f>
        <v>0.152542372881356</v>
      </c>
      <c r="AN203" s="21" t="n">
        <f aca="false">IF($J203=0,0,MAX(0,NETWORKDAYS(MAX($K203,AN$4),MIN($L203,EOMONTH(AN$4,0)),Assumptions!$F$4:$F$44))/NETWORKDAYS($K203,$L203,Assumptions!$F$4:$F$44))</f>
        <v>0</v>
      </c>
      <c r="AO203" s="21" t="n">
        <f aca="false">IF($J203=0,0,MAX(0,NETWORKDAYS(MAX($K203,AO$4),MIN($L203,EOMONTH(AO$4,0)),Assumptions!$F$4:$F$44))/NETWORKDAYS($K203,$L203,Assumptions!$F$4:$F$44))</f>
        <v>0</v>
      </c>
      <c r="AP203" s="21" t="n">
        <f aca="false">IF($J203=0,0,MAX(0,NETWORKDAYS(MAX($K203,AP$4),MIN($L203,EOMONTH(AP$4,0)),Assumptions!$F$4:$F$44))/NETWORKDAYS($K203,$L203,Assumptions!$F$4:$F$44))</f>
        <v>0</v>
      </c>
      <c r="AQ203" s="21" t="n">
        <f aca="false">IF($J203=0,0,MAX(0,NETWORKDAYS(MAX($K203,AQ$4),MIN($L203,EOMONTH(AQ$4,0)),Assumptions!$F$4:$F$44))/NETWORKDAYS($K203,$L203,Assumptions!$F$4:$F$44))</f>
        <v>0</v>
      </c>
      <c r="AR203" s="21" t="n">
        <f aca="false">IF($J203=0,0,MAX(0,NETWORKDAYS(MAX($K203,AR$4),MIN($L203,EOMONTH(AR$4,0)),Assumptions!$F$4:$F$44))/NETWORKDAYS($K203,$L203,Assumptions!$F$4:$F$44))</f>
        <v>0</v>
      </c>
      <c r="AS203" s="21" t="n">
        <f aca="false">IF($J203=0,0,MAX(0,NETWORKDAYS(MAX($K203,AS$4),MIN($L203,EOMONTH(AS$4,0)),Assumptions!$F$4:$F$44))/NETWORKDAYS($K203,$L203,Assumptions!$F$4:$F$44))</f>
        <v>0</v>
      </c>
      <c r="AT203" s="21" t="n">
        <f aca="false">IF($J203=0,0,MAX(0,NETWORKDAYS(MAX($K203,AT$4),MIN($L203,EOMONTH(AT$4,0)),Assumptions!$F$4:$F$44))/NETWORKDAYS($K203,$L203,Assumptions!$F$4:$F$44))</f>
        <v>0</v>
      </c>
      <c r="AU203" s="21" t="n">
        <f aca="false">IF($J203=0,0,MAX(0,NETWORKDAYS(MAX($K203,AU$4),MIN($L203,EOMONTH(AU$4,0)),Assumptions!$F$4:$F$44))/NETWORKDAYS($K203,$L203,Assumptions!$F$4:$F$44))</f>
        <v>0</v>
      </c>
      <c r="AV203" s="21" t="n">
        <f aca="false">IF($J203=0,0,MAX(0,NETWORKDAYS(MAX($K203,AV$4),MIN($L203,EOMONTH(AV$4,0)),Assumptions!$F$4:$F$44))/NETWORKDAYS($K203,$L203,Assumptions!$F$4:$F$44))</f>
        <v>0</v>
      </c>
      <c r="AW203" s="21" t="n">
        <f aca="false">IF($J203=0,0,MAX(0,NETWORKDAYS(MAX($K203,AW$4),MIN($L203,EOMONTH(AW$4,0)),Assumptions!$F$4:$F$44))/NETWORKDAYS($K203,$L203,Assumptions!$F$4:$F$44))</f>
        <v>0</v>
      </c>
      <c r="AX203" s="21" t="n">
        <f aca="false">IF($J203=0,0,MAX(0,NETWORKDAYS(MAX($K203,AX$4),MIN($L203,EOMONTH(AX$4,0)),Assumptions!$F$4:$F$44))/NETWORKDAYS($K203,$L203,Assumptions!$F$4:$F$44))</f>
        <v>0</v>
      </c>
      <c r="AY203" s="21" t="n">
        <f aca="false">IF($J203=0,0,MAX(0,NETWORKDAYS(MAX($K203,AY$4),MIN($L203,EOMONTH(AY$4,0)),Assumptions!$F$4:$F$44))/NETWORKDAYS($K203,$L203,Assumptions!$F$4:$F$44))</f>
        <v>0</v>
      </c>
      <c r="AZ203" s="21" t="n">
        <f aca="false">IF($J203=0,0,MAX(0,NETWORKDAYS(MAX($K203,AZ$4),MIN($L203,EOMONTH(AZ$4,0)),Assumptions!$F$4:$F$44))/NETWORKDAYS($K203,$L203,Assumptions!$F$4:$F$44))</f>
        <v>0</v>
      </c>
      <c r="BA203" s="21" t="n">
        <f aca="false">IF($J203=0,0,MAX(0,NETWORKDAYS(MAX($K203,BA$4),MIN($L203,EOMONTH(BA$4,0)),Assumptions!$F$4:$F$44))/NETWORKDAYS($K203,$L203,Assumptions!$F$4:$F$44))</f>
        <v>0</v>
      </c>
      <c r="BB203" s="21" t="n">
        <f aca="false">IF($J203=0,0,MAX(0,NETWORKDAYS(MAX($K203,BB$4),MIN($L203,EOMONTH(BB$4,0)),Assumptions!$F$4:$F$44))/NETWORKDAYS($K203,$L203,Assumptions!$F$4:$F$44))</f>
        <v>0</v>
      </c>
      <c r="BC203" s="21" t="n">
        <f aca="false">IF($J203=0,0,MAX(0,NETWORKDAYS(MAX($K203,BC$4),MIN($L203,EOMONTH(BC$4,0)),Assumptions!$F$4:$F$44))/NETWORKDAYS($K203,$L203,Assumptions!$F$4:$F$44))</f>
        <v>0</v>
      </c>
    </row>
    <row r="204" customFormat="false" ht="15" hidden="false" customHeight="false" outlineLevel="2" collapsed="false">
      <c r="A204" s="27" t="n">
        <v>200</v>
      </c>
      <c r="B204" s="27" t="s">
        <v>508</v>
      </c>
      <c r="C204" s="27" t="n">
        <v>3</v>
      </c>
      <c r="D204" s="27" t="s">
        <v>92</v>
      </c>
      <c r="E204" s="28" t="s">
        <v>509</v>
      </c>
      <c r="F204" s="27" t="s">
        <v>502</v>
      </c>
      <c r="G204" s="27" t="s">
        <v>157</v>
      </c>
      <c r="H204" s="27" t="s">
        <v>53</v>
      </c>
      <c r="I204" s="29" t="n">
        <v>101</v>
      </c>
      <c r="J204" s="29" t="n">
        <v>59</v>
      </c>
      <c r="K204" s="30" t="n">
        <f aca="false">WORKDAY(Assumptions!$C$4,I204,Assumptions!$F$4:$F$44)</f>
        <v>46469</v>
      </c>
      <c r="L204" s="30" t="n">
        <f aca="false">IF(J204=0,K204,WORKDAY(K204,J204-1,Assumptions!$F$4:$F$44))</f>
        <v>46549</v>
      </c>
      <c r="M204" s="29"/>
      <c r="N204" s="31" t="n">
        <v>0</v>
      </c>
      <c r="O204" s="31" t="n">
        <v>0</v>
      </c>
      <c r="P204" s="31" t="n">
        <v>0</v>
      </c>
      <c r="Q204" s="31" t="n">
        <v>4</v>
      </c>
      <c r="R204" s="31" t="n">
        <v>0</v>
      </c>
      <c r="S204" s="31" t="n">
        <v>0</v>
      </c>
      <c r="T204" s="31" t="n">
        <v>6</v>
      </c>
      <c r="U204" s="31" t="n">
        <v>0</v>
      </c>
      <c r="V204" s="31" t="n">
        <v>0</v>
      </c>
      <c r="W204" s="31" t="n">
        <v>3</v>
      </c>
      <c r="X204" s="31" t="n">
        <v>0</v>
      </c>
      <c r="Y204" s="32" t="n">
        <f aca="false">SUM(N204:X204)</f>
        <v>13</v>
      </c>
      <c r="Z204" s="32" t="n">
        <f aca="false">Y204*(1+Assumptions!$C$5)</f>
        <v>14.95</v>
      </c>
      <c r="AA204" s="27" t="s">
        <v>507</v>
      </c>
      <c r="AB204" s="27" t="s">
        <v>95</v>
      </c>
      <c r="AC204" s="27"/>
      <c r="AD204" s="33" t="n">
        <v>0</v>
      </c>
      <c r="AF204" s="21" t="n">
        <f aca="false">IF($J204=0,0,MAX(0,NETWORKDAYS(MAX($K204,AF$4),MIN($L204,EOMONTH(AF$4,0)),Assumptions!$F$4:$F$44))/NETWORKDAYS($K204,$L204,Assumptions!$F$4:$F$44))</f>
        <v>0</v>
      </c>
      <c r="AG204" s="21" t="n">
        <f aca="false">IF($J204=0,0,MAX(0,NETWORKDAYS(MAX($K204,AG$4),MIN($L204,EOMONTH(AG$4,0)),Assumptions!$F$4:$F$44))/NETWORKDAYS($K204,$L204,Assumptions!$F$4:$F$44))</f>
        <v>0</v>
      </c>
      <c r="AH204" s="21" t="n">
        <f aca="false">IF($J204=0,0,MAX(0,NETWORKDAYS(MAX($K204,AH$4),MIN($L204,EOMONTH(AH$4,0)),Assumptions!$F$4:$F$44))/NETWORKDAYS($K204,$L204,Assumptions!$F$4:$F$44))</f>
        <v>0</v>
      </c>
      <c r="AI204" s="21" t="n">
        <f aca="false">IF($J204=0,0,MAX(0,NETWORKDAYS(MAX($K204,AI$4),MIN($L204,EOMONTH(AI$4,0)),Assumptions!$F$4:$F$44))/NETWORKDAYS($K204,$L204,Assumptions!$F$4:$F$44))</f>
        <v>0</v>
      </c>
      <c r="AJ204" s="21" t="n">
        <f aca="false">IF($J204=0,0,MAX(0,NETWORKDAYS(MAX($K204,AJ$4),MIN($L204,EOMONTH(AJ$4,0)),Assumptions!$F$4:$F$44))/NETWORKDAYS($K204,$L204,Assumptions!$F$4:$F$44))</f>
        <v>0.11864406779661</v>
      </c>
      <c r="AK204" s="21" t="n">
        <f aca="false">IF($J204=0,0,MAX(0,NETWORKDAYS(MAX($K204,AK$4),MIN($L204,EOMONTH(AK$4,0)),Assumptions!$F$4:$F$44))/NETWORKDAYS($K204,$L204,Assumptions!$F$4:$F$44))</f>
        <v>0.372881355932203</v>
      </c>
      <c r="AL204" s="21" t="n">
        <f aca="false">IF($J204=0,0,MAX(0,NETWORKDAYS(MAX($K204,AL$4),MIN($L204,EOMONTH(AL$4,0)),Assumptions!$F$4:$F$44))/NETWORKDAYS($K204,$L204,Assumptions!$F$4:$F$44))</f>
        <v>0.355932203389831</v>
      </c>
      <c r="AM204" s="21" t="n">
        <f aca="false">IF($J204=0,0,MAX(0,NETWORKDAYS(MAX($K204,AM$4),MIN($L204,EOMONTH(AM$4,0)),Assumptions!$F$4:$F$44))/NETWORKDAYS($K204,$L204,Assumptions!$F$4:$F$44))</f>
        <v>0.152542372881356</v>
      </c>
      <c r="AN204" s="21" t="n">
        <f aca="false">IF($J204=0,0,MAX(0,NETWORKDAYS(MAX($K204,AN$4),MIN($L204,EOMONTH(AN$4,0)),Assumptions!$F$4:$F$44))/NETWORKDAYS($K204,$L204,Assumptions!$F$4:$F$44))</f>
        <v>0</v>
      </c>
      <c r="AO204" s="21" t="n">
        <f aca="false">IF($J204=0,0,MAX(0,NETWORKDAYS(MAX($K204,AO$4),MIN($L204,EOMONTH(AO$4,0)),Assumptions!$F$4:$F$44))/NETWORKDAYS($K204,$L204,Assumptions!$F$4:$F$44))</f>
        <v>0</v>
      </c>
      <c r="AP204" s="21" t="n">
        <f aca="false">IF($J204=0,0,MAX(0,NETWORKDAYS(MAX($K204,AP$4),MIN($L204,EOMONTH(AP$4,0)),Assumptions!$F$4:$F$44))/NETWORKDAYS($K204,$L204,Assumptions!$F$4:$F$44))</f>
        <v>0</v>
      </c>
      <c r="AQ204" s="21" t="n">
        <f aca="false">IF($J204=0,0,MAX(0,NETWORKDAYS(MAX($K204,AQ$4),MIN($L204,EOMONTH(AQ$4,0)),Assumptions!$F$4:$F$44))/NETWORKDAYS($K204,$L204,Assumptions!$F$4:$F$44))</f>
        <v>0</v>
      </c>
      <c r="AR204" s="21" t="n">
        <f aca="false">IF($J204=0,0,MAX(0,NETWORKDAYS(MAX($K204,AR$4),MIN($L204,EOMONTH(AR$4,0)),Assumptions!$F$4:$F$44))/NETWORKDAYS($K204,$L204,Assumptions!$F$4:$F$44))</f>
        <v>0</v>
      </c>
      <c r="AS204" s="21" t="n">
        <f aca="false">IF($J204=0,0,MAX(0,NETWORKDAYS(MAX($K204,AS$4),MIN($L204,EOMONTH(AS$4,0)),Assumptions!$F$4:$F$44))/NETWORKDAYS($K204,$L204,Assumptions!$F$4:$F$44))</f>
        <v>0</v>
      </c>
      <c r="AT204" s="21" t="n">
        <f aca="false">IF($J204=0,0,MAX(0,NETWORKDAYS(MAX($K204,AT$4),MIN($L204,EOMONTH(AT$4,0)),Assumptions!$F$4:$F$44))/NETWORKDAYS($K204,$L204,Assumptions!$F$4:$F$44))</f>
        <v>0</v>
      </c>
      <c r="AU204" s="21" t="n">
        <f aca="false">IF($J204=0,0,MAX(0,NETWORKDAYS(MAX($K204,AU$4),MIN($L204,EOMONTH(AU$4,0)),Assumptions!$F$4:$F$44))/NETWORKDAYS($K204,$L204,Assumptions!$F$4:$F$44))</f>
        <v>0</v>
      </c>
      <c r="AV204" s="21" t="n">
        <f aca="false">IF($J204=0,0,MAX(0,NETWORKDAYS(MAX($K204,AV$4),MIN($L204,EOMONTH(AV$4,0)),Assumptions!$F$4:$F$44))/NETWORKDAYS($K204,$L204,Assumptions!$F$4:$F$44))</f>
        <v>0</v>
      </c>
      <c r="AW204" s="21" t="n">
        <f aca="false">IF($J204=0,0,MAX(0,NETWORKDAYS(MAX($K204,AW$4),MIN($L204,EOMONTH(AW$4,0)),Assumptions!$F$4:$F$44))/NETWORKDAYS($K204,$L204,Assumptions!$F$4:$F$44))</f>
        <v>0</v>
      </c>
      <c r="AX204" s="21" t="n">
        <f aca="false">IF($J204=0,0,MAX(0,NETWORKDAYS(MAX($K204,AX$4),MIN($L204,EOMONTH(AX$4,0)),Assumptions!$F$4:$F$44))/NETWORKDAYS($K204,$L204,Assumptions!$F$4:$F$44))</f>
        <v>0</v>
      </c>
      <c r="AY204" s="21" t="n">
        <f aca="false">IF($J204=0,0,MAX(0,NETWORKDAYS(MAX($K204,AY$4),MIN($L204,EOMONTH(AY$4,0)),Assumptions!$F$4:$F$44))/NETWORKDAYS($K204,$L204,Assumptions!$F$4:$F$44))</f>
        <v>0</v>
      </c>
      <c r="AZ204" s="21" t="n">
        <f aca="false">IF($J204=0,0,MAX(0,NETWORKDAYS(MAX($K204,AZ$4),MIN($L204,EOMONTH(AZ$4,0)),Assumptions!$F$4:$F$44))/NETWORKDAYS($K204,$L204,Assumptions!$F$4:$F$44))</f>
        <v>0</v>
      </c>
      <c r="BA204" s="21" t="n">
        <f aca="false">IF($J204=0,0,MAX(0,NETWORKDAYS(MAX($K204,BA$4),MIN($L204,EOMONTH(BA$4,0)),Assumptions!$F$4:$F$44))/NETWORKDAYS($K204,$L204,Assumptions!$F$4:$F$44))</f>
        <v>0</v>
      </c>
      <c r="BB204" s="21" t="n">
        <f aca="false">IF($J204=0,0,MAX(0,NETWORKDAYS(MAX($K204,BB$4),MIN($L204,EOMONTH(BB$4,0)),Assumptions!$F$4:$F$44))/NETWORKDAYS($K204,$L204,Assumptions!$F$4:$F$44))</f>
        <v>0</v>
      </c>
      <c r="BC204" s="21" t="n">
        <f aca="false">IF($J204=0,0,MAX(0,NETWORKDAYS(MAX($K204,BC$4),MIN($L204,EOMONTH(BC$4,0)),Assumptions!$F$4:$F$44))/NETWORKDAYS($K204,$L204,Assumptions!$F$4:$F$44))</f>
        <v>0</v>
      </c>
    </row>
    <row r="205" customFormat="false" ht="15" hidden="false" customHeight="false" outlineLevel="1" collapsed="false">
      <c r="A205" s="22" t="n">
        <v>201</v>
      </c>
      <c r="B205" s="22" t="s">
        <v>510</v>
      </c>
      <c r="C205" s="22" t="n">
        <v>2</v>
      </c>
      <c r="D205" s="22" t="s">
        <v>89</v>
      </c>
      <c r="E205" s="23" t="s">
        <v>511</v>
      </c>
      <c r="F205" s="22" t="s">
        <v>502</v>
      </c>
      <c r="G205" s="22" t="s">
        <v>512</v>
      </c>
      <c r="H205" s="22"/>
      <c r="I205" s="22"/>
      <c r="J205" s="22" t="n">
        <f aca="false">NETWORKDAYS(K205,L205,Assumptions!$F$4:$F$44)</f>
        <v>119</v>
      </c>
      <c r="K205" s="24" t="n">
        <f aca="false">MIN(K206:K222)</f>
        <v>46450</v>
      </c>
      <c r="L205" s="24" t="n">
        <f aca="false">MAX(L206:L222)</f>
        <v>46616</v>
      </c>
      <c r="M205" s="22"/>
      <c r="N205" s="25" t="n">
        <f aca="false">SUMPRODUCT(($C$206:$C$222=3)*(N206:N222))</f>
        <v>1</v>
      </c>
      <c r="O205" s="25" t="n">
        <f aca="false">SUMPRODUCT(($C$206:$C$222=3)*(O206:O222))</f>
        <v>33</v>
      </c>
      <c r="P205" s="25" t="n">
        <f aca="false">SUMPRODUCT(($C$206:$C$222=3)*(P206:P222))</f>
        <v>9</v>
      </c>
      <c r="Q205" s="25" t="n">
        <f aca="false">SUMPRODUCT(($C$206:$C$222=3)*(Q206:Q222))</f>
        <v>103</v>
      </c>
      <c r="R205" s="25" t="n">
        <f aca="false">SUMPRODUCT(($C$206:$C$222=3)*(R206:R222))</f>
        <v>67</v>
      </c>
      <c r="S205" s="25" t="n">
        <f aca="false">SUMPRODUCT(($C$206:$C$222=3)*(S206:S222))</f>
        <v>24</v>
      </c>
      <c r="T205" s="25" t="n">
        <f aca="false">SUMPRODUCT(($C$206:$C$222=3)*(T206:T222))</f>
        <v>13</v>
      </c>
      <c r="U205" s="25" t="n">
        <f aca="false">SUMPRODUCT(($C$206:$C$222=3)*(U206:U222))</f>
        <v>0</v>
      </c>
      <c r="V205" s="25" t="n">
        <f aca="false">SUMPRODUCT(($C$206:$C$222=3)*(V206:V222))</f>
        <v>40</v>
      </c>
      <c r="W205" s="25" t="n">
        <f aca="false">SUMPRODUCT(($C$206:$C$222=3)*(W206:W222))</f>
        <v>16</v>
      </c>
      <c r="X205" s="25" t="n">
        <f aca="false">SUMPRODUCT(($C$206:$C$222=3)*(X206:X222))</f>
        <v>8</v>
      </c>
      <c r="Y205" s="25" t="n">
        <f aca="false">SUM(N205:X205)</f>
        <v>314</v>
      </c>
      <c r="Z205" s="25" t="n">
        <f aca="false">Y205*(1+Assumptions!$C$5)</f>
        <v>361.1</v>
      </c>
      <c r="AA205" s="22" t="s">
        <v>513</v>
      </c>
      <c r="AB205" s="22"/>
      <c r="AC205" s="22"/>
      <c r="AD205" s="26"/>
      <c r="AF205" s="21" t="n">
        <v>0</v>
      </c>
      <c r="AG205" s="21" t="n">
        <v>0</v>
      </c>
      <c r="AH205" s="21" t="n">
        <v>0</v>
      </c>
      <c r="AI205" s="21" t="n">
        <v>0</v>
      </c>
      <c r="AJ205" s="21" t="n">
        <v>0</v>
      </c>
      <c r="AK205" s="21" t="n">
        <v>0</v>
      </c>
      <c r="AL205" s="21" t="n">
        <v>0</v>
      </c>
      <c r="AM205" s="21" t="n">
        <v>0</v>
      </c>
      <c r="AN205" s="21" t="n">
        <v>0</v>
      </c>
      <c r="AO205" s="21" t="n">
        <v>0</v>
      </c>
      <c r="AP205" s="21" t="n">
        <v>0</v>
      </c>
      <c r="AQ205" s="21" t="n">
        <v>0</v>
      </c>
      <c r="AR205" s="21" t="n">
        <v>0</v>
      </c>
      <c r="AS205" s="21" t="n">
        <v>0</v>
      </c>
      <c r="AT205" s="21" t="n">
        <v>0</v>
      </c>
      <c r="AU205" s="21" t="n">
        <v>0</v>
      </c>
      <c r="AV205" s="21" t="n">
        <v>0</v>
      </c>
      <c r="AW205" s="21" t="n">
        <v>0</v>
      </c>
      <c r="AX205" s="21" t="n">
        <v>0</v>
      </c>
      <c r="AY205" s="21" t="n">
        <v>0</v>
      </c>
      <c r="AZ205" s="21" t="n">
        <v>0</v>
      </c>
      <c r="BA205" s="21" t="n">
        <v>0</v>
      </c>
      <c r="BB205" s="21" t="n">
        <v>0</v>
      </c>
      <c r="BC205" s="21" t="n">
        <v>0</v>
      </c>
    </row>
    <row r="206" customFormat="false" ht="15" hidden="false" customHeight="false" outlineLevel="2" collapsed="false">
      <c r="A206" s="27" t="n">
        <v>202</v>
      </c>
      <c r="B206" s="27" t="s">
        <v>514</v>
      </c>
      <c r="C206" s="27" t="n">
        <v>3</v>
      </c>
      <c r="D206" s="27" t="s">
        <v>92</v>
      </c>
      <c r="E206" s="28" t="s">
        <v>292</v>
      </c>
      <c r="F206" s="27" t="s">
        <v>502</v>
      </c>
      <c r="G206" s="27" t="s">
        <v>512</v>
      </c>
      <c r="H206" s="27" t="s">
        <v>43</v>
      </c>
      <c r="I206" s="29" t="n">
        <v>88</v>
      </c>
      <c r="J206" s="29" t="n">
        <v>16</v>
      </c>
      <c r="K206" s="30" t="n">
        <f aca="false">WORKDAY(Assumptions!$C$4,I206,Assumptions!$F$4:$F$44)</f>
        <v>46450</v>
      </c>
      <c r="L206" s="30" t="n">
        <f aca="false">IF(J206=0,K206,WORKDAY(K206,J206-1,Assumptions!$F$4:$F$44))</f>
        <v>46471</v>
      </c>
      <c r="M206" s="29" t="s">
        <v>515</v>
      </c>
      <c r="N206" s="31" t="n">
        <v>1</v>
      </c>
      <c r="O206" s="31" t="n">
        <v>10</v>
      </c>
      <c r="P206" s="31" t="n">
        <v>3</v>
      </c>
      <c r="Q206" s="31" t="n">
        <v>0</v>
      </c>
      <c r="R206" s="31" t="n">
        <v>0</v>
      </c>
      <c r="S206" s="31" t="n">
        <v>0</v>
      </c>
      <c r="T206" s="31" t="n">
        <v>0</v>
      </c>
      <c r="U206" s="31" t="n">
        <v>0</v>
      </c>
      <c r="V206" s="31" t="n">
        <v>0</v>
      </c>
      <c r="W206" s="31" t="n">
        <v>0</v>
      </c>
      <c r="X206" s="31" t="n">
        <v>0</v>
      </c>
      <c r="Y206" s="32" t="n">
        <f aca="false">SUM(N206:X206)</f>
        <v>14</v>
      </c>
      <c r="Z206" s="32" t="n">
        <f aca="false">Y206*(1+Assumptions!$C$5)</f>
        <v>16.1</v>
      </c>
      <c r="AA206" s="27" t="s">
        <v>294</v>
      </c>
      <c r="AB206" s="27" t="s">
        <v>95</v>
      </c>
      <c r="AC206" s="27"/>
      <c r="AD206" s="33" t="n">
        <v>0</v>
      </c>
      <c r="AF206" s="21" t="n">
        <f aca="false">IF($J206=0,0,MAX(0,NETWORKDAYS(MAX($K206,AF$4),MIN($L206,EOMONTH(AF$4,0)),Assumptions!$F$4:$F$44))/NETWORKDAYS($K206,$L206,Assumptions!$F$4:$F$44))</f>
        <v>0</v>
      </c>
      <c r="AG206" s="21" t="n">
        <f aca="false">IF($J206=0,0,MAX(0,NETWORKDAYS(MAX($K206,AG$4),MIN($L206,EOMONTH(AG$4,0)),Assumptions!$F$4:$F$44))/NETWORKDAYS($K206,$L206,Assumptions!$F$4:$F$44))</f>
        <v>0</v>
      </c>
      <c r="AH206" s="21" t="n">
        <f aca="false">IF($J206=0,0,MAX(0,NETWORKDAYS(MAX($K206,AH$4),MIN($L206,EOMONTH(AH$4,0)),Assumptions!$F$4:$F$44))/NETWORKDAYS($K206,$L206,Assumptions!$F$4:$F$44))</f>
        <v>0</v>
      </c>
      <c r="AI206" s="21" t="n">
        <f aca="false">IF($J206=0,0,MAX(0,NETWORKDAYS(MAX($K206,AI$4),MIN($L206,EOMONTH(AI$4,0)),Assumptions!$F$4:$F$44))/NETWORKDAYS($K206,$L206,Assumptions!$F$4:$F$44))</f>
        <v>0</v>
      </c>
      <c r="AJ206" s="21" t="n">
        <f aca="false">IF($J206=0,0,MAX(0,NETWORKDAYS(MAX($K206,AJ$4),MIN($L206,EOMONTH(AJ$4,0)),Assumptions!$F$4:$F$44))/NETWORKDAYS($K206,$L206,Assumptions!$F$4:$F$44))</f>
        <v>1</v>
      </c>
      <c r="AK206" s="21" t="n">
        <f aca="false">IF($J206=0,0,MAX(0,NETWORKDAYS(MAX($K206,AK$4),MIN($L206,EOMONTH(AK$4,0)),Assumptions!$F$4:$F$44))/NETWORKDAYS($K206,$L206,Assumptions!$F$4:$F$44))</f>
        <v>0</v>
      </c>
      <c r="AL206" s="21" t="n">
        <f aca="false">IF($J206=0,0,MAX(0,NETWORKDAYS(MAX($K206,AL$4),MIN($L206,EOMONTH(AL$4,0)),Assumptions!$F$4:$F$44))/NETWORKDAYS($K206,$L206,Assumptions!$F$4:$F$44))</f>
        <v>0</v>
      </c>
      <c r="AM206" s="21" t="n">
        <f aca="false">IF($J206=0,0,MAX(0,NETWORKDAYS(MAX($K206,AM$4),MIN($L206,EOMONTH(AM$4,0)),Assumptions!$F$4:$F$44))/NETWORKDAYS($K206,$L206,Assumptions!$F$4:$F$44))</f>
        <v>0</v>
      </c>
      <c r="AN206" s="21" t="n">
        <f aca="false">IF($J206=0,0,MAX(0,NETWORKDAYS(MAX($K206,AN$4),MIN($L206,EOMONTH(AN$4,0)),Assumptions!$F$4:$F$44))/NETWORKDAYS($K206,$L206,Assumptions!$F$4:$F$44))</f>
        <v>0</v>
      </c>
      <c r="AO206" s="21" t="n">
        <f aca="false">IF($J206=0,0,MAX(0,NETWORKDAYS(MAX($K206,AO$4),MIN($L206,EOMONTH(AO$4,0)),Assumptions!$F$4:$F$44))/NETWORKDAYS($K206,$L206,Assumptions!$F$4:$F$44))</f>
        <v>0</v>
      </c>
      <c r="AP206" s="21" t="n">
        <f aca="false">IF($J206=0,0,MAX(0,NETWORKDAYS(MAX($K206,AP$4),MIN($L206,EOMONTH(AP$4,0)),Assumptions!$F$4:$F$44))/NETWORKDAYS($K206,$L206,Assumptions!$F$4:$F$44))</f>
        <v>0</v>
      </c>
      <c r="AQ206" s="21" t="n">
        <f aca="false">IF($J206=0,0,MAX(0,NETWORKDAYS(MAX($K206,AQ$4),MIN($L206,EOMONTH(AQ$4,0)),Assumptions!$F$4:$F$44))/NETWORKDAYS($K206,$L206,Assumptions!$F$4:$F$44))</f>
        <v>0</v>
      </c>
      <c r="AR206" s="21" t="n">
        <f aca="false">IF($J206=0,0,MAX(0,NETWORKDAYS(MAX($K206,AR$4),MIN($L206,EOMONTH(AR$4,0)),Assumptions!$F$4:$F$44))/NETWORKDAYS($K206,$L206,Assumptions!$F$4:$F$44))</f>
        <v>0</v>
      </c>
      <c r="AS206" s="21" t="n">
        <f aca="false">IF($J206=0,0,MAX(0,NETWORKDAYS(MAX($K206,AS$4),MIN($L206,EOMONTH(AS$4,0)),Assumptions!$F$4:$F$44))/NETWORKDAYS($K206,$L206,Assumptions!$F$4:$F$44))</f>
        <v>0</v>
      </c>
      <c r="AT206" s="21" t="n">
        <f aca="false">IF($J206=0,0,MAX(0,NETWORKDAYS(MAX($K206,AT$4),MIN($L206,EOMONTH(AT$4,0)),Assumptions!$F$4:$F$44))/NETWORKDAYS($K206,$L206,Assumptions!$F$4:$F$44))</f>
        <v>0</v>
      </c>
      <c r="AU206" s="21" t="n">
        <f aca="false">IF($J206=0,0,MAX(0,NETWORKDAYS(MAX($K206,AU$4),MIN($L206,EOMONTH(AU$4,0)),Assumptions!$F$4:$F$44))/NETWORKDAYS($K206,$L206,Assumptions!$F$4:$F$44))</f>
        <v>0</v>
      </c>
      <c r="AV206" s="21" t="n">
        <f aca="false">IF($J206=0,0,MAX(0,NETWORKDAYS(MAX($K206,AV$4),MIN($L206,EOMONTH(AV$4,0)),Assumptions!$F$4:$F$44))/NETWORKDAYS($K206,$L206,Assumptions!$F$4:$F$44))</f>
        <v>0</v>
      </c>
      <c r="AW206" s="21" t="n">
        <f aca="false">IF($J206=0,0,MAX(0,NETWORKDAYS(MAX($K206,AW$4),MIN($L206,EOMONTH(AW$4,0)),Assumptions!$F$4:$F$44))/NETWORKDAYS($K206,$L206,Assumptions!$F$4:$F$44))</f>
        <v>0</v>
      </c>
      <c r="AX206" s="21" t="n">
        <f aca="false">IF($J206=0,0,MAX(0,NETWORKDAYS(MAX($K206,AX$4),MIN($L206,EOMONTH(AX$4,0)),Assumptions!$F$4:$F$44))/NETWORKDAYS($K206,$L206,Assumptions!$F$4:$F$44))</f>
        <v>0</v>
      </c>
      <c r="AY206" s="21" t="n">
        <f aca="false">IF($J206=0,0,MAX(0,NETWORKDAYS(MAX($K206,AY$4),MIN($L206,EOMONTH(AY$4,0)),Assumptions!$F$4:$F$44))/NETWORKDAYS($K206,$L206,Assumptions!$F$4:$F$44))</f>
        <v>0</v>
      </c>
      <c r="AZ206" s="21" t="n">
        <f aca="false">IF($J206=0,0,MAX(0,NETWORKDAYS(MAX($K206,AZ$4),MIN($L206,EOMONTH(AZ$4,0)),Assumptions!$F$4:$F$44))/NETWORKDAYS($K206,$L206,Assumptions!$F$4:$F$44))</f>
        <v>0</v>
      </c>
      <c r="BA206" s="21" t="n">
        <f aca="false">IF($J206=0,0,MAX(0,NETWORKDAYS(MAX($K206,BA$4),MIN($L206,EOMONTH(BA$4,0)),Assumptions!$F$4:$F$44))/NETWORKDAYS($K206,$L206,Assumptions!$F$4:$F$44))</f>
        <v>0</v>
      </c>
      <c r="BB206" s="21" t="n">
        <f aca="false">IF($J206=0,0,MAX(0,NETWORKDAYS(MAX($K206,BB$4),MIN($L206,EOMONTH(BB$4,0)),Assumptions!$F$4:$F$44))/NETWORKDAYS($K206,$L206,Assumptions!$F$4:$F$44))</f>
        <v>0</v>
      </c>
      <c r="BC206" s="21" t="n">
        <f aca="false">IF($J206=0,0,MAX(0,NETWORKDAYS(MAX($K206,BC$4),MIN($L206,EOMONTH(BC$4,0)),Assumptions!$F$4:$F$44))/NETWORKDAYS($K206,$L206,Assumptions!$F$4:$F$44))</f>
        <v>0</v>
      </c>
    </row>
    <row r="207" customFormat="false" ht="15" hidden="false" customHeight="false" outlineLevel="2" collapsed="false">
      <c r="A207" s="27" t="n">
        <v>203</v>
      </c>
      <c r="B207" s="27" t="s">
        <v>516</v>
      </c>
      <c r="C207" s="27" t="n">
        <v>3</v>
      </c>
      <c r="D207" s="27" t="s">
        <v>92</v>
      </c>
      <c r="E207" s="28" t="s">
        <v>296</v>
      </c>
      <c r="F207" s="27" t="s">
        <v>502</v>
      </c>
      <c r="G207" s="27" t="s">
        <v>512</v>
      </c>
      <c r="H207" s="27" t="s">
        <v>45</v>
      </c>
      <c r="I207" s="29" t="n">
        <v>99</v>
      </c>
      <c r="J207" s="29" t="n">
        <v>16</v>
      </c>
      <c r="K207" s="30" t="n">
        <f aca="false">WORKDAY(Assumptions!$C$4,I207,Assumptions!$F$4:$F$44)</f>
        <v>46465</v>
      </c>
      <c r="L207" s="30" t="n">
        <f aca="false">IF(J207=0,K207,WORKDAY(K207,J207-1,Assumptions!$F$4:$F$44))</f>
        <v>46486</v>
      </c>
      <c r="M207" s="29" t="s">
        <v>517</v>
      </c>
      <c r="N207" s="31" t="n">
        <v>0</v>
      </c>
      <c r="O207" s="31" t="n">
        <v>0</v>
      </c>
      <c r="P207" s="31" t="n">
        <v>6</v>
      </c>
      <c r="Q207" s="31" t="n">
        <v>6</v>
      </c>
      <c r="R207" s="31" t="n">
        <v>0</v>
      </c>
      <c r="S207" s="31" t="n">
        <v>0</v>
      </c>
      <c r="T207" s="31" t="n">
        <v>0</v>
      </c>
      <c r="U207" s="31" t="n">
        <v>0</v>
      </c>
      <c r="V207" s="31" t="n">
        <v>0</v>
      </c>
      <c r="W207" s="31" t="n">
        <v>0</v>
      </c>
      <c r="X207" s="31" t="n">
        <v>0</v>
      </c>
      <c r="Y207" s="32" t="n">
        <f aca="false">SUM(N207:X207)</f>
        <v>12</v>
      </c>
      <c r="Z207" s="32" t="n">
        <f aca="false">Y207*(1+Assumptions!$C$5)</f>
        <v>13.8</v>
      </c>
      <c r="AA207" s="27" t="s">
        <v>298</v>
      </c>
      <c r="AB207" s="27" t="s">
        <v>95</v>
      </c>
      <c r="AC207" s="27"/>
      <c r="AD207" s="33" t="n">
        <v>0</v>
      </c>
      <c r="AF207" s="21" t="n">
        <f aca="false">IF($J207=0,0,MAX(0,NETWORKDAYS(MAX($K207,AF$4),MIN($L207,EOMONTH(AF$4,0)),Assumptions!$F$4:$F$44))/NETWORKDAYS($K207,$L207,Assumptions!$F$4:$F$44))</f>
        <v>0</v>
      </c>
      <c r="AG207" s="21" t="n">
        <f aca="false">IF($J207=0,0,MAX(0,NETWORKDAYS(MAX($K207,AG$4),MIN($L207,EOMONTH(AG$4,0)),Assumptions!$F$4:$F$44))/NETWORKDAYS($K207,$L207,Assumptions!$F$4:$F$44))</f>
        <v>0</v>
      </c>
      <c r="AH207" s="21" t="n">
        <f aca="false">IF($J207=0,0,MAX(0,NETWORKDAYS(MAX($K207,AH$4),MIN($L207,EOMONTH(AH$4,0)),Assumptions!$F$4:$F$44))/NETWORKDAYS($K207,$L207,Assumptions!$F$4:$F$44))</f>
        <v>0</v>
      </c>
      <c r="AI207" s="21" t="n">
        <f aca="false">IF($J207=0,0,MAX(0,NETWORKDAYS(MAX($K207,AI$4),MIN($L207,EOMONTH(AI$4,0)),Assumptions!$F$4:$F$44))/NETWORKDAYS($K207,$L207,Assumptions!$F$4:$F$44))</f>
        <v>0</v>
      </c>
      <c r="AJ207" s="21" t="n">
        <f aca="false">IF($J207=0,0,MAX(0,NETWORKDAYS(MAX($K207,AJ$4),MIN($L207,EOMONTH(AJ$4,0)),Assumptions!$F$4:$F$44))/NETWORKDAYS($K207,$L207,Assumptions!$F$4:$F$44))</f>
        <v>0.5625</v>
      </c>
      <c r="AK207" s="21" t="n">
        <f aca="false">IF($J207=0,0,MAX(0,NETWORKDAYS(MAX($K207,AK$4),MIN($L207,EOMONTH(AK$4,0)),Assumptions!$F$4:$F$44))/NETWORKDAYS($K207,$L207,Assumptions!$F$4:$F$44))</f>
        <v>0.4375</v>
      </c>
      <c r="AL207" s="21" t="n">
        <f aca="false">IF($J207=0,0,MAX(0,NETWORKDAYS(MAX($K207,AL$4),MIN($L207,EOMONTH(AL$4,0)),Assumptions!$F$4:$F$44))/NETWORKDAYS($K207,$L207,Assumptions!$F$4:$F$44))</f>
        <v>0</v>
      </c>
      <c r="AM207" s="21" t="n">
        <f aca="false">IF($J207=0,0,MAX(0,NETWORKDAYS(MAX($K207,AM$4),MIN($L207,EOMONTH(AM$4,0)),Assumptions!$F$4:$F$44))/NETWORKDAYS($K207,$L207,Assumptions!$F$4:$F$44))</f>
        <v>0</v>
      </c>
      <c r="AN207" s="21" t="n">
        <f aca="false">IF($J207=0,0,MAX(0,NETWORKDAYS(MAX($K207,AN$4),MIN($L207,EOMONTH(AN$4,0)),Assumptions!$F$4:$F$44))/NETWORKDAYS($K207,$L207,Assumptions!$F$4:$F$44))</f>
        <v>0</v>
      </c>
      <c r="AO207" s="21" t="n">
        <f aca="false">IF($J207=0,0,MAX(0,NETWORKDAYS(MAX($K207,AO$4),MIN($L207,EOMONTH(AO$4,0)),Assumptions!$F$4:$F$44))/NETWORKDAYS($K207,$L207,Assumptions!$F$4:$F$44))</f>
        <v>0</v>
      </c>
      <c r="AP207" s="21" t="n">
        <f aca="false">IF($J207=0,0,MAX(0,NETWORKDAYS(MAX($K207,AP$4),MIN($L207,EOMONTH(AP$4,0)),Assumptions!$F$4:$F$44))/NETWORKDAYS($K207,$L207,Assumptions!$F$4:$F$44))</f>
        <v>0</v>
      </c>
      <c r="AQ207" s="21" t="n">
        <f aca="false">IF($J207=0,0,MAX(0,NETWORKDAYS(MAX($K207,AQ$4),MIN($L207,EOMONTH(AQ$4,0)),Assumptions!$F$4:$F$44))/NETWORKDAYS($K207,$L207,Assumptions!$F$4:$F$44))</f>
        <v>0</v>
      </c>
      <c r="AR207" s="21" t="n">
        <f aca="false">IF($J207=0,0,MAX(0,NETWORKDAYS(MAX($K207,AR$4),MIN($L207,EOMONTH(AR$4,0)),Assumptions!$F$4:$F$44))/NETWORKDAYS($K207,$L207,Assumptions!$F$4:$F$44))</f>
        <v>0</v>
      </c>
      <c r="AS207" s="21" t="n">
        <f aca="false">IF($J207=0,0,MAX(0,NETWORKDAYS(MAX($K207,AS$4),MIN($L207,EOMONTH(AS$4,0)),Assumptions!$F$4:$F$44))/NETWORKDAYS($K207,$L207,Assumptions!$F$4:$F$44))</f>
        <v>0</v>
      </c>
      <c r="AT207" s="21" t="n">
        <f aca="false">IF($J207=0,0,MAX(0,NETWORKDAYS(MAX($K207,AT$4),MIN($L207,EOMONTH(AT$4,0)),Assumptions!$F$4:$F$44))/NETWORKDAYS($K207,$L207,Assumptions!$F$4:$F$44))</f>
        <v>0</v>
      </c>
      <c r="AU207" s="21" t="n">
        <f aca="false">IF($J207=0,0,MAX(0,NETWORKDAYS(MAX($K207,AU$4),MIN($L207,EOMONTH(AU$4,0)),Assumptions!$F$4:$F$44))/NETWORKDAYS($K207,$L207,Assumptions!$F$4:$F$44))</f>
        <v>0</v>
      </c>
      <c r="AV207" s="21" t="n">
        <f aca="false">IF($J207=0,0,MAX(0,NETWORKDAYS(MAX($K207,AV$4),MIN($L207,EOMONTH(AV$4,0)),Assumptions!$F$4:$F$44))/NETWORKDAYS($K207,$L207,Assumptions!$F$4:$F$44))</f>
        <v>0</v>
      </c>
      <c r="AW207" s="21" t="n">
        <f aca="false">IF($J207=0,0,MAX(0,NETWORKDAYS(MAX($K207,AW$4),MIN($L207,EOMONTH(AW$4,0)),Assumptions!$F$4:$F$44))/NETWORKDAYS($K207,$L207,Assumptions!$F$4:$F$44))</f>
        <v>0</v>
      </c>
      <c r="AX207" s="21" t="n">
        <f aca="false">IF($J207=0,0,MAX(0,NETWORKDAYS(MAX($K207,AX$4),MIN($L207,EOMONTH(AX$4,0)),Assumptions!$F$4:$F$44))/NETWORKDAYS($K207,$L207,Assumptions!$F$4:$F$44))</f>
        <v>0</v>
      </c>
      <c r="AY207" s="21" t="n">
        <f aca="false">IF($J207=0,0,MAX(0,NETWORKDAYS(MAX($K207,AY$4),MIN($L207,EOMONTH(AY$4,0)),Assumptions!$F$4:$F$44))/NETWORKDAYS($K207,$L207,Assumptions!$F$4:$F$44))</f>
        <v>0</v>
      </c>
      <c r="AZ207" s="21" t="n">
        <f aca="false">IF($J207=0,0,MAX(0,NETWORKDAYS(MAX($K207,AZ$4),MIN($L207,EOMONTH(AZ$4,0)),Assumptions!$F$4:$F$44))/NETWORKDAYS($K207,$L207,Assumptions!$F$4:$F$44))</f>
        <v>0</v>
      </c>
      <c r="BA207" s="21" t="n">
        <f aca="false">IF($J207=0,0,MAX(0,NETWORKDAYS(MAX($K207,BA$4),MIN($L207,EOMONTH(BA$4,0)),Assumptions!$F$4:$F$44))/NETWORKDAYS($K207,$L207,Assumptions!$F$4:$F$44))</f>
        <v>0</v>
      </c>
      <c r="BB207" s="21" t="n">
        <f aca="false">IF($J207=0,0,MAX(0,NETWORKDAYS(MAX($K207,BB$4),MIN($L207,EOMONTH(BB$4,0)),Assumptions!$F$4:$F$44))/NETWORKDAYS($K207,$L207,Assumptions!$F$4:$F$44))</f>
        <v>0</v>
      </c>
      <c r="BC207" s="21" t="n">
        <f aca="false">IF($J207=0,0,MAX(0,NETWORKDAYS(MAX($K207,BC$4),MIN($L207,EOMONTH(BC$4,0)),Assumptions!$F$4:$F$44))/NETWORKDAYS($K207,$L207,Assumptions!$F$4:$F$44))</f>
        <v>0</v>
      </c>
    </row>
    <row r="208" customFormat="false" ht="15" hidden="false" customHeight="false" outlineLevel="2" collapsed="false">
      <c r="A208" s="27" t="n">
        <v>204</v>
      </c>
      <c r="B208" s="27" t="s">
        <v>518</v>
      </c>
      <c r="C208" s="27" t="n">
        <v>3</v>
      </c>
      <c r="D208" s="27" t="s">
        <v>92</v>
      </c>
      <c r="E208" s="28" t="s">
        <v>300</v>
      </c>
      <c r="F208" s="27" t="s">
        <v>502</v>
      </c>
      <c r="G208" s="27" t="s">
        <v>512</v>
      </c>
      <c r="H208" s="27" t="s">
        <v>49</v>
      </c>
      <c r="I208" s="29" t="n">
        <v>99</v>
      </c>
      <c r="J208" s="29" t="n">
        <v>16</v>
      </c>
      <c r="K208" s="30" t="n">
        <f aca="false">WORKDAY(Assumptions!$C$4,I208,Assumptions!$F$4:$F$44)</f>
        <v>46465</v>
      </c>
      <c r="L208" s="30" t="n">
        <f aca="false">IF(J208=0,K208,WORKDAY(K208,J208-1,Assumptions!$F$4:$F$44))</f>
        <v>46486</v>
      </c>
      <c r="M208" s="29" t="s">
        <v>517</v>
      </c>
      <c r="N208" s="31" t="n">
        <v>0</v>
      </c>
      <c r="O208" s="31" t="n">
        <v>3</v>
      </c>
      <c r="P208" s="31" t="n">
        <v>0</v>
      </c>
      <c r="Q208" s="31" t="n">
        <v>0</v>
      </c>
      <c r="R208" s="31" t="n">
        <v>8</v>
      </c>
      <c r="S208" s="31" t="n">
        <v>0</v>
      </c>
      <c r="T208" s="31" t="n">
        <v>0</v>
      </c>
      <c r="U208" s="31" t="n">
        <v>0</v>
      </c>
      <c r="V208" s="31" t="n">
        <v>0</v>
      </c>
      <c r="W208" s="31" t="n">
        <v>0</v>
      </c>
      <c r="X208" s="31" t="n">
        <v>0</v>
      </c>
      <c r="Y208" s="32" t="n">
        <f aca="false">SUM(N208:X208)</f>
        <v>11</v>
      </c>
      <c r="Z208" s="32" t="n">
        <f aca="false">Y208*(1+Assumptions!$C$5)</f>
        <v>12.65</v>
      </c>
      <c r="AA208" s="27" t="s">
        <v>301</v>
      </c>
      <c r="AB208" s="27" t="s">
        <v>95</v>
      </c>
      <c r="AC208" s="27"/>
      <c r="AD208" s="33" t="n">
        <v>0</v>
      </c>
      <c r="AF208" s="21" t="n">
        <f aca="false">IF($J208=0,0,MAX(0,NETWORKDAYS(MAX($K208,AF$4),MIN($L208,EOMONTH(AF$4,0)),Assumptions!$F$4:$F$44))/NETWORKDAYS($K208,$L208,Assumptions!$F$4:$F$44))</f>
        <v>0</v>
      </c>
      <c r="AG208" s="21" t="n">
        <f aca="false">IF($J208=0,0,MAX(0,NETWORKDAYS(MAX($K208,AG$4),MIN($L208,EOMONTH(AG$4,0)),Assumptions!$F$4:$F$44))/NETWORKDAYS($K208,$L208,Assumptions!$F$4:$F$44))</f>
        <v>0</v>
      </c>
      <c r="AH208" s="21" t="n">
        <f aca="false">IF($J208=0,0,MAX(0,NETWORKDAYS(MAX($K208,AH$4),MIN($L208,EOMONTH(AH$4,0)),Assumptions!$F$4:$F$44))/NETWORKDAYS($K208,$L208,Assumptions!$F$4:$F$44))</f>
        <v>0</v>
      </c>
      <c r="AI208" s="21" t="n">
        <f aca="false">IF($J208=0,0,MAX(0,NETWORKDAYS(MAX($K208,AI$4),MIN($L208,EOMONTH(AI$4,0)),Assumptions!$F$4:$F$44))/NETWORKDAYS($K208,$L208,Assumptions!$F$4:$F$44))</f>
        <v>0</v>
      </c>
      <c r="AJ208" s="21" t="n">
        <f aca="false">IF($J208=0,0,MAX(0,NETWORKDAYS(MAX($K208,AJ$4),MIN($L208,EOMONTH(AJ$4,0)),Assumptions!$F$4:$F$44))/NETWORKDAYS($K208,$L208,Assumptions!$F$4:$F$44))</f>
        <v>0.5625</v>
      </c>
      <c r="AK208" s="21" t="n">
        <f aca="false">IF($J208=0,0,MAX(0,NETWORKDAYS(MAX($K208,AK$4),MIN($L208,EOMONTH(AK$4,0)),Assumptions!$F$4:$F$44))/NETWORKDAYS($K208,$L208,Assumptions!$F$4:$F$44))</f>
        <v>0.4375</v>
      </c>
      <c r="AL208" s="21" t="n">
        <f aca="false">IF($J208=0,0,MAX(0,NETWORKDAYS(MAX($K208,AL$4),MIN($L208,EOMONTH(AL$4,0)),Assumptions!$F$4:$F$44))/NETWORKDAYS($K208,$L208,Assumptions!$F$4:$F$44))</f>
        <v>0</v>
      </c>
      <c r="AM208" s="21" t="n">
        <f aca="false">IF($J208=0,0,MAX(0,NETWORKDAYS(MAX($K208,AM$4),MIN($L208,EOMONTH(AM$4,0)),Assumptions!$F$4:$F$44))/NETWORKDAYS($K208,$L208,Assumptions!$F$4:$F$44))</f>
        <v>0</v>
      </c>
      <c r="AN208" s="21" t="n">
        <f aca="false">IF($J208=0,0,MAX(0,NETWORKDAYS(MAX($K208,AN$4),MIN($L208,EOMONTH(AN$4,0)),Assumptions!$F$4:$F$44))/NETWORKDAYS($K208,$L208,Assumptions!$F$4:$F$44))</f>
        <v>0</v>
      </c>
      <c r="AO208" s="21" t="n">
        <f aca="false">IF($J208=0,0,MAX(0,NETWORKDAYS(MAX($K208,AO$4),MIN($L208,EOMONTH(AO$4,0)),Assumptions!$F$4:$F$44))/NETWORKDAYS($K208,$L208,Assumptions!$F$4:$F$44))</f>
        <v>0</v>
      </c>
      <c r="AP208" s="21" t="n">
        <f aca="false">IF($J208=0,0,MAX(0,NETWORKDAYS(MAX($K208,AP$4),MIN($L208,EOMONTH(AP$4,0)),Assumptions!$F$4:$F$44))/NETWORKDAYS($K208,$L208,Assumptions!$F$4:$F$44))</f>
        <v>0</v>
      </c>
      <c r="AQ208" s="21" t="n">
        <f aca="false">IF($J208=0,0,MAX(0,NETWORKDAYS(MAX($K208,AQ$4),MIN($L208,EOMONTH(AQ$4,0)),Assumptions!$F$4:$F$44))/NETWORKDAYS($K208,$L208,Assumptions!$F$4:$F$44))</f>
        <v>0</v>
      </c>
      <c r="AR208" s="21" t="n">
        <f aca="false">IF($J208=0,0,MAX(0,NETWORKDAYS(MAX($K208,AR$4),MIN($L208,EOMONTH(AR$4,0)),Assumptions!$F$4:$F$44))/NETWORKDAYS($K208,$L208,Assumptions!$F$4:$F$44))</f>
        <v>0</v>
      </c>
      <c r="AS208" s="21" t="n">
        <f aca="false">IF($J208=0,0,MAX(0,NETWORKDAYS(MAX($K208,AS$4),MIN($L208,EOMONTH(AS$4,0)),Assumptions!$F$4:$F$44))/NETWORKDAYS($K208,$L208,Assumptions!$F$4:$F$44))</f>
        <v>0</v>
      </c>
      <c r="AT208" s="21" t="n">
        <f aca="false">IF($J208=0,0,MAX(0,NETWORKDAYS(MAX($K208,AT$4),MIN($L208,EOMONTH(AT$4,0)),Assumptions!$F$4:$F$44))/NETWORKDAYS($K208,$L208,Assumptions!$F$4:$F$44))</f>
        <v>0</v>
      </c>
      <c r="AU208" s="21" t="n">
        <f aca="false">IF($J208=0,0,MAX(0,NETWORKDAYS(MAX($K208,AU$4),MIN($L208,EOMONTH(AU$4,0)),Assumptions!$F$4:$F$44))/NETWORKDAYS($K208,$L208,Assumptions!$F$4:$F$44))</f>
        <v>0</v>
      </c>
      <c r="AV208" s="21" t="n">
        <f aca="false">IF($J208=0,0,MAX(0,NETWORKDAYS(MAX($K208,AV$4),MIN($L208,EOMONTH(AV$4,0)),Assumptions!$F$4:$F$44))/NETWORKDAYS($K208,$L208,Assumptions!$F$4:$F$44))</f>
        <v>0</v>
      </c>
      <c r="AW208" s="21" t="n">
        <f aca="false">IF($J208=0,0,MAX(0,NETWORKDAYS(MAX($K208,AW$4),MIN($L208,EOMONTH(AW$4,0)),Assumptions!$F$4:$F$44))/NETWORKDAYS($K208,$L208,Assumptions!$F$4:$F$44))</f>
        <v>0</v>
      </c>
      <c r="AX208" s="21" t="n">
        <f aca="false">IF($J208=0,0,MAX(0,NETWORKDAYS(MAX($K208,AX$4),MIN($L208,EOMONTH(AX$4,0)),Assumptions!$F$4:$F$44))/NETWORKDAYS($K208,$L208,Assumptions!$F$4:$F$44))</f>
        <v>0</v>
      </c>
      <c r="AY208" s="21" t="n">
        <f aca="false">IF($J208=0,0,MAX(0,NETWORKDAYS(MAX($K208,AY$4),MIN($L208,EOMONTH(AY$4,0)),Assumptions!$F$4:$F$44))/NETWORKDAYS($K208,$L208,Assumptions!$F$4:$F$44))</f>
        <v>0</v>
      </c>
      <c r="AZ208" s="21" t="n">
        <f aca="false">IF($J208=0,0,MAX(0,NETWORKDAYS(MAX($K208,AZ$4),MIN($L208,EOMONTH(AZ$4,0)),Assumptions!$F$4:$F$44))/NETWORKDAYS($K208,$L208,Assumptions!$F$4:$F$44))</f>
        <v>0</v>
      </c>
      <c r="BA208" s="21" t="n">
        <f aca="false">IF($J208=0,0,MAX(0,NETWORKDAYS(MAX($K208,BA$4),MIN($L208,EOMONTH(BA$4,0)),Assumptions!$F$4:$F$44))/NETWORKDAYS($K208,$L208,Assumptions!$F$4:$F$44))</f>
        <v>0</v>
      </c>
      <c r="BB208" s="21" t="n">
        <f aca="false">IF($J208=0,0,MAX(0,NETWORKDAYS(MAX($K208,BB$4),MIN($L208,EOMONTH(BB$4,0)),Assumptions!$F$4:$F$44))/NETWORKDAYS($K208,$L208,Assumptions!$F$4:$F$44))</f>
        <v>0</v>
      </c>
      <c r="BC208" s="21" t="n">
        <f aca="false">IF($J208=0,0,MAX(0,NETWORKDAYS(MAX($K208,BC$4),MIN($L208,EOMONTH(BC$4,0)),Assumptions!$F$4:$F$44))/NETWORKDAYS($K208,$L208,Assumptions!$F$4:$F$44))</f>
        <v>0</v>
      </c>
    </row>
    <row r="209" customFormat="false" ht="15" hidden="false" customHeight="false" outlineLevel="2" collapsed="false">
      <c r="A209" s="27" t="n">
        <v>205</v>
      </c>
      <c r="B209" s="27" t="s">
        <v>519</v>
      </c>
      <c r="C209" s="27" t="n">
        <v>3</v>
      </c>
      <c r="D209" s="27" t="s">
        <v>92</v>
      </c>
      <c r="E209" s="28" t="s">
        <v>303</v>
      </c>
      <c r="F209" s="27" t="s">
        <v>502</v>
      </c>
      <c r="G209" s="27" t="s">
        <v>512</v>
      </c>
      <c r="H209" s="27" t="s">
        <v>47</v>
      </c>
      <c r="I209" s="29" t="n">
        <v>112</v>
      </c>
      <c r="J209" s="29" t="n">
        <v>55</v>
      </c>
      <c r="K209" s="30" t="n">
        <f aca="false">WORKDAY(Assumptions!$C$4,I209,Assumptions!$F$4:$F$44)</f>
        <v>46484</v>
      </c>
      <c r="L209" s="30" t="n">
        <f aca="false">IF(J209=0,K209,WORKDAY(K209,J209-1,Assumptions!$F$4:$F$44))</f>
        <v>46560</v>
      </c>
      <c r="M209" s="29" t="s">
        <v>520</v>
      </c>
      <c r="N209" s="31" t="n">
        <v>0</v>
      </c>
      <c r="O209" s="31" t="n">
        <v>0</v>
      </c>
      <c r="P209" s="31" t="n">
        <v>0</v>
      </c>
      <c r="Q209" s="31" t="n">
        <v>39</v>
      </c>
      <c r="R209" s="31" t="n">
        <v>0</v>
      </c>
      <c r="S209" s="31" t="n">
        <v>0</v>
      </c>
      <c r="T209" s="31" t="n">
        <v>0</v>
      </c>
      <c r="U209" s="31" t="n">
        <v>0</v>
      </c>
      <c r="V209" s="31" t="n">
        <v>0</v>
      </c>
      <c r="W209" s="31" t="n">
        <v>0</v>
      </c>
      <c r="X209" s="31" t="n">
        <v>0</v>
      </c>
      <c r="Y209" s="32" t="n">
        <f aca="false">SUM(N209:X209)</f>
        <v>39</v>
      </c>
      <c r="Z209" s="32" t="n">
        <f aca="false">Y209*(1+Assumptions!$C$5)</f>
        <v>44.85</v>
      </c>
      <c r="AA209" s="27" t="s">
        <v>305</v>
      </c>
      <c r="AB209" s="27" t="s">
        <v>95</v>
      </c>
      <c r="AC209" s="27"/>
      <c r="AD209" s="33" t="n">
        <v>0</v>
      </c>
      <c r="AF209" s="21" t="n">
        <f aca="false">IF($J209=0,0,MAX(0,NETWORKDAYS(MAX($K209,AF$4),MIN($L209,EOMONTH(AF$4,0)),Assumptions!$F$4:$F$44))/NETWORKDAYS($K209,$L209,Assumptions!$F$4:$F$44))</f>
        <v>0</v>
      </c>
      <c r="AG209" s="21" t="n">
        <f aca="false">IF($J209=0,0,MAX(0,NETWORKDAYS(MAX($K209,AG$4),MIN($L209,EOMONTH(AG$4,0)),Assumptions!$F$4:$F$44))/NETWORKDAYS($K209,$L209,Assumptions!$F$4:$F$44))</f>
        <v>0</v>
      </c>
      <c r="AH209" s="21" t="n">
        <f aca="false">IF($J209=0,0,MAX(0,NETWORKDAYS(MAX($K209,AH$4),MIN($L209,EOMONTH(AH$4,0)),Assumptions!$F$4:$F$44))/NETWORKDAYS($K209,$L209,Assumptions!$F$4:$F$44))</f>
        <v>0</v>
      </c>
      <c r="AI209" s="21" t="n">
        <f aca="false">IF($J209=0,0,MAX(0,NETWORKDAYS(MAX($K209,AI$4),MIN($L209,EOMONTH(AI$4,0)),Assumptions!$F$4:$F$44))/NETWORKDAYS($K209,$L209,Assumptions!$F$4:$F$44))</f>
        <v>0</v>
      </c>
      <c r="AJ209" s="21" t="n">
        <f aca="false">IF($J209=0,0,MAX(0,NETWORKDAYS(MAX($K209,AJ$4),MIN($L209,EOMONTH(AJ$4,0)),Assumptions!$F$4:$F$44))/NETWORKDAYS($K209,$L209,Assumptions!$F$4:$F$44))</f>
        <v>0</v>
      </c>
      <c r="AK209" s="21" t="n">
        <f aca="false">IF($J209=0,0,MAX(0,NETWORKDAYS(MAX($K209,AK$4),MIN($L209,EOMONTH(AK$4,0)),Assumptions!$F$4:$F$44))/NETWORKDAYS($K209,$L209,Assumptions!$F$4:$F$44))</f>
        <v>0.327272727272727</v>
      </c>
      <c r="AL209" s="21" t="n">
        <f aca="false">IF($J209=0,0,MAX(0,NETWORKDAYS(MAX($K209,AL$4),MIN($L209,EOMONTH(AL$4,0)),Assumptions!$F$4:$F$44))/NETWORKDAYS($K209,$L209,Assumptions!$F$4:$F$44))</f>
        <v>0.381818181818182</v>
      </c>
      <c r="AM209" s="21" t="n">
        <f aca="false">IF($J209=0,0,MAX(0,NETWORKDAYS(MAX($K209,AM$4),MIN($L209,EOMONTH(AM$4,0)),Assumptions!$F$4:$F$44))/NETWORKDAYS($K209,$L209,Assumptions!$F$4:$F$44))</f>
        <v>0.290909090909091</v>
      </c>
      <c r="AN209" s="21" t="n">
        <f aca="false">IF($J209=0,0,MAX(0,NETWORKDAYS(MAX($K209,AN$4),MIN($L209,EOMONTH(AN$4,0)),Assumptions!$F$4:$F$44))/NETWORKDAYS($K209,$L209,Assumptions!$F$4:$F$44))</f>
        <v>0</v>
      </c>
      <c r="AO209" s="21" t="n">
        <f aca="false">IF($J209=0,0,MAX(0,NETWORKDAYS(MAX($K209,AO$4),MIN($L209,EOMONTH(AO$4,0)),Assumptions!$F$4:$F$44))/NETWORKDAYS($K209,$L209,Assumptions!$F$4:$F$44))</f>
        <v>0</v>
      </c>
      <c r="AP209" s="21" t="n">
        <f aca="false">IF($J209=0,0,MAX(0,NETWORKDAYS(MAX($K209,AP$4),MIN($L209,EOMONTH(AP$4,0)),Assumptions!$F$4:$F$44))/NETWORKDAYS($K209,$L209,Assumptions!$F$4:$F$44))</f>
        <v>0</v>
      </c>
      <c r="AQ209" s="21" t="n">
        <f aca="false">IF($J209=0,0,MAX(0,NETWORKDAYS(MAX($K209,AQ$4),MIN($L209,EOMONTH(AQ$4,0)),Assumptions!$F$4:$F$44))/NETWORKDAYS($K209,$L209,Assumptions!$F$4:$F$44))</f>
        <v>0</v>
      </c>
      <c r="AR209" s="21" t="n">
        <f aca="false">IF($J209=0,0,MAX(0,NETWORKDAYS(MAX($K209,AR$4),MIN($L209,EOMONTH(AR$4,0)),Assumptions!$F$4:$F$44))/NETWORKDAYS($K209,$L209,Assumptions!$F$4:$F$44))</f>
        <v>0</v>
      </c>
      <c r="AS209" s="21" t="n">
        <f aca="false">IF($J209=0,0,MAX(0,NETWORKDAYS(MAX($K209,AS$4),MIN($L209,EOMONTH(AS$4,0)),Assumptions!$F$4:$F$44))/NETWORKDAYS($K209,$L209,Assumptions!$F$4:$F$44))</f>
        <v>0</v>
      </c>
      <c r="AT209" s="21" t="n">
        <f aca="false">IF($J209=0,0,MAX(0,NETWORKDAYS(MAX($K209,AT$4),MIN($L209,EOMONTH(AT$4,0)),Assumptions!$F$4:$F$44))/NETWORKDAYS($K209,$L209,Assumptions!$F$4:$F$44))</f>
        <v>0</v>
      </c>
      <c r="AU209" s="21" t="n">
        <f aca="false">IF($J209=0,0,MAX(0,NETWORKDAYS(MAX($K209,AU$4),MIN($L209,EOMONTH(AU$4,0)),Assumptions!$F$4:$F$44))/NETWORKDAYS($K209,$L209,Assumptions!$F$4:$F$44))</f>
        <v>0</v>
      </c>
      <c r="AV209" s="21" t="n">
        <f aca="false">IF($J209=0,0,MAX(0,NETWORKDAYS(MAX($K209,AV$4),MIN($L209,EOMONTH(AV$4,0)),Assumptions!$F$4:$F$44))/NETWORKDAYS($K209,$L209,Assumptions!$F$4:$F$44))</f>
        <v>0</v>
      </c>
      <c r="AW209" s="21" t="n">
        <f aca="false">IF($J209=0,0,MAX(0,NETWORKDAYS(MAX($K209,AW$4),MIN($L209,EOMONTH(AW$4,0)),Assumptions!$F$4:$F$44))/NETWORKDAYS($K209,$L209,Assumptions!$F$4:$F$44))</f>
        <v>0</v>
      </c>
      <c r="AX209" s="21" t="n">
        <f aca="false">IF($J209=0,0,MAX(0,NETWORKDAYS(MAX($K209,AX$4),MIN($L209,EOMONTH(AX$4,0)),Assumptions!$F$4:$F$44))/NETWORKDAYS($K209,$L209,Assumptions!$F$4:$F$44))</f>
        <v>0</v>
      </c>
      <c r="AY209" s="21" t="n">
        <f aca="false">IF($J209=0,0,MAX(0,NETWORKDAYS(MAX($K209,AY$4),MIN($L209,EOMONTH(AY$4,0)),Assumptions!$F$4:$F$44))/NETWORKDAYS($K209,$L209,Assumptions!$F$4:$F$44))</f>
        <v>0</v>
      </c>
      <c r="AZ209" s="21" t="n">
        <f aca="false">IF($J209=0,0,MAX(0,NETWORKDAYS(MAX($K209,AZ$4),MIN($L209,EOMONTH(AZ$4,0)),Assumptions!$F$4:$F$44))/NETWORKDAYS($K209,$L209,Assumptions!$F$4:$F$44))</f>
        <v>0</v>
      </c>
      <c r="BA209" s="21" t="n">
        <f aca="false">IF($J209=0,0,MAX(0,NETWORKDAYS(MAX($K209,BA$4),MIN($L209,EOMONTH(BA$4,0)),Assumptions!$F$4:$F$44))/NETWORKDAYS($K209,$L209,Assumptions!$F$4:$F$44))</f>
        <v>0</v>
      </c>
      <c r="BB209" s="21" t="n">
        <f aca="false">IF($J209=0,0,MAX(0,NETWORKDAYS(MAX($K209,BB$4),MIN($L209,EOMONTH(BB$4,0)),Assumptions!$F$4:$F$44))/NETWORKDAYS($K209,$L209,Assumptions!$F$4:$F$44))</f>
        <v>0</v>
      </c>
      <c r="BC209" s="21" t="n">
        <f aca="false">IF($J209=0,0,MAX(0,NETWORKDAYS(MAX($K209,BC$4),MIN($L209,EOMONTH(BC$4,0)),Assumptions!$F$4:$F$44))/NETWORKDAYS($K209,$L209,Assumptions!$F$4:$F$44))</f>
        <v>0</v>
      </c>
    </row>
    <row r="210" customFormat="false" ht="15" hidden="false" customHeight="false" outlineLevel="2" collapsed="false">
      <c r="A210" s="27" t="n">
        <v>206</v>
      </c>
      <c r="B210" s="27" t="s">
        <v>521</v>
      </c>
      <c r="C210" s="27" t="n">
        <v>3</v>
      </c>
      <c r="D210" s="27" t="s">
        <v>92</v>
      </c>
      <c r="E210" s="28" t="s">
        <v>307</v>
      </c>
      <c r="F210" s="27" t="s">
        <v>502</v>
      </c>
      <c r="G210" s="27" t="s">
        <v>512</v>
      </c>
      <c r="H210" s="27" t="s">
        <v>47</v>
      </c>
      <c r="I210" s="29" t="n">
        <v>128</v>
      </c>
      <c r="J210" s="29" t="n">
        <v>40</v>
      </c>
      <c r="K210" s="30" t="n">
        <f aca="false">WORKDAY(Assumptions!$C$4,I210,Assumptions!$F$4:$F$44)</f>
        <v>46506</v>
      </c>
      <c r="L210" s="30" t="n">
        <f aca="false">IF(J210=0,K210,WORKDAY(K210,J210-1,Assumptions!$F$4:$F$44))</f>
        <v>46561</v>
      </c>
      <c r="M210" s="29" t="s">
        <v>520</v>
      </c>
      <c r="N210" s="31" t="n">
        <v>0</v>
      </c>
      <c r="O210" s="31" t="n">
        <v>5</v>
      </c>
      <c r="P210" s="31" t="n">
        <v>0</v>
      </c>
      <c r="Q210" s="31" t="n">
        <v>13</v>
      </c>
      <c r="R210" s="31" t="n">
        <v>0</v>
      </c>
      <c r="S210" s="31" t="n">
        <v>0</v>
      </c>
      <c r="T210" s="31" t="n">
        <v>0</v>
      </c>
      <c r="U210" s="31" t="n">
        <v>0</v>
      </c>
      <c r="V210" s="31" t="n">
        <v>0</v>
      </c>
      <c r="W210" s="31" t="n">
        <v>0</v>
      </c>
      <c r="X210" s="31" t="n">
        <v>0</v>
      </c>
      <c r="Y210" s="32" t="n">
        <f aca="false">SUM(N210:X210)</f>
        <v>18</v>
      </c>
      <c r="Z210" s="32" t="n">
        <f aca="false">Y210*(1+Assumptions!$C$5)</f>
        <v>20.7</v>
      </c>
      <c r="AA210" s="27" t="s">
        <v>308</v>
      </c>
      <c r="AB210" s="27" t="s">
        <v>95</v>
      </c>
      <c r="AC210" s="27"/>
      <c r="AD210" s="33" t="n">
        <v>0</v>
      </c>
      <c r="AF210" s="21" t="n">
        <f aca="false">IF($J210=0,0,MAX(0,NETWORKDAYS(MAX($K210,AF$4),MIN($L210,EOMONTH(AF$4,0)),Assumptions!$F$4:$F$44))/NETWORKDAYS($K210,$L210,Assumptions!$F$4:$F$44))</f>
        <v>0</v>
      </c>
      <c r="AG210" s="21" t="n">
        <f aca="false">IF($J210=0,0,MAX(0,NETWORKDAYS(MAX($K210,AG$4),MIN($L210,EOMONTH(AG$4,0)),Assumptions!$F$4:$F$44))/NETWORKDAYS($K210,$L210,Assumptions!$F$4:$F$44))</f>
        <v>0</v>
      </c>
      <c r="AH210" s="21" t="n">
        <f aca="false">IF($J210=0,0,MAX(0,NETWORKDAYS(MAX($K210,AH$4),MIN($L210,EOMONTH(AH$4,0)),Assumptions!$F$4:$F$44))/NETWORKDAYS($K210,$L210,Assumptions!$F$4:$F$44))</f>
        <v>0</v>
      </c>
      <c r="AI210" s="21" t="n">
        <f aca="false">IF($J210=0,0,MAX(0,NETWORKDAYS(MAX($K210,AI$4),MIN($L210,EOMONTH(AI$4,0)),Assumptions!$F$4:$F$44))/NETWORKDAYS($K210,$L210,Assumptions!$F$4:$F$44))</f>
        <v>0</v>
      </c>
      <c r="AJ210" s="21" t="n">
        <f aca="false">IF($J210=0,0,MAX(0,NETWORKDAYS(MAX($K210,AJ$4),MIN($L210,EOMONTH(AJ$4,0)),Assumptions!$F$4:$F$44))/NETWORKDAYS($K210,$L210,Assumptions!$F$4:$F$44))</f>
        <v>0</v>
      </c>
      <c r="AK210" s="21" t="n">
        <f aca="false">IF($J210=0,0,MAX(0,NETWORKDAYS(MAX($K210,AK$4),MIN($L210,EOMONTH(AK$4,0)),Assumptions!$F$4:$F$44))/NETWORKDAYS($K210,$L210,Assumptions!$F$4:$F$44))</f>
        <v>0.05</v>
      </c>
      <c r="AL210" s="21" t="n">
        <f aca="false">IF($J210=0,0,MAX(0,NETWORKDAYS(MAX($K210,AL$4),MIN($L210,EOMONTH(AL$4,0)),Assumptions!$F$4:$F$44))/NETWORKDAYS($K210,$L210,Assumptions!$F$4:$F$44))</f>
        <v>0.525</v>
      </c>
      <c r="AM210" s="21" t="n">
        <f aca="false">IF($J210=0,0,MAX(0,NETWORKDAYS(MAX($K210,AM$4),MIN($L210,EOMONTH(AM$4,0)),Assumptions!$F$4:$F$44))/NETWORKDAYS($K210,$L210,Assumptions!$F$4:$F$44))</f>
        <v>0.425</v>
      </c>
      <c r="AN210" s="21" t="n">
        <f aca="false">IF($J210=0,0,MAX(0,NETWORKDAYS(MAX($K210,AN$4),MIN($L210,EOMONTH(AN$4,0)),Assumptions!$F$4:$F$44))/NETWORKDAYS($K210,$L210,Assumptions!$F$4:$F$44))</f>
        <v>0</v>
      </c>
      <c r="AO210" s="21" t="n">
        <f aca="false">IF($J210=0,0,MAX(0,NETWORKDAYS(MAX($K210,AO$4),MIN($L210,EOMONTH(AO$4,0)),Assumptions!$F$4:$F$44))/NETWORKDAYS($K210,$L210,Assumptions!$F$4:$F$44))</f>
        <v>0</v>
      </c>
      <c r="AP210" s="21" t="n">
        <f aca="false">IF($J210=0,0,MAX(0,NETWORKDAYS(MAX($K210,AP$4),MIN($L210,EOMONTH(AP$4,0)),Assumptions!$F$4:$F$44))/NETWORKDAYS($K210,$L210,Assumptions!$F$4:$F$44))</f>
        <v>0</v>
      </c>
      <c r="AQ210" s="21" t="n">
        <f aca="false">IF($J210=0,0,MAX(0,NETWORKDAYS(MAX($K210,AQ$4),MIN($L210,EOMONTH(AQ$4,0)),Assumptions!$F$4:$F$44))/NETWORKDAYS($K210,$L210,Assumptions!$F$4:$F$44))</f>
        <v>0</v>
      </c>
      <c r="AR210" s="21" t="n">
        <f aca="false">IF($J210=0,0,MAX(0,NETWORKDAYS(MAX($K210,AR$4),MIN($L210,EOMONTH(AR$4,0)),Assumptions!$F$4:$F$44))/NETWORKDAYS($K210,$L210,Assumptions!$F$4:$F$44))</f>
        <v>0</v>
      </c>
      <c r="AS210" s="21" t="n">
        <f aca="false">IF($J210=0,0,MAX(0,NETWORKDAYS(MAX($K210,AS$4),MIN($L210,EOMONTH(AS$4,0)),Assumptions!$F$4:$F$44))/NETWORKDAYS($K210,$L210,Assumptions!$F$4:$F$44))</f>
        <v>0</v>
      </c>
      <c r="AT210" s="21" t="n">
        <f aca="false">IF($J210=0,0,MAX(0,NETWORKDAYS(MAX($K210,AT$4),MIN($L210,EOMONTH(AT$4,0)),Assumptions!$F$4:$F$44))/NETWORKDAYS($K210,$L210,Assumptions!$F$4:$F$44))</f>
        <v>0</v>
      </c>
      <c r="AU210" s="21" t="n">
        <f aca="false">IF($J210=0,0,MAX(0,NETWORKDAYS(MAX($K210,AU$4),MIN($L210,EOMONTH(AU$4,0)),Assumptions!$F$4:$F$44))/NETWORKDAYS($K210,$L210,Assumptions!$F$4:$F$44))</f>
        <v>0</v>
      </c>
      <c r="AV210" s="21" t="n">
        <f aca="false">IF($J210=0,0,MAX(0,NETWORKDAYS(MAX($K210,AV$4),MIN($L210,EOMONTH(AV$4,0)),Assumptions!$F$4:$F$44))/NETWORKDAYS($K210,$L210,Assumptions!$F$4:$F$44))</f>
        <v>0</v>
      </c>
      <c r="AW210" s="21" t="n">
        <f aca="false">IF($J210=0,0,MAX(0,NETWORKDAYS(MAX($K210,AW$4),MIN($L210,EOMONTH(AW$4,0)),Assumptions!$F$4:$F$44))/NETWORKDAYS($K210,$L210,Assumptions!$F$4:$F$44))</f>
        <v>0</v>
      </c>
      <c r="AX210" s="21" t="n">
        <f aca="false">IF($J210=0,0,MAX(0,NETWORKDAYS(MAX($K210,AX$4),MIN($L210,EOMONTH(AX$4,0)),Assumptions!$F$4:$F$44))/NETWORKDAYS($K210,$L210,Assumptions!$F$4:$F$44))</f>
        <v>0</v>
      </c>
      <c r="AY210" s="21" t="n">
        <f aca="false">IF($J210=0,0,MAX(0,NETWORKDAYS(MAX($K210,AY$4),MIN($L210,EOMONTH(AY$4,0)),Assumptions!$F$4:$F$44))/NETWORKDAYS($K210,$L210,Assumptions!$F$4:$F$44))</f>
        <v>0</v>
      </c>
      <c r="AZ210" s="21" t="n">
        <f aca="false">IF($J210=0,0,MAX(0,NETWORKDAYS(MAX($K210,AZ$4),MIN($L210,EOMONTH(AZ$4,0)),Assumptions!$F$4:$F$44))/NETWORKDAYS($K210,$L210,Assumptions!$F$4:$F$44))</f>
        <v>0</v>
      </c>
      <c r="BA210" s="21" t="n">
        <f aca="false">IF($J210=0,0,MAX(0,NETWORKDAYS(MAX($K210,BA$4),MIN($L210,EOMONTH(BA$4,0)),Assumptions!$F$4:$F$44))/NETWORKDAYS($K210,$L210,Assumptions!$F$4:$F$44))</f>
        <v>0</v>
      </c>
      <c r="BB210" s="21" t="n">
        <f aca="false">IF($J210=0,0,MAX(0,NETWORKDAYS(MAX($K210,BB$4),MIN($L210,EOMONTH(BB$4,0)),Assumptions!$F$4:$F$44))/NETWORKDAYS($K210,$L210,Assumptions!$F$4:$F$44))</f>
        <v>0</v>
      </c>
      <c r="BC210" s="21" t="n">
        <f aca="false">IF($J210=0,0,MAX(0,NETWORKDAYS(MAX($K210,BC$4),MIN($L210,EOMONTH(BC$4,0)),Assumptions!$F$4:$F$44))/NETWORKDAYS($K210,$L210,Assumptions!$F$4:$F$44))</f>
        <v>0</v>
      </c>
    </row>
    <row r="211" customFormat="false" ht="15" hidden="false" customHeight="false" outlineLevel="2" collapsed="false">
      <c r="A211" s="27" t="n">
        <v>207</v>
      </c>
      <c r="B211" s="27" t="s">
        <v>522</v>
      </c>
      <c r="C211" s="27" t="n">
        <v>3</v>
      </c>
      <c r="D211" s="27" t="s">
        <v>92</v>
      </c>
      <c r="E211" s="28" t="s">
        <v>310</v>
      </c>
      <c r="F211" s="27" t="s">
        <v>502</v>
      </c>
      <c r="G211" s="27" t="s">
        <v>512</v>
      </c>
      <c r="H211" s="27" t="s">
        <v>49</v>
      </c>
      <c r="I211" s="29" t="n">
        <v>121</v>
      </c>
      <c r="J211" s="29" t="n">
        <v>53</v>
      </c>
      <c r="K211" s="30" t="n">
        <f aca="false">WORKDAY(Assumptions!$C$4,I211,Assumptions!$F$4:$F$44)</f>
        <v>46497</v>
      </c>
      <c r="L211" s="30" t="n">
        <f aca="false">IF(J211=0,K211,WORKDAY(K211,J211-1,Assumptions!$F$4:$F$44))</f>
        <v>46569</v>
      </c>
      <c r="M211" s="29" t="s">
        <v>523</v>
      </c>
      <c r="N211" s="31" t="n">
        <v>0</v>
      </c>
      <c r="O211" s="31" t="n">
        <v>0</v>
      </c>
      <c r="P211" s="31" t="n">
        <v>0</v>
      </c>
      <c r="Q211" s="31" t="n">
        <v>0</v>
      </c>
      <c r="R211" s="31" t="n">
        <v>32</v>
      </c>
      <c r="S211" s="31" t="n">
        <v>0</v>
      </c>
      <c r="T211" s="31" t="n">
        <v>0</v>
      </c>
      <c r="U211" s="31" t="n">
        <v>0</v>
      </c>
      <c r="V211" s="31" t="n">
        <v>0</v>
      </c>
      <c r="W211" s="31" t="n">
        <v>0</v>
      </c>
      <c r="X211" s="31" t="n">
        <v>0</v>
      </c>
      <c r="Y211" s="32" t="n">
        <f aca="false">SUM(N211:X211)</f>
        <v>32</v>
      </c>
      <c r="Z211" s="32" t="n">
        <f aca="false">Y211*(1+Assumptions!$C$5)</f>
        <v>36.8</v>
      </c>
      <c r="AA211" s="27" t="s">
        <v>312</v>
      </c>
      <c r="AB211" s="27" t="s">
        <v>95</v>
      </c>
      <c r="AC211" s="27"/>
      <c r="AD211" s="33" t="n">
        <v>0</v>
      </c>
      <c r="AF211" s="21" t="n">
        <f aca="false">IF($J211=0,0,MAX(0,NETWORKDAYS(MAX($K211,AF$4),MIN($L211,EOMONTH(AF$4,0)),Assumptions!$F$4:$F$44))/NETWORKDAYS($K211,$L211,Assumptions!$F$4:$F$44))</f>
        <v>0</v>
      </c>
      <c r="AG211" s="21" t="n">
        <f aca="false">IF($J211=0,0,MAX(0,NETWORKDAYS(MAX($K211,AG$4),MIN($L211,EOMONTH(AG$4,0)),Assumptions!$F$4:$F$44))/NETWORKDAYS($K211,$L211,Assumptions!$F$4:$F$44))</f>
        <v>0</v>
      </c>
      <c r="AH211" s="21" t="n">
        <f aca="false">IF($J211=0,0,MAX(0,NETWORKDAYS(MAX($K211,AH$4),MIN($L211,EOMONTH(AH$4,0)),Assumptions!$F$4:$F$44))/NETWORKDAYS($K211,$L211,Assumptions!$F$4:$F$44))</f>
        <v>0</v>
      </c>
      <c r="AI211" s="21" t="n">
        <f aca="false">IF($J211=0,0,MAX(0,NETWORKDAYS(MAX($K211,AI$4),MIN($L211,EOMONTH(AI$4,0)),Assumptions!$F$4:$F$44))/NETWORKDAYS($K211,$L211,Assumptions!$F$4:$F$44))</f>
        <v>0</v>
      </c>
      <c r="AJ211" s="21" t="n">
        <f aca="false">IF($J211=0,0,MAX(0,NETWORKDAYS(MAX($K211,AJ$4),MIN($L211,EOMONTH(AJ$4,0)),Assumptions!$F$4:$F$44))/NETWORKDAYS($K211,$L211,Assumptions!$F$4:$F$44))</f>
        <v>0</v>
      </c>
      <c r="AK211" s="21" t="n">
        <f aca="false">IF($J211=0,0,MAX(0,NETWORKDAYS(MAX($K211,AK$4),MIN($L211,EOMONTH(AK$4,0)),Assumptions!$F$4:$F$44))/NETWORKDAYS($K211,$L211,Assumptions!$F$4:$F$44))</f>
        <v>0.169811320754717</v>
      </c>
      <c r="AL211" s="21" t="n">
        <f aca="false">IF($J211=0,0,MAX(0,NETWORKDAYS(MAX($K211,AL$4),MIN($L211,EOMONTH(AL$4,0)),Assumptions!$F$4:$F$44))/NETWORKDAYS($K211,$L211,Assumptions!$F$4:$F$44))</f>
        <v>0.39622641509434</v>
      </c>
      <c r="AM211" s="21" t="n">
        <f aca="false">IF($J211=0,0,MAX(0,NETWORKDAYS(MAX($K211,AM$4),MIN($L211,EOMONTH(AM$4,0)),Assumptions!$F$4:$F$44))/NETWORKDAYS($K211,$L211,Assumptions!$F$4:$F$44))</f>
        <v>0.415094339622642</v>
      </c>
      <c r="AN211" s="21" t="n">
        <f aca="false">IF($J211=0,0,MAX(0,NETWORKDAYS(MAX($K211,AN$4),MIN($L211,EOMONTH(AN$4,0)),Assumptions!$F$4:$F$44))/NETWORKDAYS($K211,$L211,Assumptions!$F$4:$F$44))</f>
        <v>0.0188679245283019</v>
      </c>
      <c r="AO211" s="21" t="n">
        <f aca="false">IF($J211=0,0,MAX(0,NETWORKDAYS(MAX($K211,AO$4),MIN($L211,EOMONTH(AO$4,0)),Assumptions!$F$4:$F$44))/NETWORKDAYS($K211,$L211,Assumptions!$F$4:$F$44))</f>
        <v>0</v>
      </c>
      <c r="AP211" s="21" t="n">
        <f aca="false">IF($J211=0,0,MAX(0,NETWORKDAYS(MAX($K211,AP$4),MIN($L211,EOMONTH(AP$4,0)),Assumptions!$F$4:$F$44))/NETWORKDAYS($K211,$L211,Assumptions!$F$4:$F$44))</f>
        <v>0</v>
      </c>
      <c r="AQ211" s="21" t="n">
        <f aca="false">IF($J211=0,0,MAX(0,NETWORKDAYS(MAX($K211,AQ$4),MIN($L211,EOMONTH(AQ$4,0)),Assumptions!$F$4:$F$44))/NETWORKDAYS($K211,$L211,Assumptions!$F$4:$F$44))</f>
        <v>0</v>
      </c>
      <c r="AR211" s="21" t="n">
        <f aca="false">IF($J211=0,0,MAX(0,NETWORKDAYS(MAX($K211,AR$4),MIN($L211,EOMONTH(AR$4,0)),Assumptions!$F$4:$F$44))/NETWORKDAYS($K211,$L211,Assumptions!$F$4:$F$44))</f>
        <v>0</v>
      </c>
      <c r="AS211" s="21" t="n">
        <f aca="false">IF($J211=0,0,MAX(0,NETWORKDAYS(MAX($K211,AS$4),MIN($L211,EOMONTH(AS$4,0)),Assumptions!$F$4:$F$44))/NETWORKDAYS($K211,$L211,Assumptions!$F$4:$F$44))</f>
        <v>0</v>
      </c>
      <c r="AT211" s="21" t="n">
        <f aca="false">IF($J211=0,0,MAX(0,NETWORKDAYS(MAX($K211,AT$4),MIN($L211,EOMONTH(AT$4,0)),Assumptions!$F$4:$F$44))/NETWORKDAYS($K211,$L211,Assumptions!$F$4:$F$44))</f>
        <v>0</v>
      </c>
      <c r="AU211" s="21" t="n">
        <f aca="false">IF($J211=0,0,MAX(0,NETWORKDAYS(MAX($K211,AU$4),MIN($L211,EOMONTH(AU$4,0)),Assumptions!$F$4:$F$44))/NETWORKDAYS($K211,$L211,Assumptions!$F$4:$F$44))</f>
        <v>0</v>
      </c>
      <c r="AV211" s="21" t="n">
        <f aca="false">IF($J211=0,0,MAX(0,NETWORKDAYS(MAX($K211,AV$4),MIN($L211,EOMONTH(AV$4,0)),Assumptions!$F$4:$F$44))/NETWORKDAYS($K211,$L211,Assumptions!$F$4:$F$44))</f>
        <v>0</v>
      </c>
      <c r="AW211" s="21" t="n">
        <f aca="false">IF($J211=0,0,MAX(0,NETWORKDAYS(MAX($K211,AW$4),MIN($L211,EOMONTH(AW$4,0)),Assumptions!$F$4:$F$44))/NETWORKDAYS($K211,$L211,Assumptions!$F$4:$F$44))</f>
        <v>0</v>
      </c>
      <c r="AX211" s="21" t="n">
        <f aca="false">IF($J211=0,0,MAX(0,NETWORKDAYS(MAX($K211,AX$4),MIN($L211,EOMONTH(AX$4,0)),Assumptions!$F$4:$F$44))/NETWORKDAYS($K211,$L211,Assumptions!$F$4:$F$44))</f>
        <v>0</v>
      </c>
      <c r="AY211" s="21" t="n">
        <f aca="false">IF($J211=0,0,MAX(0,NETWORKDAYS(MAX($K211,AY$4),MIN($L211,EOMONTH(AY$4,0)),Assumptions!$F$4:$F$44))/NETWORKDAYS($K211,$L211,Assumptions!$F$4:$F$44))</f>
        <v>0</v>
      </c>
      <c r="AZ211" s="21" t="n">
        <f aca="false">IF($J211=0,0,MAX(0,NETWORKDAYS(MAX($K211,AZ$4),MIN($L211,EOMONTH(AZ$4,0)),Assumptions!$F$4:$F$44))/NETWORKDAYS($K211,$L211,Assumptions!$F$4:$F$44))</f>
        <v>0</v>
      </c>
      <c r="BA211" s="21" t="n">
        <f aca="false">IF($J211=0,0,MAX(0,NETWORKDAYS(MAX($K211,BA$4),MIN($L211,EOMONTH(BA$4,0)),Assumptions!$F$4:$F$44))/NETWORKDAYS($K211,$L211,Assumptions!$F$4:$F$44))</f>
        <v>0</v>
      </c>
      <c r="BB211" s="21" t="n">
        <f aca="false">IF($J211=0,0,MAX(0,NETWORKDAYS(MAX($K211,BB$4),MIN($L211,EOMONTH(BB$4,0)),Assumptions!$F$4:$F$44))/NETWORKDAYS($K211,$L211,Assumptions!$F$4:$F$44))</f>
        <v>0</v>
      </c>
      <c r="BC211" s="21" t="n">
        <f aca="false">IF($J211=0,0,MAX(0,NETWORKDAYS(MAX($K211,BC$4),MIN($L211,EOMONTH(BC$4,0)),Assumptions!$F$4:$F$44))/NETWORKDAYS($K211,$L211,Assumptions!$F$4:$F$44))</f>
        <v>0</v>
      </c>
    </row>
    <row r="212" customFormat="false" ht="15" hidden="false" customHeight="false" outlineLevel="2" collapsed="false">
      <c r="A212" s="27" t="n">
        <v>208</v>
      </c>
      <c r="B212" s="27" t="s">
        <v>524</v>
      </c>
      <c r="C212" s="27" t="n">
        <v>3</v>
      </c>
      <c r="D212" s="27" t="s">
        <v>92</v>
      </c>
      <c r="E212" s="28" t="s">
        <v>314</v>
      </c>
      <c r="F212" s="27" t="s">
        <v>502</v>
      </c>
      <c r="G212" s="27" t="s">
        <v>512</v>
      </c>
      <c r="H212" s="27" t="s">
        <v>49</v>
      </c>
      <c r="I212" s="29" t="n">
        <v>134</v>
      </c>
      <c r="J212" s="29" t="n">
        <v>40</v>
      </c>
      <c r="K212" s="30" t="n">
        <f aca="false">WORKDAY(Assumptions!$C$4,I212,Assumptions!$F$4:$F$44)</f>
        <v>46514</v>
      </c>
      <c r="L212" s="30" t="n">
        <f aca="false">IF(J212=0,K212,WORKDAY(K212,J212-1,Assumptions!$F$4:$F$44))</f>
        <v>46569</v>
      </c>
      <c r="M212" s="29" t="s">
        <v>523</v>
      </c>
      <c r="N212" s="31" t="n">
        <v>0</v>
      </c>
      <c r="O212" s="31" t="n">
        <v>0</v>
      </c>
      <c r="P212" s="31" t="n">
        <v>0</v>
      </c>
      <c r="Q212" s="31" t="n">
        <v>0</v>
      </c>
      <c r="R212" s="31" t="n">
        <v>16</v>
      </c>
      <c r="S212" s="31" t="n">
        <v>8</v>
      </c>
      <c r="T212" s="31" t="n">
        <v>0</v>
      </c>
      <c r="U212" s="31" t="n">
        <v>0</v>
      </c>
      <c r="V212" s="31" t="n">
        <v>0</v>
      </c>
      <c r="W212" s="31" t="n">
        <v>0</v>
      </c>
      <c r="X212" s="31" t="n">
        <v>0</v>
      </c>
      <c r="Y212" s="32" t="n">
        <f aca="false">SUM(N212:X212)</f>
        <v>24</v>
      </c>
      <c r="Z212" s="32" t="n">
        <f aca="false">Y212*(1+Assumptions!$C$5)</f>
        <v>27.6</v>
      </c>
      <c r="AA212" s="27" t="s">
        <v>315</v>
      </c>
      <c r="AB212" s="27" t="s">
        <v>95</v>
      </c>
      <c r="AC212" s="27"/>
      <c r="AD212" s="33" t="n">
        <v>0</v>
      </c>
      <c r="AF212" s="21" t="n">
        <f aca="false">IF($J212=0,0,MAX(0,NETWORKDAYS(MAX($K212,AF$4),MIN($L212,EOMONTH(AF$4,0)),Assumptions!$F$4:$F$44))/NETWORKDAYS($K212,$L212,Assumptions!$F$4:$F$44))</f>
        <v>0</v>
      </c>
      <c r="AG212" s="21" t="n">
        <f aca="false">IF($J212=0,0,MAX(0,NETWORKDAYS(MAX($K212,AG$4),MIN($L212,EOMONTH(AG$4,0)),Assumptions!$F$4:$F$44))/NETWORKDAYS($K212,$L212,Assumptions!$F$4:$F$44))</f>
        <v>0</v>
      </c>
      <c r="AH212" s="21" t="n">
        <f aca="false">IF($J212=0,0,MAX(0,NETWORKDAYS(MAX($K212,AH$4),MIN($L212,EOMONTH(AH$4,0)),Assumptions!$F$4:$F$44))/NETWORKDAYS($K212,$L212,Assumptions!$F$4:$F$44))</f>
        <v>0</v>
      </c>
      <c r="AI212" s="21" t="n">
        <f aca="false">IF($J212=0,0,MAX(0,NETWORKDAYS(MAX($K212,AI$4),MIN($L212,EOMONTH(AI$4,0)),Assumptions!$F$4:$F$44))/NETWORKDAYS($K212,$L212,Assumptions!$F$4:$F$44))</f>
        <v>0</v>
      </c>
      <c r="AJ212" s="21" t="n">
        <f aca="false">IF($J212=0,0,MAX(0,NETWORKDAYS(MAX($K212,AJ$4),MIN($L212,EOMONTH(AJ$4,0)),Assumptions!$F$4:$F$44))/NETWORKDAYS($K212,$L212,Assumptions!$F$4:$F$44))</f>
        <v>0</v>
      </c>
      <c r="AK212" s="21" t="n">
        <f aca="false">IF($J212=0,0,MAX(0,NETWORKDAYS(MAX($K212,AK$4),MIN($L212,EOMONTH(AK$4,0)),Assumptions!$F$4:$F$44))/NETWORKDAYS($K212,$L212,Assumptions!$F$4:$F$44))</f>
        <v>0</v>
      </c>
      <c r="AL212" s="21" t="n">
        <f aca="false">IF($J212=0,0,MAX(0,NETWORKDAYS(MAX($K212,AL$4),MIN($L212,EOMONTH(AL$4,0)),Assumptions!$F$4:$F$44))/NETWORKDAYS($K212,$L212,Assumptions!$F$4:$F$44))</f>
        <v>0.425</v>
      </c>
      <c r="AM212" s="21" t="n">
        <f aca="false">IF($J212=0,0,MAX(0,NETWORKDAYS(MAX($K212,AM$4),MIN($L212,EOMONTH(AM$4,0)),Assumptions!$F$4:$F$44))/NETWORKDAYS($K212,$L212,Assumptions!$F$4:$F$44))</f>
        <v>0.55</v>
      </c>
      <c r="AN212" s="21" t="n">
        <f aca="false">IF($J212=0,0,MAX(0,NETWORKDAYS(MAX($K212,AN$4),MIN($L212,EOMONTH(AN$4,0)),Assumptions!$F$4:$F$44))/NETWORKDAYS($K212,$L212,Assumptions!$F$4:$F$44))</f>
        <v>0.025</v>
      </c>
      <c r="AO212" s="21" t="n">
        <f aca="false">IF($J212=0,0,MAX(0,NETWORKDAYS(MAX($K212,AO$4),MIN($L212,EOMONTH(AO$4,0)),Assumptions!$F$4:$F$44))/NETWORKDAYS($K212,$L212,Assumptions!$F$4:$F$44))</f>
        <v>0</v>
      </c>
      <c r="AP212" s="21" t="n">
        <f aca="false">IF($J212=0,0,MAX(0,NETWORKDAYS(MAX($K212,AP$4),MIN($L212,EOMONTH(AP$4,0)),Assumptions!$F$4:$F$44))/NETWORKDAYS($K212,$L212,Assumptions!$F$4:$F$44))</f>
        <v>0</v>
      </c>
      <c r="AQ212" s="21" t="n">
        <f aca="false">IF($J212=0,0,MAX(0,NETWORKDAYS(MAX($K212,AQ$4),MIN($L212,EOMONTH(AQ$4,0)),Assumptions!$F$4:$F$44))/NETWORKDAYS($K212,$L212,Assumptions!$F$4:$F$44))</f>
        <v>0</v>
      </c>
      <c r="AR212" s="21" t="n">
        <f aca="false">IF($J212=0,0,MAX(0,NETWORKDAYS(MAX($K212,AR$4),MIN($L212,EOMONTH(AR$4,0)),Assumptions!$F$4:$F$44))/NETWORKDAYS($K212,$L212,Assumptions!$F$4:$F$44))</f>
        <v>0</v>
      </c>
      <c r="AS212" s="21" t="n">
        <f aca="false">IF($J212=0,0,MAX(0,NETWORKDAYS(MAX($K212,AS$4),MIN($L212,EOMONTH(AS$4,0)),Assumptions!$F$4:$F$44))/NETWORKDAYS($K212,$L212,Assumptions!$F$4:$F$44))</f>
        <v>0</v>
      </c>
      <c r="AT212" s="21" t="n">
        <f aca="false">IF($J212=0,0,MAX(0,NETWORKDAYS(MAX($K212,AT$4),MIN($L212,EOMONTH(AT$4,0)),Assumptions!$F$4:$F$44))/NETWORKDAYS($K212,$L212,Assumptions!$F$4:$F$44))</f>
        <v>0</v>
      </c>
      <c r="AU212" s="21" t="n">
        <f aca="false">IF($J212=0,0,MAX(0,NETWORKDAYS(MAX($K212,AU$4),MIN($L212,EOMONTH(AU$4,0)),Assumptions!$F$4:$F$44))/NETWORKDAYS($K212,$L212,Assumptions!$F$4:$F$44))</f>
        <v>0</v>
      </c>
      <c r="AV212" s="21" t="n">
        <f aca="false">IF($J212=0,0,MAX(0,NETWORKDAYS(MAX($K212,AV$4),MIN($L212,EOMONTH(AV$4,0)),Assumptions!$F$4:$F$44))/NETWORKDAYS($K212,$L212,Assumptions!$F$4:$F$44))</f>
        <v>0</v>
      </c>
      <c r="AW212" s="21" t="n">
        <f aca="false">IF($J212=0,0,MAX(0,NETWORKDAYS(MAX($K212,AW$4),MIN($L212,EOMONTH(AW$4,0)),Assumptions!$F$4:$F$44))/NETWORKDAYS($K212,$L212,Assumptions!$F$4:$F$44))</f>
        <v>0</v>
      </c>
      <c r="AX212" s="21" t="n">
        <f aca="false">IF($J212=0,0,MAX(0,NETWORKDAYS(MAX($K212,AX$4),MIN($L212,EOMONTH(AX$4,0)),Assumptions!$F$4:$F$44))/NETWORKDAYS($K212,$L212,Assumptions!$F$4:$F$44))</f>
        <v>0</v>
      </c>
      <c r="AY212" s="21" t="n">
        <f aca="false">IF($J212=0,0,MAX(0,NETWORKDAYS(MAX($K212,AY$4),MIN($L212,EOMONTH(AY$4,0)),Assumptions!$F$4:$F$44))/NETWORKDAYS($K212,$L212,Assumptions!$F$4:$F$44))</f>
        <v>0</v>
      </c>
      <c r="AZ212" s="21" t="n">
        <f aca="false">IF($J212=0,0,MAX(0,NETWORKDAYS(MAX($K212,AZ$4),MIN($L212,EOMONTH(AZ$4,0)),Assumptions!$F$4:$F$44))/NETWORKDAYS($K212,$L212,Assumptions!$F$4:$F$44))</f>
        <v>0</v>
      </c>
      <c r="BA212" s="21" t="n">
        <f aca="false">IF($J212=0,0,MAX(0,NETWORKDAYS(MAX($K212,BA$4),MIN($L212,EOMONTH(BA$4,0)),Assumptions!$F$4:$F$44))/NETWORKDAYS($K212,$L212,Assumptions!$F$4:$F$44))</f>
        <v>0</v>
      </c>
      <c r="BB212" s="21" t="n">
        <f aca="false">IF($J212=0,0,MAX(0,NETWORKDAYS(MAX($K212,BB$4),MIN($L212,EOMONTH(BB$4,0)),Assumptions!$F$4:$F$44))/NETWORKDAYS($K212,$L212,Assumptions!$F$4:$F$44))</f>
        <v>0</v>
      </c>
      <c r="BC212" s="21" t="n">
        <f aca="false">IF($J212=0,0,MAX(0,NETWORKDAYS(MAX($K212,BC$4),MIN($L212,EOMONTH(BC$4,0)),Assumptions!$F$4:$F$44))/NETWORKDAYS($K212,$L212,Assumptions!$F$4:$F$44))</f>
        <v>0</v>
      </c>
    </row>
    <row r="213" customFormat="false" ht="15" hidden="false" customHeight="false" outlineLevel="2" collapsed="false">
      <c r="A213" s="27" t="n">
        <v>209</v>
      </c>
      <c r="B213" s="27" t="s">
        <v>525</v>
      </c>
      <c r="C213" s="27" t="n">
        <v>3</v>
      </c>
      <c r="D213" s="27" t="s">
        <v>92</v>
      </c>
      <c r="E213" s="28" t="s">
        <v>317</v>
      </c>
      <c r="F213" s="27" t="s">
        <v>502</v>
      </c>
      <c r="G213" s="27" t="s">
        <v>512</v>
      </c>
      <c r="H213" s="27" t="s">
        <v>51</v>
      </c>
      <c r="I213" s="29" t="n">
        <v>134</v>
      </c>
      <c r="J213" s="29" t="n">
        <v>40</v>
      </c>
      <c r="K213" s="30" t="n">
        <f aca="false">WORKDAY(Assumptions!$C$4,I213,Assumptions!$F$4:$F$44)</f>
        <v>46514</v>
      </c>
      <c r="L213" s="30" t="n">
        <f aca="false">IF(J213=0,K213,WORKDAY(K213,J213-1,Assumptions!$F$4:$F$44))</f>
        <v>46569</v>
      </c>
      <c r="M213" s="29" t="s">
        <v>523</v>
      </c>
      <c r="N213" s="31" t="n">
        <v>0</v>
      </c>
      <c r="O213" s="31" t="n">
        <v>0</v>
      </c>
      <c r="P213" s="31" t="n">
        <v>0</v>
      </c>
      <c r="Q213" s="31" t="n">
        <v>0</v>
      </c>
      <c r="R213" s="31" t="n">
        <v>0</v>
      </c>
      <c r="S213" s="31" t="n">
        <v>16</v>
      </c>
      <c r="T213" s="31" t="n">
        <v>0</v>
      </c>
      <c r="U213" s="31" t="n">
        <v>0</v>
      </c>
      <c r="V213" s="31" t="n">
        <v>0</v>
      </c>
      <c r="W213" s="31" t="n">
        <v>0</v>
      </c>
      <c r="X213" s="31" t="n">
        <v>0</v>
      </c>
      <c r="Y213" s="32" t="n">
        <f aca="false">SUM(N213:X213)</f>
        <v>16</v>
      </c>
      <c r="Z213" s="32" t="n">
        <f aca="false">Y213*(1+Assumptions!$C$5)</f>
        <v>18.4</v>
      </c>
      <c r="AA213" s="27" t="s">
        <v>318</v>
      </c>
      <c r="AB213" s="27" t="s">
        <v>95</v>
      </c>
      <c r="AC213" s="27"/>
      <c r="AD213" s="33" t="n">
        <v>0</v>
      </c>
      <c r="AF213" s="21" t="n">
        <f aca="false">IF($J213=0,0,MAX(0,NETWORKDAYS(MAX($K213,AF$4),MIN($L213,EOMONTH(AF$4,0)),Assumptions!$F$4:$F$44))/NETWORKDAYS($K213,$L213,Assumptions!$F$4:$F$44))</f>
        <v>0</v>
      </c>
      <c r="AG213" s="21" t="n">
        <f aca="false">IF($J213=0,0,MAX(0,NETWORKDAYS(MAX($K213,AG$4),MIN($L213,EOMONTH(AG$4,0)),Assumptions!$F$4:$F$44))/NETWORKDAYS($K213,$L213,Assumptions!$F$4:$F$44))</f>
        <v>0</v>
      </c>
      <c r="AH213" s="21" t="n">
        <f aca="false">IF($J213=0,0,MAX(0,NETWORKDAYS(MAX($K213,AH$4),MIN($L213,EOMONTH(AH$4,0)),Assumptions!$F$4:$F$44))/NETWORKDAYS($K213,$L213,Assumptions!$F$4:$F$44))</f>
        <v>0</v>
      </c>
      <c r="AI213" s="21" t="n">
        <f aca="false">IF($J213=0,0,MAX(0,NETWORKDAYS(MAX($K213,AI$4),MIN($L213,EOMONTH(AI$4,0)),Assumptions!$F$4:$F$44))/NETWORKDAYS($K213,$L213,Assumptions!$F$4:$F$44))</f>
        <v>0</v>
      </c>
      <c r="AJ213" s="21" t="n">
        <f aca="false">IF($J213=0,0,MAX(0,NETWORKDAYS(MAX($K213,AJ$4),MIN($L213,EOMONTH(AJ$4,0)),Assumptions!$F$4:$F$44))/NETWORKDAYS($K213,$L213,Assumptions!$F$4:$F$44))</f>
        <v>0</v>
      </c>
      <c r="AK213" s="21" t="n">
        <f aca="false">IF($J213=0,0,MAX(0,NETWORKDAYS(MAX($K213,AK$4),MIN($L213,EOMONTH(AK$4,0)),Assumptions!$F$4:$F$44))/NETWORKDAYS($K213,$L213,Assumptions!$F$4:$F$44))</f>
        <v>0</v>
      </c>
      <c r="AL213" s="21" t="n">
        <f aca="false">IF($J213=0,0,MAX(0,NETWORKDAYS(MAX($K213,AL$4),MIN($L213,EOMONTH(AL$4,0)),Assumptions!$F$4:$F$44))/NETWORKDAYS($K213,$L213,Assumptions!$F$4:$F$44))</f>
        <v>0.425</v>
      </c>
      <c r="AM213" s="21" t="n">
        <f aca="false">IF($J213=0,0,MAX(0,NETWORKDAYS(MAX($K213,AM$4),MIN($L213,EOMONTH(AM$4,0)),Assumptions!$F$4:$F$44))/NETWORKDAYS($K213,$L213,Assumptions!$F$4:$F$44))</f>
        <v>0.55</v>
      </c>
      <c r="AN213" s="21" t="n">
        <f aca="false">IF($J213=0,0,MAX(0,NETWORKDAYS(MAX($K213,AN$4),MIN($L213,EOMONTH(AN$4,0)),Assumptions!$F$4:$F$44))/NETWORKDAYS($K213,$L213,Assumptions!$F$4:$F$44))</f>
        <v>0.025</v>
      </c>
      <c r="AO213" s="21" t="n">
        <f aca="false">IF($J213=0,0,MAX(0,NETWORKDAYS(MAX($K213,AO$4),MIN($L213,EOMONTH(AO$4,0)),Assumptions!$F$4:$F$44))/NETWORKDAYS($K213,$L213,Assumptions!$F$4:$F$44))</f>
        <v>0</v>
      </c>
      <c r="AP213" s="21" t="n">
        <f aca="false">IF($J213=0,0,MAX(0,NETWORKDAYS(MAX($K213,AP$4),MIN($L213,EOMONTH(AP$4,0)),Assumptions!$F$4:$F$44))/NETWORKDAYS($K213,$L213,Assumptions!$F$4:$F$44))</f>
        <v>0</v>
      </c>
      <c r="AQ213" s="21" t="n">
        <f aca="false">IF($J213=0,0,MAX(0,NETWORKDAYS(MAX($K213,AQ$4),MIN($L213,EOMONTH(AQ$4,0)),Assumptions!$F$4:$F$44))/NETWORKDAYS($K213,$L213,Assumptions!$F$4:$F$44))</f>
        <v>0</v>
      </c>
      <c r="AR213" s="21" t="n">
        <f aca="false">IF($J213=0,0,MAX(0,NETWORKDAYS(MAX($K213,AR$4),MIN($L213,EOMONTH(AR$4,0)),Assumptions!$F$4:$F$44))/NETWORKDAYS($K213,$L213,Assumptions!$F$4:$F$44))</f>
        <v>0</v>
      </c>
      <c r="AS213" s="21" t="n">
        <f aca="false">IF($J213=0,0,MAX(0,NETWORKDAYS(MAX($K213,AS$4),MIN($L213,EOMONTH(AS$4,0)),Assumptions!$F$4:$F$44))/NETWORKDAYS($K213,$L213,Assumptions!$F$4:$F$44))</f>
        <v>0</v>
      </c>
      <c r="AT213" s="21" t="n">
        <f aca="false">IF($J213=0,0,MAX(0,NETWORKDAYS(MAX($K213,AT$4),MIN($L213,EOMONTH(AT$4,0)),Assumptions!$F$4:$F$44))/NETWORKDAYS($K213,$L213,Assumptions!$F$4:$F$44))</f>
        <v>0</v>
      </c>
      <c r="AU213" s="21" t="n">
        <f aca="false">IF($J213=0,0,MAX(0,NETWORKDAYS(MAX($K213,AU$4),MIN($L213,EOMONTH(AU$4,0)),Assumptions!$F$4:$F$44))/NETWORKDAYS($K213,$L213,Assumptions!$F$4:$F$44))</f>
        <v>0</v>
      </c>
      <c r="AV213" s="21" t="n">
        <f aca="false">IF($J213=0,0,MAX(0,NETWORKDAYS(MAX($K213,AV$4),MIN($L213,EOMONTH(AV$4,0)),Assumptions!$F$4:$F$44))/NETWORKDAYS($K213,$L213,Assumptions!$F$4:$F$44))</f>
        <v>0</v>
      </c>
      <c r="AW213" s="21" t="n">
        <f aca="false">IF($J213=0,0,MAX(0,NETWORKDAYS(MAX($K213,AW$4),MIN($L213,EOMONTH(AW$4,0)),Assumptions!$F$4:$F$44))/NETWORKDAYS($K213,$L213,Assumptions!$F$4:$F$44))</f>
        <v>0</v>
      </c>
      <c r="AX213" s="21" t="n">
        <f aca="false">IF($J213=0,0,MAX(0,NETWORKDAYS(MAX($K213,AX$4),MIN($L213,EOMONTH(AX$4,0)),Assumptions!$F$4:$F$44))/NETWORKDAYS($K213,$L213,Assumptions!$F$4:$F$44))</f>
        <v>0</v>
      </c>
      <c r="AY213" s="21" t="n">
        <f aca="false">IF($J213=0,0,MAX(0,NETWORKDAYS(MAX($K213,AY$4),MIN($L213,EOMONTH(AY$4,0)),Assumptions!$F$4:$F$44))/NETWORKDAYS($K213,$L213,Assumptions!$F$4:$F$44))</f>
        <v>0</v>
      </c>
      <c r="AZ213" s="21" t="n">
        <f aca="false">IF($J213=0,0,MAX(0,NETWORKDAYS(MAX($K213,AZ$4),MIN($L213,EOMONTH(AZ$4,0)),Assumptions!$F$4:$F$44))/NETWORKDAYS($K213,$L213,Assumptions!$F$4:$F$44))</f>
        <v>0</v>
      </c>
      <c r="BA213" s="21" t="n">
        <f aca="false">IF($J213=0,0,MAX(0,NETWORKDAYS(MAX($K213,BA$4),MIN($L213,EOMONTH(BA$4,0)),Assumptions!$F$4:$F$44))/NETWORKDAYS($K213,$L213,Assumptions!$F$4:$F$44))</f>
        <v>0</v>
      </c>
      <c r="BB213" s="21" t="n">
        <f aca="false">IF($J213=0,0,MAX(0,NETWORKDAYS(MAX($K213,BB$4),MIN($L213,EOMONTH(BB$4,0)),Assumptions!$F$4:$F$44))/NETWORKDAYS($K213,$L213,Assumptions!$F$4:$F$44))</f>
        <v>0</v>
      </c>
      <c r="BC213" s="21" t="n">
        <f aca="false">IF($J213=0,0,MAX(0,NETWORKDAYS(MAX($K213,BC$4),MIN($L213,EOMONTH(BC$4,0)),Assumptions!$F$4:$F$44))/NETWORKDAYS($K213,$L213,Assumptions!$F$4:$F$44))</f>
        <v>0</v>
      </c>
    </row>
    <row r="214" customFormat="false" ht="15" hidden="false" customHeight="false" outlineLevel="2" collapsed="false">
      <c r="A214" s="27" t="n">
        <v>210</v>
      </c>
      <c r="B214" s="27" t="s">
        <v>526</v>
      </c>
      <c r="C214" s="27" t="n">
        <v>3</v>
      </c>
      <c r="D214" s="27" t="s">
        <v>92</v>
      </c>
      <c r="E214" s="28" t="s">
        <v>320</v>
      </c>
      <c r="F214" s="27" t="s">
        <v>502</v>
      </c>
      <c r="G214" s="27" t="s">
        <v>512</v>
      </c>
      <c r="H214" s="27" t="s">
        <v>53</v>
      </c>
      <c r="I214" s="29" t="n">
        <v>121</v>
      </c>
      <c r="J214" s="29" t="n">
        <v>46</v>
      </c>
      <c r="K214" s="30" t="n">
        <f aca="false">WORKDAY(Assumptions!$C$4,I214,Assumptions!$F$4:$F$44)</f>
        <v>46497</v>
      </c>
      <c r="L214" s="30" t="n">
        <f aca="false">IF(J214=0,K214,WORKDAY(K214,J214-1,Assumptions!$F$4:$F$44))</f>
        <v>46560</v>
      </c>
      <c r="M214" s="29" t="s">
        <v>520</v>
      </c>
      <c r="N214" s="31" t="n">
        <v>0</v>
      </c>
      <c r="O214" s="31" t="n">
        <v>0</v>
      </c>
      <c r="P214" s="31" t="n">
        <v>0</v>
      </c>
      <c r="Q214" s="31" t="n">
        <v>0</v>
      </c>
      <c r="R214" s="31" t="n">
        <v>0</v>
      </c>
      <c r="S214" s="31" t="n">
        <v>0</v>
      </c>
      <c r="T214" s="31" t="n">
        <v>13</v>
      </c>
      <c r="U214" s="31" t="n">
        <v>0</v>
      </c>
      <c r="V214" s="31" t="n">
        <v>0</v>
      </c>
      <c r="W214" s="31" t="n">
        <v>0</v>
      </c>
      <c r="X214" s="31" t="n">
        <v>0</v>
      </c>
      <c r="Y214" s="32" t="n">
        <f aca="false">SUM(N214:X214)</f>
        <v>13</v>
      </c>
      <c r="Z214" s="32" t="n">
        <f aca="false">Y214*(1+Assumptions!$C$5)</f>
        <v>14.95</v>
      </c>
      <c r="AA214" s="27" t="s">
        <v>321</v>
      </c>
      <c r="AB214" s="27" t="s">
        <v>95</v>
      </c>
      <c r="AC214" s="27"/>
      <c r="AD214" s="33" t="n">
        <v>0</v>
      </c>
      <c r="AF214" s="21" t="n">
        <f aca="false">IF($J214=0,0,MAX(0,NETWORKDAYS(MAX($K214,AF$4),MIN($L214,EOMONTH(AF$4,0)),Assumptions!$F$4:$F$44))/NETWORKDAYS($K214,$L214,Assumptions!$F$4:$F$44))</f>
        <v>0</v>
      </c>
      <c r="AG214" s="21" t="n">
        <f aca="false">IF($J214=0,0,MAX(0,NETWORKDAYS(MAX($K214,AG$4),MIN($L214,EOMONTH(AG$4,0)),Assumptions!$F$4:$F$44))/NETWORKDAYS($K214,$L214,Assumptions!$F$4:$F$44))</f>
        <v>0</v>
      </c>
      <c r="AH214" s="21" t="n">
        <f aca="false">IF($J214=0,0,MAX(0,NETWORKDAYS(MAX($K214,AH$4),MIN($L214,EOMONTH(AH$4,0)),Assumptions!$F$4:$F$44))/NETWORKDAYS($K214,$L214,Assumptions!$F$4:$F$44))</f>
        <v>0</v>
      </c>
      <c r="AI214" s="21" t="n">
        <f aca="false">IF($J214=0,0,MAX(0,NETWORKDAYS(MAX($K214,AI$4),MIN($L214,EOMONTH(AI$4,0)),Assumptions!$F$4:$F$44))/NETWORKDAYS($K214,$L214,Assumptions!$F$4:$F$44))</f>
        <v>0</v>
      </c>
      <c r="AJ214" s="21" t="n">
        <f aca="false">IF($J214=0,0,MAX(0,NETWORKDAYS(MAX($K214,AJ$4),MIN($L214,EOMONTH(AJ$4,0)),Assumptions!$F$4:$F$44))/NETWORKDAYS($K214,$L214,Assumptions!$F$4:$F$44))</f>
        <v>0</v>
      </c>
      <c r="AK214" s="21" t="n">
        <f aca="false">IF($J214=0,0,MAX(0,NETWORKDAYS(MAX($K214,AK$4),MIN($L214,EOMONTH(AK$4,0)),Assumptions!$F$4:$F$44))/NETWORKDAYS($K214,$L214,Assumptions!$F$4:$F$44))</f>
        <v>0.195652173913044</v>
      </c>
      <c r="AL214" s="21" t="n">
        <f aca="false">IF($J214=0,0,MAX(0,NETWORKDAYS(MAX($K214,AL$4),MIN($L214,EOMONTH(AL$4,0)),Assumptions!$F$4:$F$44))/NETWORKDAYS($K214,$L214,Assumptions!$F$4:$F$44))</f>
        <v>0.456521739130435</v>
      </c>
      <c r="AM214" s="21" t="n">
        <f aca="false">IF($J214=0,0,MAX(0,NETWORKDAYS(MAX($K214,AM$4),MIN($L214,EOMONTH(AM$4,0)),Assumptions!$F$4:$F$44))/NETWORKDAYS($K214,$L214,Assumptions!$F$4:$F$44))</f>
        <v>0.347826086956522</v>
      </c>
      <c r="AN214" s="21" t="n">
        <f aca="false">IF($J214=0,0,MAX(0,NETWORKDAYS(MAX($K214,AN$4),MIN($L214,EOMONTH(AN$4,0)),Assumptions!$F$4:$F$44))/NETWORKDAYS($K214,$L214,Assumptions!$F$4:$F$44))</f>
        <v>0</v>
      </c>
      <c r="AO214" s="21" t="n">
        <f aca="false">IF($J214=0,0,MAX(0,NETWORKDAYS(MAX($K214,AO$4),MIN($L214,EOMONTH(AO$4,0)),Assumptions!$F$4:$F$44))/NETWORKDAYS($K214,$L214,Assumptions!$F$4:$F$44))</f>
        <v>0</v>
      </c>
      <c r="AP214" s="21" t="n">
        <f aca="false">IF($J214=0,0,MAX(0,NETWORKDAYS(MAX($K214,AP$4),MIN($L214,EOMONTH(AP$4,0)),Assumptions!$F$4:$F$44))/NETWORKDAYS($K214,$L214,Assumptions!$F$4:$F$44))</f>
        <v>0</v>
      </c>
      <c r="AQ214" s="21" t="n">
        <f aca="false">IF($J214=0,0,MAX(0,NETWORKDAYS(MAX($K214,AQ$4),MIN($L214,EOMONTH(AQ$4,0)),Assumptions!$F$4:$F$44))/NETWORKDAYS($K214,$L214,Assumptions!$F$4:$F$44))</f>
        <v>0</v>
      </c>
      <c r="AR214" s="21" t="n">
        <f aca="false">IF($J214=0,0,MAX(0,NETWORKDAYS(MAX($K214,AR$4),MIN($L214,EOMONTH(AR$4,0)),Assumptions!$F$4:$F$44))/NETWORKDAYS($K214,$L214,Assumptions!$F$4:$F$44))</f>
        <v>0</v>
      </c>
      <c r="AS214" s="21" t="n">
        <f aca="false">IF($J214=0,0,MAX(0,NETWORKDAYS(MAX($K214,AS$4),MIN($L214,EOMONTH(AS$4,0)),Assumptions!$F$4:$F$44))/NETWORKDAYS($K214,$L214,Assumptions!$F$4:$F$44))</f>
        <v>0</v>
      </c>
      <c r="AT214" s="21" t="n">
        <f aca="false">IF($J214=0,0,MAX(0,NETWORKDAYS(MAX($K214,AT$4),MIN($L214,EOMONTH(AT$4,0)),Assumptions!$F$4:$F$44))/NETWORKDAYS($K214,$L214,Assumptions!$F$4:$F$44))</f>
        <v>0</v>
      </c>
      <c r="AU214" s="21" t="n">
        <f aca="false">IF($J214=0,0,MAX(0,NETWORKDAYS(MAX($K214,AU$4),MIN($L214,EOMONTH(AU$4,0)),Assumptions!$F$4:$F$44))/NETWORKDAYS($K214,$L214,Assumptions!$F$4:$F$44))</f>
        <v>0</v>
      </c>
      <c r="AV214" s="21" t="n">
        <f aca="false">IF($J214=0,0,MAX(0,NETWORKDAYS(MAX($K214,AV$4),MIN($L214,EOMONTH(AV$4,0)),Assumptions!$F$4:$F$44))/NETWORKDAYS($K214,$L214,Assumptions!$F$4:$F$44))</f>
        <v>0</v>
      </c>
      <c r="AW214" s="21" t="n">
        <f aca="false">IF($J214=0,0,MAX(0,NETWORKDAYS(MAX($K214,AW$4),MIN($L214,EOMONTH(AW$4,0)),Assumptions!$F$4:$F$44))/NETWORKDAYS($K214,$L214,Assumptions!$F$4:$F$44))</f>
        <v>0</v>
      </c>
      <c r="AX214" s="21" t="n">
        <f aca="false">IF($J214=0,0,MAX(0,NETWORKDAYS(MAX($K214,AX$4),MIN($L214,EOMONTH(AX$4,0)),Assumptions!$F$4:$F$44))/NETWORKDAYS($K214,$L214,Assumptions!$F$4:$F$44))</f>
        <v>0</v>
      </c>
      <c r="AY214" s="21" t="n">
        <f aca="false">IF($J214=0,0,MAX(0,NETWORKDAYS(MAX($K214,AY$4),MIN($L214,EOMONTH(AY$4,0)),Assumptions!$F$4:$F$44))/NETWORKDAYS($K214,$L214,Assumptions!$F$4:$F$44))</f>
        <v>0</v>
      </c>
      <c r="AZ214" s="21" t="n">
        <f aca="false">IF($J214=0,0,MAX(0,NETWORKDAYS(MAX($K214,AZ$4),MIN($L214,EOMONTH(AZ$4,0)),Assumptions!$F$4:$F$44))/NETWORKDAYS($K214,$L214,Assumptions!$F$4:$F$44))</f>
        <v>0</v>
      </c>
      <c r="BA214" s="21" t="n">
        <f aca="false">IF($J214=0,0,MAX(0,NETWORKDAYS(MAX($K214,BA$4),MIN($L214,EOMONTH(BA$4,0)),Assumptions!$F$4:$F$44))/NETWORKDAYS($K214,$L214,Assumptions!$F$4:$F$44))</f>
        <v>0</v>
      </c>
      <c r="BB214" s="21" t="n">
        <f aca="false">IF($J214=0,0,MAX(0,NETWORKDAYS(MAX($K214,BB$4),MIN($L214,EOMONTH(BB$4,0)),Assumptions!$F$4:$F$44))/NETWORKDAYS($K214,$L214,Assumptions!$F$4:$F$44))</f>
        <v>0</v>
      </c>
      <c r="BC214" s="21" t="n">
        <f aca="false">IF($J214=0,0,MAX(0,NETWORKDAYS(MAX($K214,BC$4),MIN($L214,EOMONTH(BC$4,0)),Assumptions!$F$4:$F$44))/NETWORKDAYS($K214,$L214,Assumptions!$F$4:$F$44))</f>
        <v>0</v>
      </c>
    </row>
    <row r="215" customFormat="false" ht="15" hidden="false" customHeight="false" outlineLevel="2" collapsed="false">
      <c r="A215" s="27" t="n">
        <v>211</v>
      </c>
      <c r="B215" s="27" t="s">
        <v>527</v>
      </c>
      <c r="C215" s="27" t="n">
        <v>3</v>
      </c>
      <c r="D215" s="27" t="s">
        <v>92</v>
      </c>
      <c r="E215" s="28" t="s">
        <v>423</v>
      </c>
      <c r="F215" s="27" t="s">
        <v>502</v>
      </c>
      <c r="G215" s="27" t="s">
        <v>512</v>
      </c>
      <c r="H215" s="27" t="s">
        <v>47</v>
      </c>
      <c r="I215" s="29" t="n">
        <v>141</v>
      </c>
      <c r="J215" s="29" t="n">
        <v>37</v>
      </c>
      <c r="K215" s="30" t="n">
        <f aca="false">WORKDAY(Assumptions!$C$4,I215,Assumptions!$F$4:$F$44)</f>
        <v>46525</v>
      </c>
      <c r="L215" s="30" t="n">
        <f aca="false">IF(J215=0,K215,WORKDAY(K215,J215-1,Assumptions!$F$4:$F$44))</f>
        <v>46575</v>
      </c>
      <c r="M215" s="29" t="s">
        <v>528</v>
      </c>
      <c r="N215" s="31" t="n">
        <v>0</v>
      </c>
      <c r="O215" s="31" t="n">
        <v>0</v>
      </c>
      <c r="P215" s="31" t="n">
        <v>0</v>
      </c>
      <c r="Q215" s="31" t="n">
        <v>15</v>
      </c>
      <c r="R215" s="31" t="n">
        <v>0</v>
      </c>
      <c r="S215" s="31" t="n">
        <v>0</v>
      </c>
      <c r="T215" s="31" t="n">
        <v>0</v>
      </c>
      <c r="U215" s="31" t="n">
        <v>0</v>
      </c>
      <c r="V215" s="31" t="n">
        <v>0</v>
      </c>
      <c r="W215" s="31" t="n">
        <v>0</v>
      </c>
      <c r="X215" s="31" t="n">
        <v>0</v>
      </c>
      <c r="Y215" s="32" t="n">
        <f aca="false">SUM(N215:X215)</f>
        <v>15</v>
      </c>
      <c r="Z215" s="32" t="n">
        <f aca="false">Y215*(1+Assumptions!$C$5)</f>
        <v>17.25</v>
      </c>
      <c r="AA215" s="27" t="s">
        <v>325</v>
      </c>
      <c r="AB215" s="27" t="s">
        <v>95</v>
      </c>
      <c r="AC215" s="27"/>
      <c r="AD215" s="33" t="n">
        <v>0</v>
      </c>
      <c r="AF215" s="21" t="n">
        <f aca="false">IF($J215=0,0,MAX(0,NETWORKDAYS(MAX($K215,AF$4),MIN($L215,EOMONTH(AF$4,0)),Assumptions!$F$4:$F$44))/NETWORKDAYS($K215,$L215,Assumptions!$F$4:$F$44))</f>
        <v>0</v>
      </c>
      <c r="AG215" s="21" t="n">
        <f aca="false">IF($J215=0,0,MAX(0,NETWORKDAYS(MAX($K215,AG$4),MIN($L215,EOMONTH(AG$4,0)),Assumptions!$F$4:$F$44))/NETWORKDAYS($K215,$L215,Assumptions!$F$4:$F$44))</f>
        <v>0</v>
      </c>
      <c r="AH215" s="21" t="n">
        <f aca="false">IF($J215=0,0,MAX(0,NETWORKDAYS(MAX($K215,AH$4),MIN($L215,EOMONTH(AH$4,0)),Assumptions!$F$4:$F$44))/NETWORKDAYS($K215,$L215,Assumptions!$F$4:$F$44))</f>
        <v>0</v>
      </c>
      <c r="AI215" s="21" t="n">
        <f aca="false">IF($J215=0,0,MAX(0,NETWORKDAYS(MAX($K215,AI$4),MIN($L215,EOMONTH(AI$4,0)),Assumptions!$F$4:$F$44))/NETWORKDAYS($K215,$L215,Assumptions!$F$4:$F$44))</f>
        <v>0</v>
      </c>
      <c r="AJ215" s="21" t="n">
        <f aca="false">IF($J215=0,0,MAX(0,NETWORKDAYS(MAX($K215,AJ$4),MIN($L215,EOMONTH(AJ$4,0)),Assumptions!$F$4:$F$44))/NETWORKDAYS($K215,$L215,Assumptions!$F$4:$F$44))</f>
        <v>0</v>
      </c>
      <c r="AK215" s="21" t="n">
        <f aca="false">IF($J215=0,0,MAX(0,NETWORKDAYS(MAX($K215,AK$4),MIN($L215,EOMONTH(AK$4,0)),Assumptions!$F$4:$F$44))/NETWORKDAYS($K215,$L215,Assumptions!$F$4:$F$44))</f>
        <v>0</v>
      </c>
      <c r="AL215" s="21" t="n">
        <f aca="false">IF($J215=0,0,MAX(0,NETWORKDAYS(MAX($K215,AL$4),MIN($L215,EOMONTH(AL$4,0)),Assumptions!$F$4:$F$44))/NETWORKDAYS($K215,$L215,Assumptions!$F$4:$F$44))</f>
        <v>0.27027027027027</v>
      </c>
      <c r="AM215" s="21" t="n">
        <f aca="false">IF($J215=0,0,MAX(0,NETWORKDAYS(MAX($K215,AM$4),MIN($L215,EOMONTH(AM$4,0)),Assumptions!$F$4:$F$44))/NETWORKDAYS($K215,$L215,Assumptions!$F$4:$F$44))</f>
        <v>0.594594594594595</v>
      </c>
      <c r="AN215" s="21" t="n">
        <f aca="false">IF($J215=0,0,MAX(0,NETWORKDAYS(MAX($K215,AN$4),MIN($L215,EOMONTH(AN$4,0)),Assumptions!$F$4:$F$44))/NETWORKDAYS($K215,$L215,Assumptions!$F$4:$F$44))</f>
        <v>0.135135135135135</v>
      </c>
      <c r="AO215" s="21" t="n">
        <f aca="false">IF($J215=0,0,MAX(0,NETWORKDAYS(MAX($K215,AO$4),MIN($L215,EOMONTH(AO$4,0)),Assumptions!$F$4:$F$44))/NETWORKDAYS($K215,$L215,Assumptions!$F$4:$F$44))</f>
        <v>0</v>
      </c>
      <c r="AP215" s="21" t="n">
        <f aca="false">IF($J215=0,0,MAX(0,NETWORKDAYS(MAX($K215,AP$4),MIN($L215,EOMONTH(AP$4,0)),Assumptions!$F$4:$F$44))/NETWORKDAYS($K215,$L215,Assumptions!$F$4:$F$44))</f>
        <v>0</v>
      </c>
      <c r="AQ215" s="21" t="n">
        <f aca="false">IF($J215=0,0,MAX(0,NETWORKDAYS(MAX($K215,AQ$4),MIN($L215,EOMONTH(AQ$4,0)),Assumptions!$F$4:$F$44))/NETWORKDAYS($K215,$L215,Assumptions!$F$4:$F$44))</f>
        <v>0</v>
      </c>
      <c r="AR215" s="21" t="n">
        <f aca="false">IF($J215=0,0,MAX(0,NETWORKDAYS(MAX($K215,AR$4),MIN($L215,EOMONTH(AR$4,0)),Assumptions!$F$4:$F$44))/NETWORKDAYS($K215,$L215,Assumptions!$F$4:$F$44))</f>
        <v>0</v>
      </c>
      <c r="AS215" s="21" t="n">
        <f aca="false">IF($J215=0,0,MAX(0,NETWORKDAYS(MAX($K215,AS$4),MIN($L215,EOMONTH(AS$4,0)),Assumptions!$F$4:$F$44))/NETWORKDAYS($K215,$L215,Assumptions!$F$4:$F$44))</f>
        <v>0</v>
      </c>
      <c r="AT215" s="21" t="n">
        <f aca="false">IF($J215=0,0,MAX(0,NETWORKDAYS(MAX($K215,AT$4),MIN($L215,EOMONTH(AT$4,0)),Assumptions!$F$4:$F$44))/NETWORKDAYS($K215,$L215,Assumptions!$F$4:$F$44))</f>
        <v>0</v>
      </c>
      <c r="AU215" s="21" t="n">
        <f aca="false">IF($J215=0,0,MAX(0,NETWORKDAYS(MAX($K215,AU$4),MIN($L215,EOMONTH(AU$4,0)),Assumptions!$F$4:$F$44))/NETWORKDAYS($K215,$L215,Assumptions!$F$4:$F$44))</f>
        <v>0</v>
      </c>
      <c r="AV215" s="21" t="n">
        <f aca="false">IF($J215=0,0,MAX(0,NETWORKDAYS(MAX($K215,AV$4),MIN($L215,EOMONTH(AV$4,0)),Assumptions!$F$4:$F$44))/NETWORKDAYS($K215,$L215,Assumptions!$F$4:$F$44))</f>
        <v>0</v>
      </c>
      <c r="AW215" s="21" t="n">
        <f aca="false">IF($J215=0,0,MAX(0,NETWORKDAYS(MAX($K215,AW$4),MIN($L215,EOMONTH(AW$4,0)),Assumptions!$F$4:$F$44))/NETWORKDAYS($K215,$L215,Assumptions!$F$4:$F$44))</f>
        <v>0</v>
      </c>
      <c r="AX215" s="21" t="n">
        <f aca="false">IF($J215=0,0,MAX(0,NETWORKDAYS(MAX($K215,AX$4),MIN($L215,EOMONTH(AX$4,0)),Assumptions!$F$4:$F$44))/NETWORKDAYS($K215,$L215,Assumptions!$F$4:$F$44))</f>
        <v>0</v>
      </c>
      <c r="AY215" s="21" t="n">
        <f aca="false">IF($J215=0,0,MAX(0,NETWORKDAYS(MAX($K215,AY$4),MIN($L215,EOMONTH(AY$4,0)),Assumptions!$F$4:$F$44))/NETWORKDAYS($K215,$L215,Assumptions!$F$4:$F$44))</f>
        <v>0</v>
      </c>
      <c r="AZ215" s="21" t="n">
        <f aca="false">IF($J215=0,0,MAX(0,NETWORKDAYS(MAX($K215,AZ$4),MIN($L215,EOMONTH(AZ$4,0)),Assumptions!$F$4:$F$44))/NETWORKDAYS($K215,$L215,Assumptions!$F$4:$F$44))</f>
        <v>0</v>
      </c>
      <c r="BA215" s="21" t="n">
        <f aca="false">IF($J215=0,0,MAX(0,NETWORKDAYS(MAX($K215,BA$4),MIN($L215,EOMONTH(BA$4,0)),Assumptions!$F$4:$F$44))/NETWORKDAYS($K215,$L215,Assumptions!$F$4:$F$44))</f>
        <v>0</v>
      </c>
      <c r="BB215" s="21" t="n">
        <f aca="false">IF($J215=0,0,MAX(0,NETWORKDAYS(MAX($K215,BB$4),MIN($L215,EOMONTH(BB$4,0)),Assumptions!$F$4:$F$44))/NETWORKDAYS($K215,$L215,Assumptions!$F$4:$F$44))</f>
        <v>0</v>
      </c>
      <c r="BC215" s="21" t="n">
        <f aca="false">IF($J215=0,0,MAX(0,NETWORKDAYS(MAX($K215,BC$4),MIN($L215,EOMONTH(BC$4,0)),Assumptions!$F$4:$F$44))/NETWORKDAYS($K215,$L215,Assumptions!$F$4:$F$44))</f>
        <v>0</v>
      </c>
    </row>
    <row r="216" customFormat="false" ht="15" hidden="false" customHeight="false" outlineLevel="2" collapsed="false">
      <c r="A216" s="27" t="n">
        <v>212</v>
      </c>
      <c r="B216" s="27" t="s">
        <v>529</v>
      </c>
      <c r="C216" s="27" t="n">
        <v>3</v>
      </c>
      <c r="D216" s="27" t="s">
        <v>92</v>
      </c>
      <c r="E216" s="28" t="s">
        <v>530</v>
      </c>
      <c r="F216" s="27" t="s">
        <v>502</v>
      </c>
      <c r="G216" s="27" t="s">
        <v>512</v>
      </c>
      <c r="H216" s="27" t="s">
        <v>47</v>
      </c>
      <c r="I216" s="29" t="n">
        <v>134</v>
      </c>
      <c r="J216" s="29" t="n">
        <v>44</v>
      </c>
      <c r="K216" s="30" t="n">
        <f aca="false">WORKDAY(Assumptions!$C$4,I216,Assumptions!$F$4:$F$44)</f>
        <v>46514</v>
      </c>
      <c r="L216" s="30" t="n">
        <f aca="false">IF(J216=0,K216,WORKDAY(K216,J216-1,Assumptions!$F$4:$F$44))</f>
        <v>46575</v>
      </c>
      <c r="M216" s="29" t="s">
        <v>520</v>
      </c>
      <c r="N216" s="31" t="n">
        <v>0</v>
      </c>
      <c r="O216" s="31" t="n">
        <v>0</v>
      </c>
      <c r="P216" s="31" t="n">
        <v>0</v>
      </c>
      <c r="Q216" s="31" t="n">
        <v>15</v>
      </c>
      <c r="R216" s="31" t="n">
        <v>0</v>
      </c>
      <c r="S216" s="31" t="n">
        <v>0</v>
      </c>
      <c r="T216" s="31" t="n">
        <v>0</v>
      </c>
      <c r="U216" s="31" t="n">
        <v>0</v>
      </c>
      <c r="V216" s="31" t="n">
        <v>3</v>
      </c>
      <c r="W216" s="31" t="n">
        <v>0</v>
      </c>
      <c r="X216" s="31" t="n">
        <v>0</v>
      </c>
      <c r="Y216" s="32" t="n">
        <f aca="false">SUM(N216:X216)</f>
        <v>18</v>
      </c>
      <c r="Z216" s="32" t="n">
        <f aca="false">Y216*(1+Assumptions!$C$5)</f>
        <v>20.7</v>
      </c>
      <c r="AA216" s="27" t="s">
        <v>328</v>
      </c>
      <c r="AB216" s="27" t="s">
        <v>95</v>
      </c>
      <c r="AC216" s="27"/>
      <c r="AD216" s="33" t="n">
        <v>0</v>
      </c>
      <c r="AF216" s="21" t="n">
        <f aca="false">IF($J216=0,0,MAX(0,NETWORKDAYS(MAX($K216,AF$4),MIN($L216,EOMONTH(AF$4,0)),Assumptions!$F$4:$F$44))/NETWORKDAYS($K216,$L216,Assumptions!$F$4:$F$44))</f>
        <v>0</v>
      </c>
      <c r="AG216" s="21" t="n">
        <f aca="false">IF($J216=0,0,MAX(0,NETWORKDAYS(MAX($K216,AG$4),MIN($L216,EOMONTH(AG$4,0)),Assumptions!$F$4:$F$44))/NETWORKDAYS($K216,$L216,Assumptions!$F$4:$F$44))</f>
        <v>0</v>
      </c>
      <c r="AH216" s="21" t="n">
        <f aca="false">IF($J216=0,0,MAX(0,NETWORKDAYS(MAX($K216,AH$4),MIN($L216,EOMONTH(AH$4,0)),Assumptions!$F$4:$F$44))/NETWORKDAYS($K216,$L216,Assumptions!$F$4:$F$44))</f>
        <v>0</v>
      </c>
      <c r="AI216" s="21" t="n">
        <f aca="false">IF($J216=0,0,MAX(0,NETWORKDAYS(MAX($K216,AI$4),MIN($L216,EOMONTH(AI$4,0)),Assumptions!$F$4:$F$44))/NETWORKDAYS($K216,$L216,Assumptions!$F$4:$F$44))</f>
        <v>0</v>
      </c>
      <c r="AJ216" s="21" t="n">
        <f aca="false">IF($J216=0,0,MAX(0,NETWORKDAYS(MAX($K216,AJ$4),MIN($L216,EOMONTH(AJ$4,0)),Assumptions!$F$4:$F$44))/NETWORKDAYS($K216,$L216,Assumptions!$F$4:$F$44))</f>
        <v>0</v>
      </c>
      <c r="AK216" s="21" t="n">
        <f aca="false">IF($J216=0,0,MAX(0,NETWORKDAYS(MAX($K216,AK$4),MIN($L216,EOMONTH(AK$4,0)),Assumptions!$F$4:$F$44))/NETWORKDAYS($K216,$L216,Assumptions!$F$4:$F$44))</f>
        <v>0</v>
      </c>
      <c r="AL216" s="21" t="n">
        <f aca="false">IF($J216=0,0,MAX(0,NETWORKDAYS(MAX($K216,AL$4),MIN($L216,EOMONTH(AL$4,0)),Assumptions!$F$4:$F$44))/NETWORKDAYS($K216,$L216,Assumptions!$F$4:$F$44))</f>
        <v>0.386363636363636</v>
      </c>
      <c r="AM216" s="21" t="n">
        <f aca="false">IF($J216=0,0,MAX(0,NETWORKDAYS(MAX($K216,AM$4),MIN($L216,EOMONTH(AM$4,0)),Assumptions!$F$4:$F$44))/NETWORKDAYS($K216,$L216,Assumptions!$F$4:$F$44))</f>
        <v>0.5</v>
      </c>
      <c r="AN216" s="21" t="n">
        <f aca="false">IF($J216=0,0,MAX(0,NETWORKDAYS(MAX($K216,AN$4),MIN($L216,EOMONTH(AN$4,0)),Assumptions!$F$4:$F$44))/NETWORKDAYS($K216,$L216,Assumptions!$F$4:$F$44))</f>
        <v>0.113636363636364</v>
      </c>
      <c r="AO216" s="21" t="n">
        <f aca="false">IF($J216=0,0,MAX(0,NETWORKDAYS(MAX($K216,AO$4),MIN($L216,EOMONTH(AO$4,0)),Assumptions!$F$4:$F$44))/NETWORKDAYS($K216,$L216,Assumptions!$F$4:$F$44))</f>
        <v>0</v>
      </c>
      <c r="AP216" s="21" t="n">
        <f aca="false">IF($J216=0,0,MAX(0,NETWORKDAYS(MAX($K216,AP$4),MIN($L216,EOMONTH(AP$4,0)),Assumptions!$F$4:$F$44))/NETWORKDAYS($K216,$L216,Assumptions!$F$4:$F$44))</f>
        <v>0</v>
      </c>
      <c r="AQ216" s="21" t="n">
        <f aca="false">IF($J216=0,0,MAX(0,NETWORKDAYS(MAX($K216,AQ$4),MIN($L216,EOMONTH(AQ$4,0)),Assumptions!$F$4:$F$44))/NETWORKDAYS($K216,$L216,Assumptions!$F$4:$F$44))</f>
        <v>0</v>
      </c>
      <c r="AR216" s="21" t="n">
        <f aca="false">IF($J216=0,0,MAX(0,NETWORKDAYS(MAX($K216,AR$4),MIN($L216,EOMONTH(AR$4,0)),Assumptions!$F$4:$F$44))/NETWORKDAYS($K216,$L216,Assumptions!$F$4:$F$44))</f>
        <v>0</v>
      </c>
      <c r="AS216" s="21" t="n">
        <f aca="false">IF($J216=0,0,MAX(0,NETWORKDAYS(MAX($K216,AS$4),MIN($L216,EOMONTH(AS$4,0)),Assumptions!$F$4:$F$44))/NETWORKDAYS($K216,$L216,Assumptions!$F$4:$F$44))</f>
        <v>0</v>
      </c>
      <c r="AT216" s="21" t="n">
        <f aca="false">IF($J216=0,0,MAX(0,NETWORKDAYS(MAX($K216,AT$4),MIN($L216,EOMONTH(AT$4,0)),Assumptions!$F$4:$F$44))/NETWORKDAYS($K216,$L216,Assumptions!$F$4:$F$44))</f>
        <v>0</v>
      </c>
      <c r="AU216" s="21" t="n">
        <f aca="false">IF($J216=0,0,MAX(0,NETWORKDAYS(MAX($K216,AU$4),MIN($L216,EOMONTH(AU$4,0)),Assumptions!$F$4:$F$44))/NETWORKDAYS($K216,$L216,Assumptions!$F$4:$F$44))</f>
        <v>0</v>
      </c>
      <c r="AV216" s="21" t="n">
        <f aca="false">IF($J216=0,0,MAX(0,NETWORKDAYS(MAX($K216,AV$4),MIN($L216,EOMONTH(AV$4,0)),Assumptions!$F$4:$F$44))/NETWORKDAYS($K216,$L216,Assumptions!$F$4:$F$44))</f>
        <v>0</v>
      </c>
      <c r="AW216" s="21" t="n">
        <f aca="false">IF($J216=0,0,MAX(0,NETWORKDAYS(MAX($K216,AW$4),MIN($L216,EOMONTH(AW$4,0)),Assumptions!$F$4:$F$44))/NETWORKDAYS($K216,$L216,Assumptions!$F$4:$F$44))</f>
        <v>0</v>
      </c>
      <c r="AX216" s="21" t="n">
        <f aca="false">IF($J216=0,0,MAX(0,NETWORKDAYS(MAX($K216,AX$4),MIN($L216,EOMONTH(AX$4,0)),Assumptions!$F$4:$F$44))/NETWORKDAYS($K216,$L216,Assumptions!$F$4:$F$44))</f>
        <v>0</v>
      </c>
      <c r="AY216" s="21" t="n">
        <f aca="false">IF($J216=0,0,MAX(0,NETWORKDAYS(MAX($K216,AY$4),MIN($L216,EOMONTH(AY$4,0)),Assumptions!$F$4:$F$44))/NETWORKDAYS($K216,$L216,Assumptions!$F$4:$F$44))</f>
        <v>0</v>
      </c>
      <c r="AZ216" s="21" t="n">
        <f aca="false">IF($J216=0,0,MAX(0,NETWORKDAYS(MAX($K216,AZ$4),MIN($L216,EOMONTH(AZ$4,0)),Assumptions!$F$4:$F$44))/NETWORKDAYS($K216,$L216,Assumptions!$F$4:$F$44))</f>
        <v>0</v>
      </c>
      <c r="BA216" s="21" t="n">
        <f aca="false">IF($J216=0,0,MAX(0,NETWORKDAYS(MAX($K216,BA$4),MIN($L216,EOMONTH(BA$4,0)),Assumptions!$F$4:$F$44))/NETWORKDAYS($K216,$L216,Assumptions!$F$4:$F$44))</f>
        <v>0</v>
      </c>
      <c r="BB216" s="21" t="n">
        <f aca="false">IF($J216=0,0,MAX(0,NETWORKDAYS(MAX($K216,BB$4),MIN($L216,EOMONTH(BB$4,0)),Assumptions!$F$4:$F$44))/NETWORKDAYS($K216,$L216,Assumptions!$F$4:$F$44))</f>
        <v>0</v>
      </c>
      <c r="BC216" s="21" t="n">
        <f aca="false">IF($J216=0,0,MAX(0,NETWORKDAYS(MAX($K216,BC$4),MIN($L216,EOMONTH(BC$4,0)),Assumptions!$F$4:$F$44))/NETWORKDAYS($K216,$L216,Assumptions!$F$4:$F$44))</f>
        <v>0</v>
      </c>
    </row>
    <row r="217" customFormat="false" ht="15" hidden="false" customHeight="false" outlineLevel="2" collapsed="false">
      <c r="A217" s="27" t="n">
        <v>213</v>
      </c>
      <c r="B217" s="27" t="s">
        <v>531</v>
      </c>
      <c r="C217" s="27" t="n">
        <v>3</v>
      </c>
      <c r="D217" s="27" t="s">
        <v>92</v>
      </c>
      <c r="E217" s="28" t="s">
        <v>330</v>
      </c>
      <c r="F217" s="27" t="s">
        <v>502</v>
      </c>
      <c r="G217" s="27" t="s">
        <v>512</v>
      </c>
      <c r="H217" s="27" t="s">
        <v>47</v>
      </c>
      <c r="I217" s="29" t="n">
        <v>154</v>
      </c>
      <c r="J217" s="29" t="n">
        <v>26</v>
      </c>
      <c r="K217" s="30" t="n">
        <f aca="false">WORKDAY(Assumptions!$C$4,I217,Assumptions!$F$4:$F$44)</f>
        <v>46542</v>
      </c>
      <c r="L217" s="30" t="n">
        <f aca="false">IF(J217=0,K217,WORKDAY(K217,J217-1,Assumptions!$F$4:$F$44))</f>
        <v>46577</v>
      </c>
      <c r="M217" s="29" t="s">
        <v>528</v>
      </c>
      <c r="N217" s="31" t="n">
        <v>0</v>
      </c>
      <c r="O217" s="31" t="n">
        <v>3</v>
      </c>
      <c r="P217" s="31" t="n">
        <v>0</v>
      </c>
      <c r="Q217" s="31" t="n">
        <v>5</v>
      </c>
      <c r="R217" s="31" t="n">
        <v>5</v>
      </c>
      <c r="S217" s="31" t="n">
        <v>0</v>
      </c>
      <c r="T217" s="31" t="n">
        <v>0</v>
      </c>
      <c r="U217" s="31" t="n">
        <v>0</v>
      </c>
      <c r="V217" s="31" t="n">
        <v>0</v>
      </c>
      <c r="W217" s="31" t="n">
        <v>0</v>
      </c>
      <c r="X217" s="31" t="n">
        <v>0</v>
      </c>
      <c r="Y217" s="32" t="n">
        <f aca="false">SUM(N217:X217)</f>
        <v>13</v>
      </c>
      <c r="Z217" s="32" t="n">
        <f aca="false">Y217*(1+Assumptions!$C$5)</f>
        <v>14.95</v>
      </c>
      <c r="AA217" s="27" t="s">
        <v>331</v>
      </c>
      <c r="AB217" s="27" t="s">
        <v>95</v>
      </c>
      <c r="AC217" s="27"/>
      <c r="AD217" s="33" t="n">
        <v>0</v>
      </c>
      <c r="AF217" s="21" t="n">
        <f aca="false">IF($J217=0,0,MAX(0,NETWORKDAYS(MAX($K217,AF$4),MIN($L217,EOMONTH(AF$4,0)),Assumptions!$F$4:$F$44))/NETWORKDAYS($K217,$L217,Assumptions!$F$4:$F$44))</f>
        <v>0</v>
      </c>
      <c r="AG217" s="21" t="n">
        <f aca="false">IF($J217=0,0,MAX(0,NETWORKDAYS(MAX($K217,AG$4),MIN($L217,EOMONTH(AG$4,0)),Assumptions!$F$4:$F$44))/NETWORKDAYS($K217,$L217,Assumptions!$F$4:$F$44))</f>
        <v>0</v>
      </c>
      <c r="AH217" s="21" t="n">
        <f aca="false">IF($J217=0,0,MAX(0,NETWORKDAYS(MAX($K217,AH$4),MIN($L217,EOMONTH(AH$4,0)),Assumptions!$F$4:$F$44))/NETWORKDAYS($K217,$L217,Assumptions!$F$4:$F$44))</f>
        <v>0</v>
      </c>
      <c r="AI217" s="21" t="n">
        <f aca="false">IF($J217=0,0,MAX(0,NETWORKDAYS(MAX($K217,AI$4),MIN($L217,EOMONTH(AI$4,0)),Assumptions!$F$4:$F$44))/NETWORKDAYS($K217,$L217,Assumptions!$F$4:$F$44))</f>
        <v>0</v>
      </c>
      <c r="AJ217" s="21" t="n">
        <f aca="false">IF($J217=0,0,MAX(0,NETWORKDAYS(MAX($K217,AJ$4),MIN($L217,EOMONTH(AJ$4,0)),Assumptions!$F$4:$F$44))/NETWORKDAYS($K217,$L217,Assumptions!$F$4:$F$44))</f>
        <v>0</v>
      </c>
      <c r="AK217" s="21" t="n">
        <f aca="false">IF($J217=0,0,MAX(0,NETWORKDAYS(MAX($K217,AK$4),MIN($L217,EOMONTH(AK$4,0)),Assumptions!$F$4:$F$44))/NETWORKDAYS($K217,$L217,Assumptions!$F$4:$F$44))</f>
        <v>0</v>
      </c>
      <c r="AL217" s="21" t="n">
        <f aca="false">IF($J217=0,0,MAX(0,NETWORKDAYS(MAX($K217,AL$4),MIN($L217,EOMONTH(AL$4,0)),Assumptions!$F$4:$F$44))/NETWORKDAYS($K217,$L217,Assumptions!$F$4:$F$44))</f>
        <v>0</v>
      </c>
      <c r="AM217" s="21" t="n">
        <f aca="false">IF($J217=0,0,MAX(0,NETWORKDAYS(MAX($K217,AM$4),MIN($L217,EOMONTH(AM$4,0)),Assumptions!$F$4:$F$44))/NETWORKDAYS($K217,$L217,Assumptions!$F$4:$F$44))</f>
        <v>0.730769230769231</v>
      </c>
      <c r="AN217" s="21" t="n">
        <f aca="false">IF($J217=0,0,MAX(0,NETWORKDAYS(MAX($K217,AN$4),MIN($L217,EOMONTH(AN$4,0)),Assumptions!$F$4:$F$44))/NETWORKDAYS($K217,$L217,Assumptions!$F$4:$F$44))</f>
        <v>0.269230769230769</v>
      </c>
      <c r="AO217" s="21" t="n">
        <f aca="false">IF($J217=0,0,MAX(0,NETWORKDAYS(MAX($K217,AO$4),MIN($L217,EOMONTH(AO$4,0)),Assumptions!$F$4:$F$44))/NETWORKDAYS($K217,$L217,Assumptions!$F$4:$F$44))</f>
        <v>0</v>
      </c>
      <c r="AP217" s="21" t="n">
        <f aca="false">IF($J217=0,0,MAX(0,NETWORKDAYS(MAX($K217,AP$4),MIN($L217,EOMONTH(AP$4,0)),Assumptions!$F$4:$F$44))/NETWORKDAYS($K217,$L217,Assumptions!$F$4:$F$44))</f>
        <v>0</v>
      </c>
      <c r="AQ217" s="21" t="n">
        <f aca="false">IF($J217=0,0,MAX(0,NETWORKDAYS(MAX($K217,AQ$4),MIN($L217,EOMONTH(AQ$4,0)),Assumptions!$F$4:$F$44))/NETWORKDAYS($K217,$L217,Assumptions!$F$4:$F$44))</f>
        <v>0</v>
      </c>
      <c r="AR217" s="21" t="n">
        <f aca="false">IF($J217=0,0,MAX(0,NETWORKDAYS(MAX($K217,AR$4),MIN($L217,EOMONTH(AR$4,0)),Assumptions!$F$4:$F$44))/NETWORKDAYS($K217,$L217,Assumptions!$F$4:$F$44))</f>
        <v>0</v>
      </c>
      <c r="AS217" s="21" t="n">
        <f aca="false">IF($J217=0,0,MAX(0,NETWORKDAYS(MAX($K217,AS$4),MIN($L217,EOMONTH(AS$4,0)),Assumptions!$F$4:$F$44))/NETWORKDAYS($K217,$L217,Assumptions!$F$4:$F$44))</f>
        <v>0</v>
      </c>
      <c r="AT217" s="21" t="n">
        <f aca="false">IF($J217=0,0,MAX(0,NETWORKDAYS(MAX($K217,AT$4),MIN($L217,EOMONTH(AT$4,0)),Assumptions!$F$4:$F$44))/NETWORKDAYS($K217,$L217,Assumptions!$F$4:$F$44))</f>
        <v>0</v>
      </c>
      <c r="AU217" s="21" t="n">
        <f aca="false">IF($J217=0,0,MAX(0,NETWORKDAYS(MAX($K217,AU$4),MIN($L217,EOMONTH(AU$4,0)),Assumptions!$F$4:$F$44))/NETWORKDAYS($K217,$L217,Assumptions!$F$4:$F$44))</f>
        <v>0</v>
      </c>
      <c r="AV217" s="21" t="n">
        <f aca="false">IF($J217=0,0,MAX(0,NETWORKDAYS(MAX($K217,AV$4),MIN($L217,EOMONTH(AV$4,0)),Assumptions!$F$4:$F$44))/NETWORKDAYS($K217,$L217,Assumptions!$F$4:$F$44))</f>
        <v>0</v>
      </c>
      <c r="AW217" s="21" t="n">
        <f aca="false">IF($J217=0,0,MAX(0,NETWORKDAYS(MAX($K217,AW$4),MIN($L217,EOMONTH(AW$4,0)),Assumptions!$F$4:$F$44))/NETWORKDAYS($K217,$L217,Assumptions!$F$4:$F$44))</f>
        <v>0</v>
      </c>
      <c r="AX217" s="21" t="n">
        <f aca="false">IF($J217=0,0,MAX(0,NETWORKDAYS(MAX($K217,AX$4),MIN($L217,EOMONTH(AX$4,0)),Assumptions!$F$4:$F$44))/NETWORKDAYS($K217,$L217,Assumptions!$F$4:$F$44))</f>
        <v>0</v>
      </c>
      <c r="AY217" s="21" t="n">
        <f aca="false">IF($J217=0,0,MAX(0,NETWORKDAYS(MAX($K217,AY$4),MIN($L217,EOMONTH(AY$4,0)),Assumptions!$F$4:$F$44))/NETWORKDAYS($K217,$L217,Assumptions!$F$4:$F$44))</f>
        <v>0</v>
      </c>
      <c r="AZ217" s="21" t="n">
        <f aca="false">IF($J217=0,0,MAX(0,NETWORKDAYS(MAX($K217,AZ$4),MIN($L217,EOMONTH(AZ$4,0)),Assumptions!$F$4:$F$44))/NETWORKDAYS($K217,$L217,Assumptions!$F$4:$F$44))</f>
        <v>0</v>
      </c>
      <c r="BA217" s="21" t="n">
        <f aca="false">IF($J217=0,0,MAX(0,NETWORKDAYS(MAX($K217,BA$4),MIN($L217,EOMONTH(BA$4,0)),Assumptions!$F$4:$F$44))/NETWORKDAYS($K217,$L217,Assumptions!$F$4:$F$44))</f>
        <v>0</v>
      </c>
      <c r="BB217" s="21" t="n">
        <f aca="false">IF($J217=0,0,MAX(0,NETWORKDAYS(MAX($K217,BB$4),MIN($L217,EOMONTH(BB$4,0)),Assumptions!$F$4:$F$44))/NETWORKDAYS($K217,$L217,Assumptions!$F$4:$F$44))</f>
        <v>0</v>
      </c>
      <c r="BC217" s="21" t="n">
        <f aca="false">IF($J217=0,0,MAX(0,NETWORKDAYS(MAX($K217,BC$4),MIN($L217,EOMONTH(BC$4,0)),Assumptions!$F$4:$F$44))/NETWORKDAYS($K217,$L217,Assumptions!$F$4:$F$44))</f>
        <v>0</v>
      </c>
    </row>
    <row r="218" customFormat="false" ht="15" hidden="false" customHeight="false" outlineLevel="2" collapsed="false">
      <c r="A218" s="27" t="n">
        <v>214</v>
      </c>
      <c r="B218" s="27" t="s">
        <v>532</v>
      </c>
      <c r="C218" s="27" t="n">
        <v>3</v>
      </c>
      <c r="D218" s="27" t="s">
        <v>92</v>
      </c>
      <c r="E218" s="28" t="s">
        <v>533</v>
      </c>
      <c r="F218" s="27" t="s">
        <v>502</v>
      </c>
      <c r="G218" s="27" t="s">
        <v>512</v>
      </c>
      <c r="H218" s="27" t="s">
        <v>59</v>
      </c>
      <c r="I218" s="29" t="n">
        <v>128</v>
      </c>
      <c r="J218" s="29" t="n">
        <v>59</v>
      </c>
      <c r="K218" s="30" t="n">
        <f aca="false">WORKDAY(Assumptions!$C$4,I218,Assumptions!$F$4:$F$44)</f>
        <v>46506</v>
      </c>
      <c r="L218" s="30" t="n">
        <f aca="false">IF(J218=0,K218,WORKDAY(K218,J218-1,Assumptions!$F$4:$F$44))</f>
        <v>46588</v>
      </c>
      <c r="M218" s="29" t="s">
        <v>520</v>
      </c>
      <c r="N218" s="31" t="n">
        <v>0</v>
      </c>
      <c r="O218" s="31" t="n">
        <v>3</v>
      </c>
      <c r="P218" s="31" t="n">
        <v>0</v>
      </c>
      <c r="Q218" s="31" t="n">
        <v>0</v>
      </c>
      <c r="R218" s="31" t="n">
        <v>0</v>
      </c>
      <c r="S218" s="31" t="n">
        <v>0</v>
      </c>
      <c r="T218" s="31" t="n">
        <v>0</v>
      </c>
      <c r="U218" s="31" t="n">
        <v>0</v>
      </c>
      <c r="V218" s="31" t="n">
        <v>0</v>
      </c>
      <c r="W218" s="31" t="n">
        <v>16</v>
      </c>
      <c r="X218" s="31" t="n">
        <v>0</v>
      </c>
      <c r="Y218" s="32" t="n">
        <f aca="false">SUM(N218:X218)</f>
        <v>19</v>
      </c>
      <c r="Z218" s="32" t="n">
        <f aca="false">Y218*(1+Assumptions!$C$5)</f>
        <v>21.85</v>
      </c>
      <c r="AA218" s="27" t="s">
        <v>334</v>
      </c>
      <c r="AB218" s="27" t="s">
        <v>95</v>
      </c>
      <c r="AC218" s="27"/>
      <c r="AD218" s="33" t="n">
        <v>0</v>
      </c>
      <c r="AF218" s="21" t="n">
        <f aca="false">IF($J218=0,0,MAX(0,NETWORKDAYS(MAX($K218,AF$4),MIN($L218,EOMONTH(AF$4,0)),Assumptions!$F$4:$F$44))/NETWORKDAYS($K218,$L218,Assumptions!$F$4:$F$44))</f>
        <v>0</v>
      </c>
      <c r="AG218" s="21" t="n">
        <f aca="false">IF($J218=0,0,MAX(0,NETWORKDAYS(MAX($K218,AG$4),MIN($L218,EOMONTH(AG$4,0)),Assumptions!$F$4:$F$44))/NETWORKDAYS($K218,$L218,Assumptions!$F$4:$F$44))</f>
        <v>0</v>
      </c>
      <c r="AH218" s="21" t="n">
        <f aca="false">IF($J218=0,0,MAX(0,NETWORKDAYS(MAX($K218,AH$4),MIN($L218,EOMONTH(AH$4,0)),Assumptions!$F$4:$F$44))/NETWORKDAYS($K218,$L218,Assumptions!$F$4:$F$44))</f>
        <v>0</v>
      </c>
      <c r="AI218" s="21" t="n">
        <f aca="false">IF($J218=0,0,MAX(0,NETWORKDAYS(MAX($K218,AI$4),MIN($L218,EOMONTH(AI$4,0)),Assumptions!$F$4:$F$44))/NETWORKDAYS($K218,$L218,Assumptions!$F$4:$F$44))</f>
        <v>0</v>
      </c>
      <c r="AJ218" s="21" t="n">
        <f aca="false">IF($J218=0,0,MAX(0,NETWORKDAYS(MAX($K218,AJ$4),MIN($L218,EOMONTH(AJ$4,0)),Assumptions!$F$4:$F$44))/NETWORKDAYS($K218,$L218,Assumptions!$F$4:$F$44))</f>
        <v>0</v>
      </c>
      <c r="AK218" s="21" t="n">
        <f aca="false">IF($J218=0,0,MAX(0,NETWORKDAYS(MAX($K218,AK$4),MIN($L218,EOMONTH(AK$4,0)),Assumptions!$F$4:$F$44))/NETWORKDAYS($K218,$L218,Assumptions!$F$4:$F$44))</f>
        <v>0.0338983050847458</v>
      </c>
      <c r="AL218" s="21" t="n">
        <f aca="false">IF($J218=0,0,MAX(0,NETWORKDAYS(MAX($K218,AL$4),MIN($L218,EOMONTH(AL$4,0)),Assumptions!$F$4:$F$44))/NETWORKDAYS($K218,$L218,Assumptions!$F$4:$F$44))</f>
        <v>0.355932203389831</v>
      </c>
      <c r="AM218" s="21" t="n">
        <f aca="false">IF($J218=0,0,MAX(0,NETWORKDAYS(MAX($K218,AM$4),MIN($L218,EOMONTH(AM$4,0)),Assumptions!$F$4:$F$44))/NETWORKDAYS($K218,$L218,Assumptions!$F$4:$F$44))</f>
        <v>0.372881355932203</v>
      </c>
      <c r="AN218" s="21" t="n">
        <f aca="false">IF($J218=0,0,MAX(0,NETWORKDAYS(MAX($K218,AN$4),MIN($L218,EOMONTH(AN$4,0)),Assumptions!$F$4:$F$44))/NETWORKDAYS($K218,$L218,Assumptions!$F$4:$F$44))</f>
        <v>0.23728813559322</v>
      </c>
      <c r="AO218" s="21" t="n">
        <f aca="false">IF($J218=0,0,MAX(0,NETWORKDAYS(MAX($K218,AO$4),MIN($L218,EOMONTH(AO$4,0)),Assumptions!$F$4:$F$44))/NETWORKDAYS($K218,$L218,Assumptions!$F$4:$F$44))</f>
        <v>0</v>
      </c>
      <c r="AP218" s="21" t="n">
        <f aca="false">IF($J218=0,0,MAX(0,NETWORKDAYS(MAX($K218,AP$4),MIN($L218,EOMONTH(AP$4,0)),Assumptions!$F$4:$F$44))/NETWORKDAYS($K218,$L218,Assumptions!$F$4:$F$44))</f>
        <v>0</v>
      </c>
      <c r="AQ218" s="21" t="n">
        <f aca="false">IF($J218=0,0,MAX(0,NETWORKDAYS(MAX($K218,AQ$4),MIN($L218,EOMONTH(AQ$4,0)),Assumptions!$F$4:$F$44))/NETWORKDAYS($K218,$L218,Assumptions!$F$4:$F$44))</f>
        <v>0</v>
      </c>
      <c r="AR218" s="21" t="n">
        <f aca="false">IF($J218=0,0,MAX(0,NETWORKDAYS(MAX($K218,AR$4),MIN($L218,EOMONTH(AR$4,0)),Assumptions!$F$4:$F$44))/NETWORKDAYS($K218,$L218,Assumptions!$F$4:$F$44))</f>
        <v>0</v>
      </c>
      <c r="AS218" s="21" t="n">
        <f aca="false">IF($J218=0,0,MAX(0,NETWORKDAYS(MAX($K218,AS$4),MIN($L218,EOMONTH(AS$4,0)),Assumptions!$F$4:$F$44))/NETWORKDAYS($K218,$L218,Assumptions!$F$4:$F$44))</f>
        <v>0</v>
      </c>
      <c r="AT218" s="21" t="n">
        <f aca="false">IF($J218=0,0,MAX(0,NETWORKDAYS(MAX($K218,AT$4),MIN($L218,EOMONTH(AT$4,0)),Assumptions!$F$4:$F$44))/NETWORKDAYS($K218,$L218,Assumptions!$F$4:$F$44))</f>
        <v>0</v>
      </c>
      <c r="AU218" s="21" t="n">
        <f aca="false">IF($J218=0,0,MAX(0,NETWORKDAYS(MAX($K218,AU$4),MIN($L218,EOMONTH(AU$4,0)),Assumptions!$F$4:$F$44))/NETWORKDAYS($K218,$L218,Assumptions!$F$4:$F$44))</f>
        <v>0</v>
      </c>
      <c r="AV218" s="21" t="n">
        <f aca="false">IF($J218=0,0,MAX(0,NETWORKDAYS(MAX($K218,AV$4),MIN($L218,EOMONTH(AV$4,0)),Assumptions!$F$4:$F$44))/NETWORKDAYS($K218,$L218,Assumptions!$F$4:$F$44))</f>
        <v>0</v>
      </c>
      <c r="AW218" s="21" t="n">
        <f aca="false">IF($J218=0,0,MAX(0,NETWORKDAYS(MAX($K218,AW$4),MIN($L218,EOMONTH(AW$4,0)),Assumptions!$F$4:$F$44))/NETWORKDAYS($K218,$L218,Assumptions!$F$4:$F$44))</f>
        <v>0</v>
      </c>
      <c r="AX218" s="21" t="n">
        <f aca="false">IF($J218=0,0,MAX(0,NETWORKDAYS(MAX($K218,AX$4),MIN($L218,EOMONTH(AX$4,0)),Assumptions!$F$4:$F$44))/NETWORKDAYS($K218,$L218,Assumptions!$F$4:$F$44))</f>
        <v>0</v>
      </c>
      <c r="AY218" s="21" t="n">
        <f aca="false">IF($J218=0,0,MAX(0,NETWORKDAYS(MAX($K218,AY$4),MIN($L218,EOMONTH(AY$4,0)),Assumptions!$F$4:$F$44))/NETWORKDAYS($K218,$L218,Assumptions!$F$4:$F$44))</f>
        <v>0</v>
      </c>
      <c r="AZ218" s="21" t="n">
        <f aca="false">IF($J218=0,0,MAX(0,NETWORKDAYS(MAX($K218,AZ$4),MIN($L218,EOMONTH(AZ$4,0)),Assumptions!$F$4:$F$44))/NETWORKDAYS($K218,$L218,Assumptions!$F$4:$F$44))</f>
        <v>0</v>
      </c>
      <c r="BA218" s="21" t="n">
        <f aca="false">IF($J218=0,0,MAX(0,NETWORKDAYS(MAX($K218,BA$4),MIN($L218,EOMONTH(BA$4,0)),Assumptions!$F$4:$F$44))/NETWORKDAYS($K218,$L218,Assumptions!$F$4:$F$44))</f>
        <v>0</v>
      </c>
      <c r="BB218" s="21" t="n">
        <f aca="false">IF($J218=0,0,MAX(0,NETWORKDAYS(MAX($K218,BB$4),MIN($L218,EOMONTH(BB$4,0)),Assumptions!$F$4:$F$44))/NETWORKDAYS($K218,$L218,Assumptions!$F$4:$F$44))</f>
        <v>0</v>
      </c>
      <c r="BC218" s="21" t="n">
        <f aca="false">IF($J218=0,0,MAX(0,NETWORKDAYS(MAX($K218,BC$4),MIN($L218,EOMONTH(BC$4,0)),Assumptions!$F$4:$F$44))/NETWORKDAYS($K218,$L218,Assumptions!$F$4:$F$44))</f>
        <v>0</v>
      </c>
    </row>
    <row r="219" customFormat="false" ht="15" hidden="false" customHeight="false" outlineLevel="2" collapsed="false">
      <c r="A219" s="27" t="n">
        <v>215</v>
      </c>
      <c r="B219" s="27" t="s">
        <v>534</v>
      </c>
      <c r="C219" s="27" t="n">
        <v>3</v>
      </c>
      <c r="D219" s="27" t="s">
        <v>92</v>
      </c>
      <c r="E219" s="28" t="s">
        <v>336</v>
      </c>
      <c r="F219" s="27" t="s">
        <v>502</v>
      </c>
      <c r="G219" s="27" t="s">
        <v>512</v>
      </c>
      <c r="H219" s="27" t="s">
        <v>57</v>
      </c>
      <c r="I219" s="29" t="n">
        <v>170</v>
      </c>
      <c r="J219" s="29" t="n">
        <v>21</v>
      </c>
      <c r="K219" s="30" t="n">
        <f aca="false">WORKDAY(Assumptions!$C$4,I219,Assumptions!$F$4:$F$44)</f>
        <v>46566</v>
      </c>
      <c r="L219" s="30" t="n">
        <f aca="false">IF(J219=0,K219,WORKDAY(K219,J219-1,Assumptions!$F$4:$F$44))</f>
        <v>46594</v>
      </c>
      <c r="M219" s="29" t="s">
        <v>535</v>
      </c>
      <c r="N219" s="31" t="n">
        <v>0</v>
      </c>
      <c r="O219" s="31" t="n">
        <v>0</v>
      </c>
      <c r="P219" s="31" t="n">
        <v>0</v>
      </c>
      <c r="Q219" s="31" t="n">
        <v>0</v>
      </c>
      <c r="R219" s="31" t="n">
        <v>0</v>
      </c>
      <c r="S219" s="31" t="n">
        <v>0</v>
      </c>
      <c r="T219" s="31" t="n">
        <v>0</v>
      </c>
      <c r="U219" s="31" t="n">
        <v>0</v>
      </c>
      <c r="V219" s="31" t="n">
        <v>26</v>
      </c>
      <c r="W219" s="31" t="n">
        <v>0</v>
      </c>
      <c r="X219" s="31" t="n">
        <v>0</v>
      </c>
      <c r="Y219" s="32" t="n">
        <f aca="false">SUM(N219:X219)</f>
        <v>26</v>
      </c>
      <c r="Z219" s="32" t="n">
        <f aca="false">Y219*(1+Assumptions!$C$5)</f>
        <v>29.9</v>
      </c>
      <c r="AA219" s="27" t="s">
        <v>338</v>
      </c>
      <c r="AB219" s="27" t="s">
        <v>95</v>
      </c>
      <c r="AC219" s="27"/>
      <c r="AD219" s="33" t="n">
        <v>0</v>
      </c>
      <c r="AF219" s="21" t="n">
        <f aca="false">IF($J219=0,0,MAX(0,NETWORKDAYS(MAX($K219,AF$4),MIN($L219,EOMONTH(AF$4,0)),Assumptions!$F$4:$F$44))/NETWORKDAYS($K219,$L219,Assumptions!$F$4:$F$44))</f>
        <v>0</v>
      </c>
      <c r="AG219" s="21" t="n">
        <f aca="false">IF($J219=0,0,MAX(0,NETWORKDAYS(MAX($K219,AG$4),MIN($L219,EOMONTH(AG$4,0)),Assumptions!$F$4:$F$44))/NETWORKDAYS($K219,$L219,Assumptions!$F$4:$F$44))</f>
        <v>0</v>
      </c>
      <c r="AH219" s="21" t="n">
        <f aca="false">IF($J219=0,0,MAX(0,NETWORKDAYS(MAX($K219,AH$4),MIN($L219,EOMONTH(AH$4,0)),Assumptions!$F$4:$F$44))/NETWORKDAYS($K219,$L219,Assumptions!$F$4:$F$44))</f>
        <v>0</v>
      </c>
      <c r="AI219" s="21" t="n">
        <f aca="false">IF($J219=0,0,MAX(0,NETWORKDAYS(MAX($K219,AI$4),MIN($L219,EOMONTH(AI$4,0)),Assumptions!$F$4:$F$44))/NETWORKDAYS($K219,$L219,Assumptions!$F$4:$F$44))</f>
        <v>0</v>
      </c>
      <c r="AJ219" s="21" t="n">
        <f aca="false">IF($J219=0,0,MAX(0,NETWORKDAYS(MAX($K219,AJ$4),MIN($L219,EOMONTH(AJ$4,0)),Assumptions!$F$4:$F$44))/NETWORKDAYS($K219,$L219,Assumptions!$F$4:$F$44))</f>
        <v>0</v>
      </c>
      <c r="AK219" s="21" t="n">
        <f aca="false">IF($J219=0,0,MAX(0,NETWORKDAYS(MAX($K219,AK$4),MIN($L219,EOMONTH(AK$4,0)),Assumptions!$F$4:$F$44))/NETWORKDAYS($K219,$L219,Assumptions!$F$4:$F$44))</f>
        <v>0</v>
      </c>
      <c r="AL219" s="21" t="n">
        <f aca="false">IF($J219=0,0,MAX(0,NETWORKDAYS(MAX($K219,AL$4),MIN($L219,EOMONTH(AL$4,0)),Assumptions!$F$4:$F$44))/NETWORKDAYS($K219,$L219,Assumptions!$F$4:$F$44))</f>
        <v>0</v>
      </c>
      <c r="AM219" s="21" t="n">
        <f aca="false">IF($J219=0,0,MAX(0,NETWORKDAYS(MAX($K219,AM$4),MIN($L219,EOMONTH(AM$4,0)),Assumptions!$F$4:$F$44))/NETWORKDAYS($K219,$L219,Assumptions!$F$4:$F$44))</f>
        <v>0.142857142857143</v>
      </c>
      <c r="AN219" s="21" t="n">
        <f aca="false">IF($J219=0,0,MAX(0,NETWORKDAYS(MAX($K219,AN$4),MIN($L219,EOMONTH(AN$4,0)),Assumptions!$F$4:$F$44))/NETWORKDAYS($K219,$L219,Assumptions!$F$4:$F$44))</f>
        <v>0.857142857142857</v>
      </c>
      <c r="AO219" s="21" t="n">
        <f aca="false">IF($J219=0,0,MAX(0,NETWORKDAYS(MAX($K219,AO$4),MIN($L219,EOMONTH(AO$4,0)),Assumptions!$F$4:$F$44))/NETWORKDAYS($K219,$L219,Assumptions!$F$4:$F$44))</f>
        <v>0</v>
      </c>
      <c r="AP219" s="21" t="n">
        <f aca="false">IF($J219=0,0,MAX(0,NETWORKDAYS(MAX($K219,AP$4),MIN($L219,EOMONTH(AP$4,0)),Assumptions!$F$4:$F$44))/NETWORKDAYS($K219,$L219,Assumptions!$F$4:$F$44))</f>
        <v>0</v>
      </c>
      <c r="AQ219" s="21" t="n">
        <f aca="false">IF($J219=0,0,MAX(0,NETWORKDAYS(MAX($K219,AQ$4),MIN($L219,EOMONTH(AQ$4,0)),Assumptions!$F$4:$F$44))/NETWORKDAYS($K219,$L219,Assumptions!$F$4:$F$44))</f>
        <v>0</v>
      </c>
      <c r="AR219" s="21" t="n">
        <f aca="false">IF($J219=0,0,MAX(0,NETWORKDAYS(MAX($K219,AR$4),MIN($L219,EOMONTH(AR$4,0)),Assumptions!$F$4:$F$44))/NETWORKDAYS($K219,$L219,Assumptions!$F$4:$F$44))</f>
        <v>0</v>
      </c>
      <c r="AS219" s="21" t="n">
        <f aca="false">IF($J219=0,0,MAX(0,NETWORKDAYS(MAX($K219,AS$4),MIN($L219,EOMONTH(AS$4,0)),Assumptions!$F$4:$F$44))/NETWORKDAYS($K219,$L219,Assumptions!$F$4:$F$44))</f>
        <v>0</v>
      </c>
      <c r="AT219" s="21" t="n">
        <f aca="false">IF($J219=0,0,MAX(0,NETWORKDAYS(MAX($K219,AT$4),MIN($L219,EOMONTH(AT$4,0)),Assumptions!$F$4:$F$44))/NETWORKDAYS($K219,$L219,Assumptions!$F$4:$F$44))</f>
        <v>0</v>
      </c>
      <c r="AU219" s="21" t="n">
        <f aca="false">IF($J219=0,0,MAX(0,NETWORKDAYS(MAX($K219,AU$4),MIN($L219,EOMONTH(AU$4,0)),Assumptions!$F$4:$F$44))/NETWORKDAYS($K219,$L219,Assumptions!$F$4:$F$44))</f>
        <v>0</v>
      </c>
      <c r="AV219" s="21" t="n">
        <f aca="false">IF($J219=0,0,MAX(0,NETWORKDAYS(MAX($K219,AV$4),MIN($L219,EOMONTH(AV$4,0)),Assumptions!$F$4:$F$44))/NETWORKDAYS($K219,$L219,Assumptions!$F$4:$F$44))</f>
        <v>0</v>
      </c>
      <c r="AW219" s="21" t="n">
        <f aca="false">IF($J219=0,0,MAX(0,NETWORKDAYS(MAX($K219,AW$4),MIN($L219,EOMONTH(AW$4,0)),Assumptions!$F$4:$F$44))/NETWORKDAYS($K219,$L219,Assumptions!$F$4:$F$44))</f>
        <v>0</v>
      </c>
      <c r="AX219" s="21" t="n">
        <f aca="false">IF($J219=0,0,MAX(0,NETWORKDAYS(MAX($K219,AX$4),MIN($L219,EOMONTH(AX$4,0)),Assumptions!$F$4:$F$44))/NETWORKDAYS($K219,$L219,Assumptions!$F$4:$F$44))</f>
        <v>0</v>
      </c>
      <c r="AY219" s="21" t="n">
        <f aca="false">IF($J219=0,0,MAX(0,NETWORKDAYS(MAX($K219,AY$4),MIN($L219,EOMONTH(AY$4,0)),Assumptions!$F$4:$F$44))/NETWORKDAYS($K219,$L219,Assumptions!$F$4:$F$44))</f>
        <v>0</v>
      </c>
      <c r="AZ219" s="21" t="n">
        <f aca="false">IF($J219=0,0,MAX(0,NETWORKDAYS(MAX($K219,AZ$4),MIN($L219,EOMONTH(AZ$4,0)),Assumptions!$F$4:$F$44))/NETWORKDAYS($K219,$L219,Assumptions!$F$4:$F$44))</f>
        <v>0</v>
      </c>
      <c r="BA219" s="21" t="n">
        <f aca="false">IF($J219=0,0,MAX(0,NETWORKDAYS(MAX($K219,BA$4),MIN($L219,EOMONTH(BA$4,0)),Assumptions!$F$4:$F$44))/NETWORKDAYS($K219,$L219,Assumptions!$F$4:$F$44))</f>
        <v>0</v>
      </c>
      <c r="BB219" s="21" t="n">
        <f aca="false">IF($J219=0,0,MAX(0,NETWORKDAYS(MAX($K219,BB$4),MIN($L219,EOMONTH(BB$4,0)),Assumptions!$F$4:$F$44))/NETWORKDAYS($K219,$L219,Assumptions!$F$4:$F$44))</f>
        <v>0</v>
      </c>
      <c r="BC219" s="21" t="n">
        <f aca="false">IF($J219=0,0,MAX(0,NETWORKDAYS(MAX($K219,BC$4),MIN($L219,EOMONTH(BC$4,0)),Assumptions!$F$4:$F$44))/NETWORKDAYS($K219,$L219,Assumptions!$F$4:$F$44))</f>
        <v>0</v>
      </c>
    </row>
    <row r="220" customFormat="false" ht="15" hidden="false" customHeight="false" outlineLevel="2" collapsed="false">
      <c r="A220" s="27" t="n">
        <v>216</v>
      </c>
      <c r="B220" s="27" t="s">
        <v>536</v>
      </c>
      <c r="C220" s="27" t="n">
        <v>3</v>
      </c>
      <c r="D220" s="27" t="s">
        <v>92</v>
      </c>
      <c r="E220" s="28" t="s">
        <v>340</v>
      </c>
      <c r="F220" s="27" t="s">
        <v>502</v>
      </c>
      <c r="G220" s="27" t="s">
        <v>512</v>
      </c>
      <c r="H220" s="27" t="s">
        <v>47</v>
      </c>
      <c r="I220" s="29" t="n">
        <v>174</v>
      </c>
      <c r="J220" s="29" t="n">
        <v>26</v>
      </c>
      <c r="K220" s="30" t="n">
        <f aca="false">WORKDAY(Assumptions!$C$4,I220,Assumptions!$F$4:$F$44)</f>
        <v>46570</v>
      </c>
      <c r="L220" s="30" t="n">
        <f aca="false">IF(J220=0,K220,WORKDAY(K220,J220-1,Assumptions!$F$4:$F$44))</f>
        <v>46605</v>
      </c>
      <c r="M220" s="29" t="s">
        <v>537</v>
      </c>
      <c r="N220" s="31" t="n">
        <v>0</v>
      </c>
      <c r="O220" s="31" t="n">
        <v>0</v>
      </c>
      <c r="P220" s="31" t="n">
        <v>0</v>
      </c>
      <c r="Q220" s="31" t="n">
        <v>10</v>
      </c>
      <c r="R220" s="31" t="n">
        <v>6</v>
      </c>
      <c r="S220" s="31" t="n">
        <v>0</v>
      </c>
      <c r="T220" s="31" t="n">
        <v>0</v>
      </c>
      <c r="U220" s="31" t="n">
        <v>0</v>
      </c>
      <c r="V220" s="31" t="n">
        <v>5</v>
      </c>
      <c r="W220" s="31" t="n">
        <v>0</v>
      </c>
      <c r="X220" s="31" t="n">
        <v>0</v>
      </c>
      <c r="Y220" s="32" t="n">
        <f aca="false">SUM(N220:X220)</f>
        <v>21</v>
      </c>
      <c r="Z220" s="32" t="n">
        <f aca="false">Y220*(1+Assumptions!$C$5)</f>
        <v>24.15</v>
      </c>
      <c r="AA220" s="27" t="s">
        <v>342</v>
      </c>
      <c r="AB220" s="27" t="s">
        <v>95</v>
      </c>
      <c r="AC220" s="27"/>
      <c r="AD220" s="33" t="n">
        <v>0</v>
      </c>
      <c r="AF220" s="21" t="n">
        <f aca="false">IF($J220=0,0,MAX(0,NETWORKDAYS(MAX($K220,AF$4),MIN($L220,EOMONTH(AF$4,0)),Assumptions!$F$4:$F$44))/NETWORKDAYS($K220,$L220,Assumptions!$F$4:$F$44))</f>
        <v>0</v>
      </c>
      <c r="AG220" s="21" t="n">
        <f aca="false">IF($J220=0,0,MAX(0,NETWORKDAYS(MAX($K220,AG$4),MIN($L220,EOMONTH(AG$4,0)),Assumptions!$F$4:$F$44))/NETWORKDAYS($K220,$L220,Assumptions!$F$4:$F$44))</f>
        <v>0</v>
      </c>
      <c r="AH220" s="21" t="n">
        <f aca="false">IF($J220=0,0,MAX(0,NETWORKDAYS(MAX($K220,AH$4),MIN($L220,EOMONTH(AH$4,0)),Assumptions!$F$4:$F$44))/NETWORKDAYS($K220,$L220,Assumptions!$F$4:$F$44))</f>
        <v>0</v>
      </c>
      <c r="AI220" s="21" t="n">
        <f aca="false">IF($J220=0,0,MAX(0,NETWORKDAYS(MAX($K220,AI$4),MIN($L220,EOMONTH(AI$4,0)),Assumptions!$F$4:$F$44))/NETWORKDAYS($K220,$L220,Assumptions!$F$4:$F$44))</f>
        <v>0</v>
      </c>
      <c r="AJ220" s="21" t="n">
        <f aca="false">IF($J220=0,0,MAX(0,NETWORKDAYS(MAX($K220,AJ$4),MIN($L220,EOMONTH(AJ$4,0)),Assumptions!$F$4:$F$44))/NETWORKDAYS($K220,$L220,Assumptions!$F$4:$F$44))</f>
        <v>0</v>
      </c>
      <c r="AK220" s="21" t="n">
        <f aca="false">IF($J220=0,0,MAX(0,NETWORKDAYS(MAX($K220,AK$4),MIN($L220,EOMONTH(AK$4,0)),Assumptions!$F$4:$F$44))/NETWORKDAYS($K220,$L220,Assumptions!$F$4:$F$44))</f>
        <v>0</v>
      </c>
      <c r="AL220" s="21" t="n">
        <f aca="false">IF($J220=0,0,MAX(0,NETWORKDAYS(MAX($K220,AL$4),MIN($L220,EOMONTH(AL$4,0)),Assumptions!$F$4:$F$44))/NETWORKDAYS($K220,$L220,Assumptions!$F$4:$F$44))</f>
        <v>0</v>
      </c>
      <c r="AM220" s="21" t="n">
        <f aca="false">IF($J220=0,0,MAX(0,NETWORKDAYS(MAX($K220,AM$4),MIN($L220,EOMONTH(AM$4,0)),Assumptions!$F$4:$F$44))/NETWORKDAYS($K220,$L220,Assumptions!$F$4:$F$44))</f>
        <v>0</v>
      </c>
      <c r="AN220" s="21" t="n">
        <f aca="false">IF($J220=0,0,MAX(0,NETWORKDAYS(MAX($K220,AN$4),MIN($L220,EOMONTH(AN$4,0)),Assumptions!$F$4:$F$44))/NETWORKDAYS($K220,$L220,Assumptions!$F$4:$F$44))</f>
        <v>0.807692307692308</v>
      </c>
      <c r="AO220" s="21" t="n">
        <f aca="false">IF($J220=0,0,MAX(0,NETWORKDAYS(MAX($K220,AO$4),MIN($L220,EOMONTH(AO$4,0)),Assumptions!$F$4:$F$44))/NETWORKDAYS($K220,$L220,Assumptions!$F$4:$F$44))</f>
        <v>0.192307692307692</v>
      </c>
      <c r="AP220" s="21" t="n">
        <f aca="false">IF($J220=0,0,MAX(0,NETWORKDAYS(MAX($K220,AP$4),MIN($L220,EOMONTH(AP$4,0)),Assumptions!$F$4:$F$44))/NETWORKDAYS($K220,$L220,Assumptions!$F$4:$F$44))</f>
        <v>0</v>
      </c>
      <c r="AQ220" s="21" t="n">
        <f aca="false">IF($J220=0,0,MAX(0,NETWORKDAYS(MAX($K220,AQ$4),MIN($L220,EOMONTH(AQ$4,0)),Assumptions!$F$4:$F$44))/NETWORKDAYS($K220,$L220,Assumptions!$F$4:$F$44))</f>
        <v>0</v>
      </c>
      <c r="AR220" s="21" t="n">
        <f aca="false">IF($J220=0,0,MAX(0,NETWORKDAYS(MAX($K220,AR$4),MIN($L220,EOMONTH(AR$4,0)),Assumptions!$F$4:$F$44))/NETWORKDAYS($K220,$L220,Assumptions!$F$4:$F$44))</f>
        <v>0</v>
      </c>
      <c r="AS220" s="21" t="n">
        <f aca="false">IF($J220=0,0,MAX(0,NETWORKDAYS(MAX($K220,AS$4),MIN($L220,EOMONTH(AS$4,0)),Assumptions!$F$4:$F$44))/NETWORKDAYS($K220,$L220,Assumptions!$F$4:$F$44))</f>
        <v>0</v>
      </c>
      <c r="AT220" s="21" t="n">
        <f aca="false">IF($J220=0,0,MAX(0,NETWORKDAYS(MAX($K220,AT$4),MIN($L220,EOMONTH(AT$4,0)),Assumptions!$F$4:$F$44))/NETWORKDAYS($K220,$L220,Assumptions!$F$4:$F$44))</f>
        <v>0</v>
      </c>
      <c r="AU220" s="21" t="n">
        <f aca="false">IF($J220=0,0,MAX(0,NETWORKDAYS(MAX($K220,AU$4),MIN($L220,EOMONTH(AU$4,0)),Assumptions!$F$4:$F$44))/NETWORKDAYS($K220,$L220,Assumptions!$F$4:$F$44))</f>
        <v>0</v>
      </c>
      <c r="AV220" s="21" t="n">
        <f aca="false">IF($J220=0,0,MAX(0,NETWORKDAYS(MAX($K220,AV$4),MIN($L220,EOMONTH(AV$4,0)),Assumptions!$F$4:$F$44))/NETWORKDAYS($K220,$L220,Assumptions!$F$4:$F$44))</f>
        <v>0</v>
      </c>
      <c r="AW220" s="21" t="n">
        <f aca="false">IF($J220=0,0,MAX(0,NETWORKDAYS(MAX($K220,AW$4),MIN($L220,EOMONTH(AW$4,0)),Assumptions!$F$4:$F$44))/NETWORKDAYS($K220,$L220,Assumptions!$F$4:$F$44))</f>
        <v>0</v>
      </c>
      <c r="AX220" s="21" t="n">
        <f aca="false">IF($J220=0,0,MAX(0,NETWORKDAYS(MAX($K220,AX$4),MIN($L220,EOMONTH(AX$4,0)),Assumptions!$F$4:$F$44))/NETWORKDAYS($K220,$L220,Assumptions!$F$4:$F$44))</f>
        <v>0</v>
      </c>
      <c r="AY220" s="21" t="n">
        <f aca="false">IF($J220=0,0,MAX(0,NETWORKDAYS(MAX($K220,AY$4),MIN($L220,EOMONTH(AY$4,0)),Assumptions!$F$4:$F$44))/NETWORKDAYS($K220,$L220,Assumptions!$F$4:$F$44))</f>
        <v>0</v>
      </c>
      <c r="AZ220" s="21" t="n">
        <f aca="false">IF($J220=0,0,MAX(0,NETWORKDAYS(MAX($K220,AZ$4),MIN($L220,EOMONTH(AZ$4,0)),Assumptions!$F$4:$F$44))/NETWORKDAYS($K220,$L220,Assumptions!$F$4:$F$44))</f>
        <v>0</v>
      </c>
      <c r="BA220" s="21" t="n">
        <f aca="false">IF($J220=0,0,MAX(0,NETWORKDAYS(MAX($K220,BA$4),MIN($L220,EOMONTH(BA$4,0)),Assumptions!$F$4:$F$44))/NETWORKDAYS($K220,$L220,Assumptions!$F$4:$F$44))</f>
        <v>0</v>
      </c>
      <c r="BB220" s="21" t="n">
        <f aca="false">IF($J220=0,0,MAX(0,NETWORKDAYS(MAX($K220,BB$4),MIN($L220,EOMONTH(BB$4,0)),Assumptions!$F$4:$F$44))/NETWORKDAYS($K220,$L220,Assumptions!$F$4:$F$44))</f>
        <v>0</v>
      </c>
      <c r="BC220" s="21" t="n">
        <f aca="false">IF($J220=0,0,MAX(0,NETWORKDAYS(MAX($K220,BC$4),MIN($L220,EOMONTH(BC$4,0)),Assumptions!$F$4:$F$44))/NETWORKDAYS($K220,$L220,Assumptions!$F$4:$F$44))</f>
        <v>0</v>
      </c>
    </row>
    <row r="221" customFormat="false" ht="15" hidden="false" customHeight="false" outlineLevel="2" collapsed="false">
      <c r="A221" s="27" t="n">
        <v>217</v>
      </c>
      <c r="B221" s="27" t="s">
        <v>538</v>
      </c>
      <c r="C221" s="27" t="n">
        <v>3</v>
      </c>
      <c r="D221" s="27" t="s">
        <v>92</v>
      </c>
      <c r="E221" s="28" t="s">
        <v>344</v>
      </c>
      <c r="F221" s="27" t="s">
        <v>502</v>
      </c>
      <c r="G221" s="27" t="s">
        <v>512</v>
      </c>
      <c r="H221" s="27" t="s">
        <v>43</v>
      </c>
      <c r="I221" s="29" t="n">
        <v>191</v>
      </c>
      <c r="J221" s="29" t="n">
        <v>13</v>
      </c>
      <c r="K221" s="30" t="n">
        <f aca="false">WORKDAY(Assumptions!$C$4,I221,Assumptions!$F$4:$F$44)</f>
        <v>46595</v>
      </c>
      <c r="L221" s="30" t="n">
        <f aca="false">IF(J221=0,K221,WORKDAY(K221,J221-1,Assumptions!$F$4:$F$44))</f>
        <v>46611</v>
      </c>
      <c r="M221" s="29" t="s">
        <v>537</v>
      </c>
      <c r="N221" s="31" t="n">
        <v>0</v>
      </c>
      <c r="O221" s="31" t="n">
        <v>6</v>
      </c>
      <c r="P221" s="31" t="n">
        <v>0</v>
      </c>
      <c r="Q221" s="31" t="n">
        <v>0</v>
      </c>
      <c r="R221" s="31" t="n">
        <v>0</v>
      </c>
      <c r="S221" s="31" t="n">
        <v>0</v>
      </c>
      <c r="T221" s="31" t="n">
        <v>0</v>
      </c>
      <c r="U221" s="31" t="n">
        <v>0</v>
      </c>
      <c r="V221" s="31" t="n">
        <v>6</v>
      </c>
      <c r="W221" s="31" t="n">
        <v>0</v>
      </c>
      <c r="X221" s="31" t="n">
        <v>0</v>
      </c>
      <c r="Y221" s="32" t="n">
        <f aca="false">SUM(N221:X221)</f>
        <v>12</v>
      </c>
      <c r="Z221" s="32" t="n">
        <f aca="false">Y221*(1+Assumptions!$C$5)</f>
        <v>13.8</v>
      </c>
      <c r="AA221" s="27" t="s">
        <v>345</v>
      </c>
      <c r="AB221" s="27" t="s">
        <v>95</v>
      </c>
      <c r="AC221" s="27"/>
      <c r="AD221" s="33" t="n">
        <v>0</v>
      </c>
      <c r="AF221" s="21" t="n">
        <f aca="false">IF($J221=0,0,MAX(0,NETWORKDAYS(MAX($K221,AF$4),MIN($L221,EOMONTH(AF$4,0)),Assumptions!$F$4:$F$44))/NETWORKDAYS($K221,$L221,Assumptions!$F$4:$F$44))</f>
        <v>0</v>
      </c>
      <c r="AG221" s="21" t="n">
        <f aca="false">IF($J221=0,0,MAX(0,NETWORKDAYS(MAX($K221,AG$4),MIN($L221,EOMONTH(AG$4,0)),Assumptions!$F$4:$F$44))/NETWORKDAYS($K221,$L221,Assumptions!$F$4:$F$44))</f>
        <v>0</v>
      </c>
      <c r="AH221" s="21" t="n">
        <f aca="false">IF($J221=0,0,MAX(0,NETWORKDAYS(MAX($K221,AH$4),MIN($L221,EOMONTH(AH$4,0)),Assumptions!$F$4:$F$44))/NETWORKDAYS($K221,$L221,Assumptions!$F$4:$F$44))</f>
        <v>0</v>
      </c>
      <c r="AI221" s="21" t="n">
        <f aca="false">IF($J221=0,0,MAX(0,NETWORKDAYS(MAX($K221,AI$4),MIN($L221,EOMONTH(AI$4,0)),Assumptions!$F$4:$F$44))/NETWORKDAYS($K221,$L221,Assumptions!$F$4:$F$44))</f>
        <v>0</v>
      </c>
      <c r="AJ221" s="21" t="n">
        <f aca="false">IF($J221=0,0,MAX(0,NETWORKDAYS(MAX($K221,AJ$4),MIN($L221,EOMONTH(AJ$4,0)),Assumptions!$F$4:$F$44))/NETWORKDAYS($K221,$L221,Assumptions!$F$4:$F$44))</f>
        <v>0</v>
      </c>
      <c r="AK221" s="21" t="n">
        <f aca="false">IF($J221=0,0,MAX(0,NETWORKDAYS(MAX($K221,AK$4),MIN($L221,EOMONTH(AK$4,0)),Assumptions!$F$4:$F$44))/NETWORKDAYS($K221,$L221,Assumptions!$F$4:$F$44))</f>
        <v>0</v>
      </c>
      <c r="AL221" s="21" t="n">
        <f aca="false">IF($J221=0,0,MAX(0,NETWORKDAYS(MAX($K221,AL$4),MIN($L221,EOMONTH(AL$4,0)),Assumptions!$F$4:$F$44))/NETWORKDAYS($K221,$L221,Assumptions!$F$4:$F$44))</f>
        <v>0</v>
      </c>
      <c r="AM221" s="21" t="n">
        <f aca="false">IF($J221=0,0,MAX(0,NETWORKDAYS(MAX($K221,AM$4),MIN($L221,EOMONTH(AM$4,0)),Assumptions!$F$4:$F$44))/NETWORKDAYS($K221,$L221,Assumptions!$F$4:$F$44))</f>
        <v>0</v>
      </c>
      <c r="AN221" s="21" t="n">
        <f aca="false">IF($J221=0,0,MAX(0,NETWORKDAYS(MAX($K221,AN$4),MIN($L221,EOMONTH(AN$4,0)),Assumptions!$F$4:$F$44))/NETWORKDAYS($K221,$L221,Assumptions!$F$4:$F$44))</f>
        <v>0.307692307692308</v>
      </c>
      <c r="AO221" s="21" t="n">
        <f aca="false">IF($J221=0,0,MAX(0,NETWORKDAYS(MAX($K221,AO$4),MIN($L221,EOMONTH(AO$4,0)),Assumptions!$F$4:$F$44))/NETWORKDAYS($K221,$L221,Assumptions!$F$4:$F$44))</f>
        <v>0.692307692307692</v>
      </c>
      <c r="AP221" s="21" t="n">
        <f aca="false">IF($J221=0,0,MAX(0,NETWORKDAYS(MAX($K221,AP$4),MIN($L221,EOMONTH(AP$4,0)),Assumptions!$F$4:$F$44))/NETWORKDAYS($K221,$L221,Assumptions!$F$4:$F$44))</f>
        <v>0</v>
      </c>
      <c r="AQ221" s="21" t="n">
        <f aca="false">IF($J221=0,0,MAX(0,NETWORKDAYS(MAX($K221,AQ$4),MIN($L221,EOMONTH(AQ$4,0)),Assumptions!$F$4:$F$44))/NETWORKDAYS($K221,$L221,Assumptions!$F$4:$F$44))</f>
        <v>0</v>
      </c>
      <c r="AR221" s="21" t="n">
        <f aca="false">IF($J221=0,0,MAX(0,NETWORKDAYS(MAX($K221,AR$4),MIN($L221,EOMONTH(AR$4,0)),Assumptions!$F$4:$F$44))/NETWORKDAYS($K221,$L221,Assumptions!$F$4:$F$44))</f>
        <v>0</v>
      </c>
      <c r="AS221" s="21" t="n">
        <f aca="false">IF($J221=0,0,MAX(0,NETWORKDAYS(MAX($K221,AS$4),MIN($L221,EOMONTH(AS$4,0)),Assumptions!$F$4:$F$44))/NETWORKDAYS($K221,$L221,Assumptions!$F$4:$F$44))</f>
        <v>0</v>
      </c>
      <c r="AT221" s="21" t="n">
        <f aca="false">IF($J221=0,0,MAX(0,NETWORKDAYS(MAX($K221,AT$4),MIN($L221,EOMONTH(AT$4,0)),Assumptions!$F$4:$F$44))/NETWORKDAYS($K221,$L221,Assumptions!$F$4:$F$44))</f>
        <v>0</v>
      </c>
      <c r="AU221" s="21" t="n">
        <f aca="false">IF($J221=0,0,MAX(0,NETWORKDAYS(MAX($K221,AU$4),MIN($L221,EOMONTH(AU$4,0)),Assumptions!$F$4:$F$44))/NETWORKDAYS($K221,$L221,Assumptions!$F$4:$F$44))</f>
        <v>0</v>
      </c>
      <c r="AV221" s="21" t="n">
        <f aca="false">IF($J221=0,0,MAX(0,NETWORKDAYS(MAX($K221,AV$4),MIN($L221,EOMONTH(AV$4,0)),Assumptions!$F$4:$F$44))/NETWORKDAYS($K221,$L221,Assumptions!$F$4:$F$44))</f>
        <v>0</v>
      </c>
      <c r="AW221" s="21" t="n">
        <f aca="false">IF($J221=0,0,MAX(0,NETWORKDAYS(MAX($K221,AW$4),MIN($L221,EOMONTH(AW$4,0)),Assumptions!$F$4:$F$44))/NETWORKDAYS($K221,$L221,Assumptions!$F$4:$F$44))</f>
        <v>0</v>
      </c>
      <c r="AX221" s="21" t="n">
        <f aca="false">IF($J221=0,0,MAX(0,NETWORKDAYS(MAX($K221,AX$4),MIN($L221,EOMONTH(AX$4,0)),Assumptions!$F$4:$F$44))/NETWORKDAYS($K221,$L221,Assumptions!$F$4:$F$44))</f>
        <v>0</v>
      </c>
      <c r="AY221" s="21" t="n">
        <f aca="false">IF($J221=0,0,MAX(0,NETWORKDAYS(MAX($K221,AY$4),MIN($L221,EOMONTH(AY$4,0)),Assumptions!$F$4:$F$44))/NETWORKDAYS($K221,$L221,Assumptions!$F$4:$F$44))</f>
        <v>0</v>
      </c>
      <c r="AZ221" s="21" t="n">
        <f aca="false">IF($J221=0,0,MAX(0,NETWORKDAYS(MAX($K221,AZ$4),MIN($L221,EOMONTH(AZ$4,0)),Assumptions!$F$4:$F$44))/NETWORKDAYS($K221,$L221,Assumptions!$F$4:$F$44))</f>
        <v>0</v>
      </c>
      <c r="BA221" s="21" t="n">
        <f aca="false">IF($J221=0,0,MAX(0,NETWORKDAYS(MAX($K221,BA$4),MIN($L221,EOMONTH(BA$4,0)),Assumptions!$F$4:$F$44))/NETWORKDAYS($K221,$L221,Assumptions!$F$4:$F$44))</f>
        <v>0</v>
      </c>
      <c r="BB221" s="21" t="n">
        <f aca="false">IF($J221=0,0,MAX(0,NETWORKDAYS(MAX($K221,BB$4),MIN($L221,EOMONTH(BB$4,0)),Assumptions!$F$4:$F$44))/NETWORKDAYS($K221,$L221,Assumptions!$F$4:$F$44))</f>
        <v>0</v>
      </c>
      <c r="BC221" s="21" t="n">
        <f aca="false">IF($J221=0,0,MAX(0,NETWORKDAYS(MAX($K221,BC$4),MIN($L221,EOMONTH(BC$4,0)),Assumptions!$F$4:$F$44))/NETWORKDAYS($K221,$L221,Assumptions!$F$4:$F$44))</f>
        <v>0</v>
      </c>
    </row>
    <row r="222" customFormat="false" ht="15" hidden="false" customHeight="false" outlineLevel="2" collapsed="false">
      <c r="A222" s="27" t="n">
        <v>218</v>
      </c>
      <c r="B222" s="27" t="s">
        <v>539</v>
      </c>
      <c r="C222" s="27" t="n">
        <v>3</v>
      </c>
      <c r="D222" s="27" t="s">
        <v>92</v>
      </c>
      <c r="E222" s="28" t="s">
        <v>347</v>
      </c>
      <c r="F222" s="27" t="s">
        <v>502</v>
      </c>
      <c r="G222" s="27" t="s">
        <v>512</v>
      </c>
      <c r="H222" s="27" t="s">
        <v>61</v>
      </c>
      <c r="I222" s="29" t="n">
        <v>194</v>
      </c>
      <c r="J222" s="29" t="n">
        <v>13</v>
      </c>
      <c r="K222" s="30" t="n">
        <f aca="false">WORKDAY(Assumptions!$C$4,I222,Assumptions!$F$4:$F$44)</f>
        <v>46598</v>
      </c>
      <c r="L222" s="30" t="n">
        <f aca="false">IF(J222=0,K222,WORKDAY(K222,J222-1,Assumptions!$F$4:$F$44))</f>
        <v>46616</v>
      </c>
      <c r="M222" s="29" t="s">
        <v>540</v>
      </c>
      <c r="N222" s="31" t="n">
        <v>0</v>
      </c>
      <c r="O222" s="31" t="n">
        <v>3</v>
      </c>
      <c r="P222" s="31" t="n">
        <v>0</v>
      </c>
      <c r="Q222" s="31" t="n">
        <v>0</v>
      </c>
      <c r="R222" s="31" t="n">
        <v>0</v>
      </c>
      <c r="S222" s="31" t="n">
        <v>0</v>
      </c>
      <c r="T222" s="31" t="n">
        <v>0</v>
      </c>
      <c r="U222" s="31" t="n">
        <v>0</v>
      </c>
      <c r="V222" s="31" t="n">
        <v>0</v>
      </c>
      <c r="W222" s="31" t="n">
        <v>0</v>
      </c>
      <c r="X222" s="31" t="n">
        <v>8</v>
      </c>
      <c r="Y222" s="32" t="n">
        <f aca="false">SUM(N222:X222)</f>
        <v>11</v>
      </c>
      <c r="Z222" s="32" t="n">
        <f aca="false">Y222*(1+Assumptions!$C$5)</f>
        <v>12.65</v>
      </c>
      <c r="AA222" s="27" t="s">
        <v>349</v>
      </c>
      <c r="AB222" s="27" t="s">
        <v>95</v>
      </c>
      <c r="AC222" s="27"/>
      <c r="AD222" s="33" t="n">
        <v>0</v>
      </c>
      <c r="AF222" s="21" t="n">
        <f aca="false">IF($J222=0,0,MAX(0,NETWORKDAYS(MAX($K222,AF$4),MIN($L222,EOMONTH(AF$4,0)),Assumptions!$F$4:$F$44))/NETWORKDAYS($K222,$L222,Assumptions!$F$4:$F$44))</f>
        <v>0</v>
      </c>
      <c r="AG222" s="21" t="n">
        <f aca="false">IF($J222=0,0,MAX(0,NETWORKDAYS(MAX($K222,AG$4),MIN($L222,EOMONTH(AG$4,0)),Assumptions!$F$4:$F$44))/NETWORKDAYS($K222,$L222,Assumptions!$F$4:$F$44))</f>
        <v>0</v>
      </c>
      <c r="AH222" s="21" t="n">
        <f aca="false">IF($J222=0,0,MAX(0,NETWORKDAYS(MAX($K222,AH$4),MIN($L222,EOMONTH(AH$4,0)),Assumptions!$F$4:$F$44))/NETWORKDAYS($K222,$L222,Assumptions!$F$4:$F$44))</f>
        <v>0</v>
      </c>
      <c r="AI222" s="21" t="n">
        <f aca="false">IF($J222=0,0,MAX(0,NETWORKDAYS(MAX($K222,AI$4),MIN($L222,EOMONTH(AI$4,0)),Assumptions!$F$4:$F$44))/NETWORKDAYS($K222,$L222,Assumptions!$F$4:$F$44))</f>
        <v>0</v>
      </c>
      <c r="AJ222" s="21" t="n">
        <f aca="false">IF($J222=0,0,MAX(0,NETWORKDAYS(MAX($K222,AJ$4),MIN($L222,EOMONTH(AJ$4,0)),Assumptions!$F$4:$F$44))/NETWORKDAYS($K222,$L222,Assumptions!$F$4:$F$44))</f>
        <v>0</v>
      </c>
      <c r="AK222" s="21" t="n">
        <f aca="false">IF($J222=0,0,MAX(0,NETWORKDAYS(MAX($K222,AK$4),MIN($L222,EOMONTH(AK$4,0)),Assumptions!$F$4:$F$44))/NETWORKDAYS($K222,$L222,Assumptions!$F$4:$F$44))</f>
        <v>0</v>
      </c>
      <c r="AL222" s="21" t="n">
        <f aca="false">IF($J222=0,0,MAX(0,NETWORKDAYS(MAX($K222,AL$4),MIN($L222,EOMONTH(AL$4,0)),Assumptions!$F$4:$F$44))/NETWORKDAYS($K222,$L222,Assumptions!$F$4:$F$44))</f>
        <v>0</v>
      </c>
      <c r="AM222" s="21" t="n">
        <f aca="false">IF($J222=0,0,MAX(0,NETWORKDAYS(MAX($K222,AM$4),MIN($L222,EOMONTH(AM$4,0)),Assumptions!$F$4:$F$44))/NETWORKDAYS($K222,$L222,Assumptions!$F$4:$F$44))</f>
        <v>0</v>
      </c>
      <c r="AN222" s="21" t="n">
        <f aca="false">IF($J222=0,0,MAX(0,NETWORKDAYS(MAX($K222,AN$4),MIN($L222,EOMONTH(AN$4,0)),Assumptions!$F$4:$F$44))/NETWORKDAYS($K222,$L222,Assumptions!$F$4:$F$44))</f>
        <v>0.0769230769230769</v>
      </c>
      <c r="AO222" s="21" t="n">
        <f aca="false">IF($J222=0,0,MAX(0,NETWORKDAYS(MAX($K222,AO$4),MIN($L222,EOMONTH(AO$4,0)),Assumptions!$F$4:$F$44))/NETWORKDAYS($K222,$L222,Assumptions!$F$4:$F$44))</f>
        <v>0.923076923076923</v>
      </c>
      <c r="AP222" s="21" t="n">
        <f aca="false">IF($J222=0,0,MAX(0,NETWORKDAYS(MAX($K222,AP$4),MIN($L222,EOMONTH(AP$4,0)),Assumptions!$F$4:$F$44))/NETWORKDAYS($K222,$L222,Assumptions!$F$4:$F$44))</f>
        <v>0</v>
      </c>
      <c r="AQ222" s="21" t="n">
        <f aca="false">IF($J222=0,0,MAX(0,NETWORKDAYS(MAX($K222,AQ$4),MIN($L222,EOMONTH(AQ$4,0)),Assumptions!$F$4:$F$44))/NETWORKDAYS($K222,$L222,Assumptions!$F$4:$F$44))</f>
        <v>0</v>
      </c>
      <c r="AR222" s="21" t="n">
        <f aca="false">IF($J222=0,0,MAX(0,NETWORKDAYS(MAX($K222,AR$4),MIN($L222,EOMONTH(AR$4,0)),Assumptions!$F$4:$F$44))/NETWORKDAYS($K222,$L222,Assumptions!$F$4:$F$44))</f>
        <v>0</v>
      </c>
      <c r="AS222" s="21" t="n">
        <f aca="false">IF($J222=0,0,MAX(0,NETWORKDAYS(MAX($K222,AS$4),MIN($L222,EOMONTH(AS$4,0)),Assumptions!$F$4:$F$44))/NETWORKDAYS($K222,$L222,Assumptions!$F$4:$F$44))</f>
        <v>0</v>
      </c>
      <c r="AT222" s="21" t="n">
        <f aca="false">IF($J222=0,0,MAX(0,NETWORKDAYS(MAX($K222,AT$4),MIN($L222,EOMONTH(AT$4,0)),Assumptions!$F$4:$F$44))/NETWORKDAYS($K222,$L222,Assumptions!$F$4:$F$44))</f>
        <v>0</v>
      </c>
      <c r="AU222" s="21" t="n">
        <f aca="false">IF($J222=0,0,MAX(0,NETWORKDAYS(MAX($K222,AU$4),MIN($L222,EOMONTH(AU$4,0)),Assumptions!$F$4:$F$44))/NETWORKDAYS($K222,$L222,Assumptions!$F$4:$F$44))</f>
        <v>0</v>
      </c>
      <c r="AV222" s="21" t="n">
        <f aca="false">IF($J222=0,0,MAX(0,NETWORKDAYS(MAX($K222,AV$4),MIN($L222,EOMONTH(AV$4,0)),Assumptions!$F$4:$F$44))/NETWORKDAYS($K222,$L222,Assumptions!$F$4:$F$44))</f>
        <v>0</v>
      </c>
      <c r="AW222" s="21" t="n">
        <f aca="false">IF($J222=0,0,MAX(0,NETWORKDAYS(MAX($K222,AW$4),MIN($L222,EOMONTH(AW$4,0)),Assumptions!$F$4:$F$44))/NETWORKDAYS($K222,$L222,Assumptions!$F$4:$F$44))</f>
        <v>0</v>
      </c>
      <c r="AX222" s="21" t="n">
        <f aca="false">IF($J222=0,0,MAX(0,NETWORKDAYS(MAX($K222,AX$4),MIN($L222,EOMONTH(AX$4,0)),Assumptions!$F$4:$F$44))/NETWORKDAYS($K222,$L222,Assumptions!$F$4:$F$44))</f>
        <v>0</v>
      </c>
      <c r="AY222" s="21" t="n">
        <f aca="false">IF($J222=0,0,MAX(0,NETWORKDAYS(MAX($K222,AY$4),MIN($L222,EOMONTH(AY$4,0)),Assumptions!$F$4:$F$44))/NETWORKDAYS($K222,$L222,Assumptions!$F$4:$F$44))</f>
        <v>0</v>
      </c>
      <c r="AZ222" s="21" t="n">
        <f aca="false">IF($J222=0,0,MAX(0,NETWORKDAYS(MAX($K222,AZ$4),MIN($L222,EOMONTH(AZ$4,0)),Assumptions!$F$4:$F$44))/NETWORKDAYS($K222,$L222,Assumptions!$F$4:$F$44))</f>
        <v>0</v>
      </c>
      <c r="BA222" s="21" t="n">
        <f aca="false">IF($J222=0,0,MAX(0,NETWORKDAYS(MAX($K222,BA$4),MIN($L222,EOMONTH(BA$4,0)),Assumptions!$F$4:$F$44))/NETWORKDAYS($K222,$L222,Assumptions!$F$4:$F$44))</f>
        <v>0</v>
      </c>
      <c r="BB222" s="21" t="n">
        <f aca="false">IF($J222=0,0,MAX(0,NETWORKDAYS(MAX($K222,BB$4),MIN($L222,EOMONTH(BB$4,0)),Assumptions!$F$4:$F$44))/NETWORKDAYS($K222,$L222,Assumptions!$F$4:$F$44))</f>
        <v>0</v>
      </c>
      <c r="BC222" s="21" t="n">
        <f aca="false">IF($J222=0,0,MAX(0,NETWORKDAYS(MAX($K222,BC$4),MIN($L222,EOMONTH(BC$4,0)),Assumptions!$F$4:$F$44))/NETWORKDAYS($K222,$L222,Assumptions!$F$4:$F$44))</f>
        <v>0</v>
      </c>
    </row>
    <row r="223" customFormat="false" ht="15" hidden="false" customHeight="false" outlineLevel="1" collapsed="false">
      <c r="A223" s="22" t="n">
        <v>219</v>
      </c>
      <c r="B223" s="22" t="s">
        <v>541</v>
      </c>
      <c r="C223" s="22" t="n">
        <v>2</v>
      </c>
      <c r="D223" s="22" t="s">
        <v>89</v>
      </c>
      <c r="E223" s="23" t="s">
        <v>542</v>
      </c>
      <c r="F223" s="22" t="s">
        <v>502</v>
      </c>
      <c r="G223" s="22" t="s">
        <v>543</v>
      </c>
      <c r="H223" s="22"/>
      <c r="I223" s="22"/>
      <c r="J223" s="22" t="n">
        <f aca="false">NETWORKDAYS(K223,L223,Assumptions!$F$4:$F$44)</f>
        <v>119</v>
      </c>
      <c r="K223" s="24" t="n">
        <f aca="false">MIN(K224:K240)</f>
        <v>46450</v>
      </c>
      <c r="L223" s="24" t="n">
        <f aca="false">MAX(L224:L240)</f>
        <v>46616</v>
      </c>
      <c r="M223" s="22"/>
      <c r="N223" s="25" t="n">
        <f aca="false">SUMPRODUCT(($C$224:$C$240=3)*(N224:N240))</f>
        <v>1</v>
      </c>
      <c r="O223" s="25" t="n">
        <f aca="false">SUMPRODUCT(($C$224:$C$240=3)*(O224:O240))</f>
        <v>27</v>
      </c>
      <c r="P223" s="25" t="n">
        <f aca="false">SUMPRODUCT(($C$224:$C$240=3)*(P224:P240))</f>
        <v>8</v>
      </c>
      <c r="Q223" s="25" t="n">
        <f aca="false">SUMPRODUCT(($C$224:$C$240=3)*(Q224:Q240))</f>
        <v>92</v>
      </c>
      <c r="R223" s="25" t="n">
        <f aca="false">SUMPRODUCT(($C$224:$C$240=3)*(R224:R240))</f>
        <v>59</v>
      </c>
      <c r="S223" s="25" t="n">
        <f aca="false">SUMPRODUCT(($C$224:$C$240=3)*(S224:S240))</f>
        <v>21</v>
      </c>
      <c r="T223" s="25" t="n">
        <f aca="false">SUMPRODUCT(($C$224:$C$240=3)*(T224:T240))</f>
        <v>11</v>
      </c>
      <c r="U223" s="25" t="n">
        <f aca="false">SUMPRODUCT(($C$224:$C$240=3)*(U224:U240))</f>
        <v>0</v>
      </c>
      <c r="V223" s="25" t="n">
        <f aca="false">SUMPRODUCT(($C$224:$C$240=3)*(V224:V240))</f>
        <v>34</v>
      </c>
      <c r="W223" s="25" t="n">
        <f aca="false">SUMPRODUCT(($C$224:$C$240=3)*(W224:W240))</f>
        <v>14</v>
      </c>
      <c r="X223" s="25" t="n">
        <f aca="false">SUMPRODUCT(($C$224:$C$240=3)*(X224:X240))</f>
        <v>7</v>
      </c>
      <c r="Y223" s="25" t="n">
        <f aca="false">SUM(N223:X223)</f>
        <v>274</v>
      </c>
      <c r="Z223" s="25" t="n">
        <f aca="false">Y223*(1+Assumptions!$C$5)</f>
        <v>315.1</v>
      </c>
      <c r="AA223" s="22" t="s">
        <v>544</v>
      </c>
      <c r="AB223" s="22"/>
      <c r="AC223" s="22"/>
      <c r="AD223" s="26"/>
      <c r="AF223" s="21" t="n">
        <v>0</v>
      </c>
      <c r="AG223" s="21" t="n">
        <v>0</v>
      </c>
      <c r="AH223" s="21" t="n">
        <v>0</v>
      </c>
      <c r="AI223" s="21" t="n">
        <v>0</v>
      </c>
      <c r="AJ223" s="21" t="n">
        <v>0</v>
      </c>
      <c r="AK223" s="21" t="n">
        <v>0</v>
      </c>
      <c r="AL223" s="21" t="n">
        <v>0</v>
      </c>
      <c r="AM223" s="21" t="n">
        <v>0</v>
      </c>
      <c r="AN223" s="21" t="n">
        <v>0</v>
      </c>
      <c r="AO223" s="21" t="n">
        <v>0</v>
      </c>
      <c r="AP223" s="21" t="n">
        <v>0</v>
      </c>
      <c r="AQ223" s="21" t="n">
        <v>0</v>
      </c>
      <c r="AR223" s="21" t="n">
        <v>0</v>
      </c>
      <c r="AS223" s="21" t="n">
        <v>0</v>
      </c>
      <c r="AT223" s="21" t="n">
        <v>0</v>
      </c>
      <c r="AU223" s="21" t="n">
        <v>0</v>
      </c>
      <c r="AV223" s="21" t="n">
        <v>0</v>
      </c>
      <c r="AW223" s="21" t="n">
        <v>0</v>
      </c>
      <c r="AX223" s="21" t="n">
        <v>0</v>
      </c>
      <c r="AY223" s="21" t="n">
        <v>0</v>
      </c>
      <c r="AZ223" s="21" t="n">
        <v>0</v>
      </c>
      <c r="BA223" s="21" t="n">
        <v>0</v>
      </c>
      <c r="BB223" s="21" t="n">
        <v>0</v>
      </c>
      <c r="BC223" s="21" t="n">
        <v>0</v>
      </c>
    </row>
    <row r="224" customFormat="false" ht="15" hidden="false" customHeight="false" outlineLevel="2" collapsed="false">
      <c r="A224" s="27" t="n">
        <v>220</v>
      </c>
      <c r="B224" s="27" t="s">
        <v>545</v>
      </c>
      <c r="C224" s="27" t="n">
        <v>3</v>
      </c>
      <c r="D224" s="27" t="s">
        <v>92</v>
      </c>
      <c r="E224" s="28" t="s">
        <v>292</v>
      </c>
      <c r="F224" s="27" t="s">
        <v>502</v>
      </c>
      <c r="G224" s="27" t="s">
        <v>543</v>
      </c>
      <c r="H224" s="27" t="s">
        <v>43</v>
      </c>
      <c r="I224" s="29" t="n">
        <v>88</v>
      </c>
      <c r="J224" s="29" t="n">
        <v>16</v>
      </c>
      <c r="K224" s="30" t="n">
        <f aca="false">WORKDAY(Assumptions!$C$4,I224,Assumptions!$F$4:$F$44)</f>
        <v>46450</v>
      </c>
      <c r="L224" s="30" t="n">
        <f aca="false">IF(J224=0,K224,WORKDAY(K224,J224-1,Assumptions!$F$4:$F$44))</f>
        <v>46471</v>
      </c>
      <c r="M224" s="29" t="s">
        <v>515</v>
      </c>
      <c r="N224" s="31" t="n">
        <v>1</v>
      </c>
      <c r="O224" s="31" t="n">
        <v>9</v>
      </c>
      <c r="P224" s="31" t="n">
        <v>2</v>
      </c>
      <c r="Q224" s="31" t="n">
        <v>0</v>
      </c>
      <c r="R224" s="31" t="n">
        <v>0</v>
      </c>
      <c r="S224" s="31" t="n">
        <v>0</v>
      </c>
      <c r="T224" s="31" t="n">
        <v>0</v>
      </c>
      <c r="U224" s="31" t="n">
        <v>0</v>
      </c>
      <c r="V224" s="31" t="n">
        <v>0</v>
      </c>
      <c r="W224" s="31" t="n">
        <v>0</v>
      </c>
      <c r="X224" s="31" t="n">
        <v>0</v>
      </c>
      <c r="Y224" s="32" t="n">
        <f aca="false">SUM(N224:X224)</f>
        <v>12</v>
      </c>
      <c r="Z224" s="32" t="n">
        <f aca="false">Y224*(1+Assumptions!$C$5)</f>
        <v>13.8</v>
      </c>
      <c r="AA224" s="27" t="s">
        <v>294</v>
      </c>
      <c r="AB224" s="27" t="s">
        <v>95</v>
      </c>
      <c r="AC224" s="27"/>
      <c r="AD224" s="33" t="n">
        <v>0</v>
      </c>
      <c r="AF224" s="21" t="n">
        <f aca="false">IF($J224=0,0,MAX(0,NETWORKDAYS(MAX($K224,AF$4),MIN($L224,EOMONTH(AF$4,0)),Assumptions!$F$4:$F$44))/NETWORKDAYS($K224,$L224,Assumptions!$F$4:$F$44))</f>
        <v>0</v>
      </c>
      <c r="AG224" s="21" t="n">
        <f aca="false">IF($J224=0,0,MAX(0,NETWORKDAYS(MAX($K224,AG$4),MIN($L224,EOMONTH(AG$4,0)),Assumptions!$F$4:$F$44))/NETWORKDAYS($K224,$L224,Assumptions!$F$4:$F$44))</f>
        <v>0</v>
      </c>
      <c r="AH224" s="21" t="n">
        <f aca="false">IF($J224=0,0,MAX(0,NETWORKDAYS(MAX($K224,AH$4),MIN($L224,EOMONTH(AH$4,0)),Assumptions!$F$4:$F$44))/NETWORKDAYS($K224,$L224,Assumptions!$F$4:$F$44))</f>
        <v>0</v>
      </c>
      <c r="AI224" s="21" t="n">
        <f aca="false">IF($J224=0,0,MAX(0,NETWORKDAYS(MAX($K224,AI$4),MIN($L224,EOMONTH(AI$4,0)),Assumptions!$F$4:$F$44))/NETWORKDAYS($K224,$L224,Assumptions!$F$4:$F$44))</f>
        <v>0</v>
      </c>
      <c r="AJ224" s="21" t="n">
        <f aca="false">IF($J224=0,0,MAX(0,NETWORKDAYS(MAX($K224,AJ$4),MIN($L224,EOMONTH(AJ$4,0)),Assumptions!$F$4:$F$44))/NETWORKDAYS($K224,$L224,Assumptions!$F$4:$F$44))</f>
        <v>1</v>
      </c>
      <c r="AK224" s="21" t="n">
        <f aca="false">IF($J224=0,0,MAX(0,NETWORKDAYS(MAX($K224,AK$4),MIN($L224,EOMONTH(AK$4,0)),Assumptions!$F$4:$F$44))/NETWORKDAYS($K224,$L224,Assumptions!$F$4:$F$44))</f>
        <v>0</v>
      </c>
      <c r="AL224" s="21" t="n">
        <f aca="false">IF($J224=0,0,MAX(0,NETWORKDAYS(MAX($K224,AL$4),MIN($L224,EOMONTH(AL$4,0)),Assumptions!$F$4:$F$44))/NETWORKDAYS($K224,$L224,Assumptions!$F$4:$F$44))</f>
        <v>0</v>
      </c>
      <c r="AM224" s="21" t="n">
        <f aca="false">IF($J224=0,0,MAX(0,NETWORKDAYS(MAX($K224,AM$4),MIN($L224,EOMONTH(AM$4,0)),Assumptions!$F$4:$F$44))/NETWORKDAYS($K224,$L224,Assumptions!$F$4:$F$44))</f>
        <v>0</v>
      </c>
      <c r="AN224" s="21" t="n">
        <f aca="false">IF($J224=0,0,MAX(0,NETWORKDAYS(MAX($K224,AN$4),MIN($L224,EOMONTH(AN$4,0)),Assumptions!$F$4:$F$44))/NETWORKDAYS($K224,$L224,Assumptions!$F$4:$F$44))</f>
        <v>0</v>
      </c>
      <c r="AO224" s="21" t="n">
        <f aca="false">IF($J224=0,0,MAX(0,NETWORKDAYS(MAX($K224,AO$4),MIN($L224,EOMONTH(AO$4,0)),Assumptions!$F$4:$F$44))/NETWORKDAYS($K224,$L224,Assumptions!$F$4:$F$44))</f>
        <v>0</v>
      </c>
      <c r="AP224" s="21" t="n">
        <f aca="false">IF($J224=0,0,MAX(0,NETWORKDAYS(MAX($K224,AP$4),MIN($L224,EOMONTH(AP$4,0)),Assumptions!$F$4:$F$44))/NETWORKDAYS($K224,$L224,Assumptions!$F$4:$F$44))</f>
        <v>0</v>
      </c>
      <c r="AQ224" s="21" t="n">
        <f aca="false">IF($J224=0,0,MAX(0,NETWORKDAYS(MAX($K224,AQ$4),MIN($L224,EOMONTH(AQ$4,0)),Assumptions!$F$4:$F$44))/NETWORKDAYS($K224,$L224,Assumptions!$F$4:$F$44))</f>
        <v>0</v>
      </c>
      <c r="AR224" s="21" t="n">
        <f aca="false">IF($J224=0,0,MAX(0,NETWORKDAYS(MAX($K224,AR$4),MIN($L224,EOMONTH(AR$4,0)),Assumptions!$F$4:$F$44))/NETWORKDAYS($K224,$L224,Assumptions!$F$4:$F$44))</f>
        <v>0</v>
      </c>
      <c r="AS224" s="21" t="n">
        <f aca="false">IF($J224=0,0,MAX(0,NETWORKDAYS(MAX($K224,AS$4),MIN($L224,EOMONTH(AS$4,0)),Assumptions!$F$4:$F$44))/NETWORKDAYS($K224,$L224,Assumptions!$F$4:$F$44))</f>
        <v>0</v>
      </c>
      <c r="AT224" s="21" t="n">
        <f aca="false">IF($J224=0,0,MAX(0,NETWORKDAYS(MAX($K224,AT$4),MIN($L224,EOMONTH(AT$4,0)),Assumptions!$F$4:$F$44))/NETWORKDAYS($K224,$L224,Assumptions!$F$4:$F$44))</f>
        <v>0</v>
      </c>
      <c r="AU224" s="21" t="n">
        <f aca="false">IF($J224=0,0,MAX(0,NETWORKDAYS(MAX($K224,AU$4),MIN($L224,EOMONTH(AU$4,0)),Assumptions!$F$4:$F$44))/NETWORKDAYS($K224,$L224,Assumptions!$F$4:$F$44))</f>
        <v>0</v>
      </c>
      <c r="AV224" s="21" t="n">
        <f aca="false">IF($J224=0,0,MAX(0,NETWORKDAYS(MAX($K224,AV$4),MIN($L224,EOMONTH(AV$4,0)),Assumptions!$F$4:$F$44))/NETWORKDAYS($K224,$L224,Assumptions!$F$4:$F$44))</f>
        <v>0</v>
      </c>
      <c r="AW224" s="21" t="n">
        <f aca="false">IF($J224=0,0,MAX(0,NETWORKDAYS(MAX($K224,AW$4),MIN($L224,EOMONTH(AW$4,0)),Assumptions!$F$4:$F$44))/NETWORKDAYS($K224,$L224,Assumptions!$F$4:$F$44))</f>
        <v>0</v>
      </c>
      <c r="AX224" s="21" t="n">
        <f aca="false">IF($J224=0,0,MAX(0,NETWORKDAYS(MAX($K224,AX$4),MIN($L224,EOMONTH(AX$4,0)),Assumptions!$F$4:$F$44))/NETWORKDAYS($K224,$L224,Assumptions!$F$4:$F$44))</f>
        <v>0</v>
      </c>
      <c r="AY224" s="21" t="n">
        <f aca="false">IF($J224=0,0,MAX(0,NETWORKDAYS(MAX($K224,AY$4),MIN($L224,EOMONTH(AY$4,0)),Assumptions!$F$4:$F$44))/NETWORKDAYS($K224,$L224,Assumptions!$F$4:$F$44))</f>
        <v>0</v>
      </c>
      <c r="AZ224" s="21" t="n">
        <f aca="false">IF($J224=0,0,MAX(0,NETWORKDAYS(MAX($K224,AZ$4),MIN($L224,EOMONTH(AZ$4,0)),Assumptions!$F$4:$F$44))/NETWORKDAYS($K224,$L224,Assumptions!$F$4:$F$44))</f>
        <v>0</v>
      </c>
      <c r="BA224" s="21" t="n">
        <f aca="false">IF($J224=0,0,MAX(0,NETWORKDAYS(MAX($K224,BA$4),MIN($L224,EOMONTH(BA$4,0)),Assumptions!$F$4:$F$44))/NETWORKDAYS($K224,$L224,Assumptions!$F$4:$F$44))</f>
        <v>0</v>
      </c>
      <c r="BB224" s="21" t="n">
        <f aca="false">IF($J224=0,0,MAX(0,NETWORKDAYS(MAX($K224,BB$4),MIN($L224,EOMONTH(BB$4,0)),Assumptions!$F$4:$F$44))/NETWORKDAYS($K224,$L224,Assumptions!$F$4:$F$44))</f>
        <v>0</v>
      </c>
      <c r="BC224" s="21" t="n">
        <f aca="false">IF($J224=0,0,MAX(0,NETWORKDAYS(MAX($K224,BC$4),MIN($L224,EOMONTH(BC$4,0)),Assumptions!$F$4:$F$44))/NETWORKDAYS($K224,$L224,Assumptions!$F$4:$F$44))</f>
        <v>0</v>
      </c>
    </row>
    <row r="225" customFormat="false" ht="15" hidden="false" customHeight="false" outlineLevel="2" collapsed="false">
      <c r="A225" s="27" t="n">
        <v>221</v>
      </c>
      <c r="B225" s="27" t="s">
        <v>546</v>
      </c>
      <c r="C225" s="27" t="n">
        <v>3</v>
      </c>
      <c r="D225" s="27" t="s">
        <v>92</v>
      </c>
      <c r="E225" s="28" t="s">
        <v>296</v>
      </c>
      <c r="F225" s="27" t="s">
        <v>502</v>
      </c>
      <c r="G225" s="27" t="s">
        <v>543</v>
      </c>
      <c r="H225" s="27" t="s">
        <v>45</v>
      </c>
      <c r="I225" s="29" t="n">
        <v>99</v>
      </c>
      <c r="J225" s="29" t="n">
        <v>16</v>
      </c>
      <c r="K225" s="30" t="n">
        <f aca="false">WORKDAY(Assumptions!$C$4,I225,Assumptions!$F$4:$F$44)</f>
        <v>46465</v>
      </c>
      <c r="L225" s="30" t="n">
        <f aca="false">IF(J225=0,K225,WORKDAY(K225,J225-1,Assumptions!$F$4:$F$44))</f>
        <v>46486</v>
      </c>
      <c r="M225" s="29" t="s">
        <v>547</v>
      </c>
      <c r="N225" s="31" t="n">
        <v>0</v>
      </c>
      <c r="O225" s="31" t="n">
        <v>0</v>
      </c>
      <c r="P225" s="31" t="n">
        <v>6</v>
      </c>
      <c r="Q225" s="31" t="n">
        <v>6</v>
      </c>
      <c r="R225" s="31" t="n">
        <v>0</v>
      </c>
      <c r="S225" s="31" t="n">
        <v>0</v>
      </c>
      <c r="T225" s="31" t="n">
        <v>0</v>
      </c>
      <c r="U225" s="31" t="n">
        <v>0</v>
      </c>
      <c r="V225" s="31" t="n">
        <v>0</v>
      </c>
      <c r="W225" s="31" t="n">
        <v>0</v>
      </c>
      <c r="X225" s="31" t="n">
        <v>0</v>
      </c>
      <c r="Y225" s="32" t="n">
        <f aca="false">SUM(N225:X225)</f>
        <v>12</v>
      </c>
      <c r="Z225" s="32" t="n">
        <f aca="false">Y225*(1+Assumptions!$C$5)</f>
        <v>13.8</v>
      </c>
      <c r="AA225" s="27" t="s">
        <v>298</v>
      </c>
      <c r="AB225" s="27" t="s">
        <v>95</v>
      </c>
      <c r="AC225" s="27"/>
      <c r="AD225" s="33" t="n">
        <v>0</v>
      </c>
      <c r="AF225" s="21" t="n">
        <f aca="false">IF($J225=0,0,MAX(0,NETWORKDAYS(MAX($K225,AF$4),MIN($L225,EOMONTH(AF$4,0)),Assumptions!$F$4:$F$44))/NETWORKDAYS($K225,$L225,Assumptions!$F$4:$F$44))</f>
        <v>0</v>
      </c>
      <c r="AG225" s="21" t="n">
        <f aca="false">IF($J225=0,0,MAX(0,NETWORKDAYS(MAX($K225,AG$4),MIN($L225,EOMONTH(AG$4,0)),Assumptions!$F$4:$F$44))/NETWORKDAYS($K225,$L225,Assumptions!$F$4:$F$44))</f>
        <v>0</v>
      </c>
      <c r="AH225" s="21" t="n">
        <f aca="false">IF($J225=0,0,MAX(0,NETWORKDAYS(MAX($K225,AH$4),MIN($L225,EOMONTH(AH$4,0)),Assumptions!$F$4:$F$44))/NETWORKDAYS($K225,$L225,Assumptions!$F$4:$F$44))</f>
        <v>0</v>
      </c>
      <c r="AI225" s="21" t="n">
        <f aca="false">IF($J225=0,0,MAX(0,NETWORKDAYS(MAX($K225,AI$4),MIN($L225,EOMONTH(AI$4,0)),Assumptions!$F$4:$F$44))/NETWORKDAYS($K225,$L225,Assumptions!$F$4:$F$44))</f>
        <v>0</v>
      </c>
      <c r="AJ225" s="21" t="n">
        <f aca="false">IF($J225=0,0,MAX(0,NETWORKDAYS(MAX($K225,AJ$4),MIN($L225,EOMONTH(AJ$4,0)),Assumptions!$F$4:$F$44))/NETWORKDAYS($K225,$L225,Assumptions!$F$4:$F$44))</f>
        <v>0.5625</v>
      </c>
      <c r="AK225" s="21" t="n">
        <f aca="false">IF($J225=0,0,MAX(0,NETWORKDAYS(MAX($K225,AK$4),MIN($L225,EOMONTH(AK$4,0)),Assumptions!$F$4:$F$44))/NETWORKDAYS($K225,$L225,Assumptions!$F$4:$F$44))</f>
        <v>0.4375</v>
      </c>
      <c r="AL225" s="21" t="n">
        <f aca="false">IF($J225=0,0,MAX(0,NETWORKDAYS(MAX($K225,AL$4),MIN($L225,EOMONTH(AL$4,0)),Assumptions!$F$4:$F$44))/NETWORKDAYS($K225,$L225,Assumptions!$F$4:$F$44))</f>
        <v>0</v>
      </c>
      <c r="AM225" s="21" t="n">
        <f aca="false">IF($J225=0,0,MAX(0,NETWORKDAYS(MAX($K225,AM$4),MIN($L225,EOMONTH(AM$4,0)),Assumptions!$F$4:$F$44))/NETWORKDAYS($K225,$L225,Assumptions!$F$4:$F$44))</f>
        <v>0</v>
      </c>
      <c r="AN225" s="21" t="n">
        <f aca="false">IF($J225=0,0,MAX(0,NETWORKDAYS(MAX($K225,AN$4),MIN($L225,EOMONTH(AN$4,0)),Assumptions!$F$4:$F$44))/NETWORKDAYS($K225,$L225,Assumptions!$F$4:$F$44))</f>
        <v>0</v>
      </c>
      <c r="AO225" s="21" t="n">
        <f aca="false">IF($J225=0,0,MAX(0,NETWORKDAYS(MAX($K225,AO$4),MIN($L225,EOMONTH(AO$4,0)),Assumptions!$F$4:$F$44))/NETWORKDAYS($K225,$L225,Assumptions!$F$4:$F$44))</f>
        <v>0</v>
      </c>
      <c r="AP225" s="21" t="n">
        <f aca="false">IF($J225=0,0,MAX(0,NETWORKDAYS(MAX($K225,AP$4),MIN($L225,EOMONTH(AP$4,0)),Assumptions!$F$4:$F$44))/NETWORKDAYS($K225,$L225,Assumptions!$F$4:$F$44))</f>
        <v>0</v>
      </c>
      <c r="AQ225" s="21" t="n">
        <f aca="false">IF($J225=0,0,MAX(0,NETWORKDAYS(MAX($K225,AQ$4),MIN($L225,EOMONTH(AQ$4,0)),Assumptions!$F$4:$F$44))/NETWORKDAYS($K225,$L225,Assumptions!$F$4:$F$44))</f>
        <v>0</v>
      </c>
      <c r="AR225" s="21" t="n">
        <f aca="false">IF($J225=0,0,MAX(0,NETWORKDAYS(MAX($K225,AR$4),MIN($L225,EOMONTH(AR$4,0)),Assumptions!$F$4:$F$44))/NETWORKDAYS($K225,$L225,Assumptions!$F$4:$F$44))</f>
        <v>0</v>
      </c>
      <c r="AS225" s="21" t="n">
        <f aca="false">IF($J225=0,0,MAX(0,NETWORKDAYS(MAX($K225,AS$4),MIN($L225,EOMONTH(AS$4,0)),Assumptions!$F$4:$F$44))/NETWORKDAYS($K225,$L225,Assumptions!$F$4:$F$44))</f>
        <v>0</v>
      </c>
      <c r="AT225" s="21" t="n">
        <f aca="false">IF($J225=0,0,MAX(0,NETWORKDAYS(MAX($K225,AT$4),MIN($L225,EOMONTH(AT$4,0)),Assumptions!$F$4:$F$44))/NETWORKDAYS($K225,$L225,Assumptions!$F$4:$F$44))</f>
        <v>0</v>
      </c>
      <c r="AU225" s="21" t="n">
        <f aca="false">IF($J225=0,0,MAX(0,NETWORKDAYS(MAX($K225,AU$4),MIN($L225,EOMONTH(AU$4,0)),Assumptions!$F$4:$F$44))/NETWORKDAYS($K225,$L225,Assumptions!$F$4:$F$44))</f>
        <v>0</v>
      </c>
      <c r="AV225" s="21" t="n">
        <f aca="false">IF($J225=0,0,MAX(0,NETWORKDAYS(MAX($K225,AV$4),MIN($L225,EOMONTH(AV$4,0)),Assumptions!$F$4:$F$44))/NETWORKDAYS($K225,$L225,Assumptions!$F$4:$F$44))</f>
        <v>0</v>
      </c>
      <c r="AW225" s="21" t="n">
        <f aca="false">IF($J225=0,0,MAX(0,NETWORKDAYS(MAX($K225,AW$4),MIN($L225,EOMONTH(AW$4,0)),Assumptions!$F$4:$F$44))/NETWORKDAYS($K225,$L225,Assumptions!$F$4:$F$44))</f>
        <v>0</v>
      </c>
      <c r="AX225" s="21" t="n">
        <f aca="false">IF($J225=0,0,MAX(0,NETWORKDAYS(MAX($K225,AX$4),MIN($L225,EOMONTH(AX$4,0)),Assumptions!$F$4:$F$44))/NETWORKDAYS($K225,$L225,Assumptions!$F$4:$F$44))</f>
        <v>0</v>
      </c>
      <c r="AY225" s="21" t="n">
        <f aca="false">IF($J225=0,0,MAX(0,NETWORKDAYS(MAX($K225,AY$4),MIN($L225,EOMONTH(AY$4,0)),Assumptions!$F$4:$F$44))/NETWORKDAYS($K225,$L225,Assumptions!$F$4:$F$44))</f>
        <v>0</v>
      </c>
      <c r="AZ225" s="21" t="n">
        <f aca="false">IF($J225=0,0,MAX(0,NETWORKDAYS(MAX($K225,AZ$4),MIN($L225,EOMONTH(AZ$4,0)),Assumptions!$F$4:$F$44))/NETWORKDAYS($K225,$L225,Assumptions!$F$4:$F$44))</f>
        <v>0</v>
      </c>
      <c r="BA225" s="21" t="n">
        <f aca="false">IF($J225=0,0,MAX(0,NETWORKDAYS(MAX($K225,BA$4),MIN($L225,EOMONTH(BA$4,0)),Assumptions!$F$4:$F$44))/NETWORKDAYS($K225,$L225,Assumptions!$F$4:$F$44))</f>
        <v>0</v>
      </c>
      <c r="BB225" s="21" t="n">
        <f aca="false">IF($J225=0,0,MAX(0,NETWORKDAYS(MAX($K225,BB$4),MIN($L225,EOMONTH(BB$4,0)),Assumptions!$F$4:$F$44))/NETWORKDAYS($K225,$L225,Assumptions!$F$4:$F$44))</f>
        <v>0</v>
      </c>
      <c r="BC225" s="21" t="n">
        <f aca="false">IF($J225=0,0,MAX(0,NETWORKDAYS(MAX($K225,BC$4),MIN($L225,EOMONTH(BC$4,0)),Assumptions!$F$4:$F$44))/NETWORKDAYS($K225,$L225,Assumptions!$F$4:$F$44))</f>
        <v>0</v>
      </c>
    </row>
    <row r="226" customFormat="false" ht="15" hidden="false" customHeight="false" outlineLevel="2" collapsed="false">
      <c r="A226" s="27" t="n">
        <v>222</v>
      </c>
      <c r="B226" s="27" t="s">
        <v>548</v>
      </c>
      <c r="C226" s="27" t="n">
        <v>3</v>
      </c>
      <c r="D226" s="27" t="s">
        <v>92</v>
      </c>
      <c r="E226" s="28" t="s">
        <v>300</v>
      </c>
      <c r="F226" s="27" t="s">
        <v>502</v>
      </c>
      <c r="G226" s="27" t="s">
        <v>543</v>
      </c>
      <c r="H226" s="27" t="s">
        <v>49</v>
      </c>
      <c r="I226" s="29" t="n">
        <v>99</v>
      </c>
      <c r="J226" s="29" t="n">
        <v>16</v>
      </c>
      <c r="K226" s="30" t="n">
        <f aca="false">WORKDAY(Assumptions!$C$4,I226,Assumptions!$F$4:$F$44)</f>
        <v>46465</v>
      </c>
      <c r="L226" s="30" t="n">
        <f aca="false">IF(J226=0,K226,WORKDAY(K226,J226-1,Assumptions!$F$4:$F$44))</f>
        <v>46486</v>
      </c>
      <c r="M226" s="29" t="s">
        <v>547</v>
      </c>
      <c r="N226" s="31" t="n">
        <v>0</v>
      </c>
      <c r="O226" s="31" t="n">
        <v>2</v>
      </c>
      <c r="P226" s="31" t="n">
        <v>0</v>
      </c>
      <c r="Q226" s="31" t="n">
        <v>0</v>
      </c>
      <c r="R226" s="31" t="n">
        <v>7</v>
      </c>
      <c r="S226" s="31" t="n">
        <v>0</v>
      </c>
      <c r="T226" s="31" t="n">
        <v>0</v>
      </c>
      <c r="U226" s="31" t="n">
        <v>0</v>
      </c>
      <c r="V226" s="31" t="n">
        <v>0</v>
      </c>
      <c r="W226" s="31" t="n">
        <v>0</v>
      </c>
      <c r="X226" s="31" t="n">
        <v>0</v>
      </c>
      <c r="Y226" s="32" t="n">
        <f aca="false">SUM(N226:X226)</f>
        <v>9</v>
      </c>
      <c r="Z226" s="32" t="n">
        <f aca="false">Y226*(1+Assumptions!$C$5)</f>
        <v>10.35</v>
      </c>
      <c r="AA226" s="27" t="s">
        <v>301</v>
      </c>
      <c r="AB226" s="27" t="s">
        <v>95</v>
      </c>
      <c r="AC226" s="27"/>
      <c r="AD226" s="33" t="n">
        <v>0</v>
      </c>
      <c r="AF226" s="21" t="n">
        <f aca="false">IF($J226=0,0,MAX(0,NETWORKDAYS(MAX($K226,AF$4),MIN($L226,EOMONTH(AF$4,0)),Assumptions!$F$4:$F$44))/NETWORKDAYS($K226,$L226,Assumptions!$F$4:$F$44))</f>
        <v>0</v>
      </c>
      <c r="AG226" s="21" t="n">
        <f aca="false">IF($J226=0,0,MAX(0,NETWORKDAYS(MAX($K226,AG$4),MIN($L226,EOMONTH(AG$4,0)),Assumptions!$F$4:$F$44))/NETWORKDAYS($K226,$L226,Assumptions!$F$4:$F$44))</f>
        <v>0</v>
      </c>
      <c r="AH226" s="21" t="n">
        <f aca="false">IF($J226=0,0,MAX(0,NETWORKDAYS(MAX($K226,AH$4),MIN($L226,EOMONTH(AH$4,0)),Assumptions!$F$4:$F$44))/NETWORKDAYS($K226,$L226,Assumptions!$F$4:$F$44))</f>
        <v>0</v>
      </c>
      <c r="AI226" s="21" t="n">
        <f aca="false">IF($J226=0,0,MAX(0,NETWORKDAYS(MAX($K226,AI$4),MIN($L226,EOMONTH(AI$4,0)),Assumptions!$F$4:$F$44))/NETWORKDAYS($K226,$L226,Assumptions!$F$4:$F$44))</f>
        <v>0</v>
      </c>
      <c r="AJ226" s="21" t="n">
        <f aca="false">IF($J226=0,0,MAX(0,NETWORKDAYS(MAX($K226,AJ$4),MIN($L226,EOMONTH(AJ$4,0)),Assumptions!$F$4:$F$44))/NETWORKDAYS($K226,$L226,Assumptions!$F$4:$F$44))</f>
        <v>0.5625</v>
      </c>
      <c r="AK226" s="21" t="n">
        <f aca="false">IF($J226=0,0,MAX(0,NETWORKDAYS(MAX($K226,AK$4),MIN($L226,EOMONTH(AK$4,0)),Assumptions!$F$4:$F$44))/NETWORKDAYS($K226,$L226,Assumptions!$F$4:$F$44))</f>
        <v>0.4375</v>
      </c>
      <c r="AL226" s="21" t="n">
        <f aca="false">IF($J226=0,0,MAX(0,NETWORKDAYS(MAX($K226,AL$4),MIN($L226,EOMONTH(AL$4,0)),Assumptions!$F$4:$F$44))/NETWORKDAYS($K226,$L226,Assumptions!$F$4:$F$44))</f>
        <v>0</v>
      </c>
      <c r="AM226" s="21" t="n">
        <f aca="false">IF($J226=0,0,MAX(0,NETWORKDAYS(MAX($K226,AM$4),MIN($L226,EOMONTH(AM$4,0)),Assumptions!$F$4:$F$44))/NETWORKDAYS($K226,$L226,Assumptions!$F$4:$F$44))</f>
        <v>0</v>
      </c>
      <c r="AN226" s="21" t="n">
        <f aca="false">IF($J226=0,0,MAX(0,NETWORKDAYS(MAX($K226,AN$4),MIN($L226,EOMONTH(AN$4,0)),Assumptions!$F$4:$F$44))/NETWORKDAYS($K226,$L226,Assumptions!$F$4:$F$44))</f>
        <v>0</v>
      </c>
      <c r="AO226" s="21" t="n">
        <f aca="false">IF($J226=0,0,MAX(0,NETWORKDAYS(MAX($K226,AO$4),MIN($L226,EOMONTH(AO$4,0)),Assumptions!$F$4:$F$44))/NETWORKDAYS($K226,$L226,Assumptions!$F$4:$F$44))</f>
        <v>0</v>
      </c>
      <c r="AP226" s="21" t="n">
        <f aca="false">IF($J226=0,0,MAX(0,NETWORKDAYS(MAX($K226,AP$4),MIN($L226,EOMONTH(AP$4,0)),Assumptions!$F$4:$F$44))/NETWORKDAYS($K226,$L226,Assumptions!$F$4:$F$44))</f>
        <v>0</v>
      </c>
      <c r="AQ226" s="21" t="n">
        <f aca="false">IF($J226=0,0,MAX(0,NETWORKDAYS(MAX($K226,AQ$4),MIN($L226,EOMONTH(AQ$4,0)),Assumptions!$F$4:$F$44))/NETWORKDAYS($K226,$L226,Assumptions!$F$4:$F$44))</f>
        <v>0</v>
      </c>
      <c r="AR226" s="21" t="n">
        <f aca="false">IF($J226=0,0,MAX(0,NETWORKDAYS(MAX($K226,AR$4),MIN($L226,EOMONTH(AR$4,0)),Assumptions!$F$4:$F$44))/NETWORKDAYS($K226,$L226,Assumptions!$F$4:$F$44))</f>
        <v>0</v>
      </c>
      <c r="AS226" s="21" t="n">
        <f aca="false">IF($J226=0,0,MAX(0,NETWORKDAYS(MAX($K226,AS$4),MIN($L226,EOMONTH(AS$4,0)),Assumptions!$F$4:$F$44))/NETWORKDAYS($K226,$L226,Assumptions!$F$4:$F$44))</f>
        <v>0</v>
      </c>
      <c r="AT226" s="21" t="n">
        <f aca="false">IF($J226=0,0,MAX(0,NETWORKDAYS(MAX($K226,AT$4),MIN($L226,EOMONTH(AT$4,0)),Assumptions!$F$4:$F$44))/NETWORKDAYS($K226,$L226,Assumptions!$F$4:$F$44))</f>
        <v>0</v>
      </c>
      <c r="AU226" s="21" t="n">
        <f aca="false">IF($J226=0,0,MAX(0,NETWORKDAYS(MAX($K226,AU$4),MIN($L226,EOMONTH(AU$4,0)),Assumptions!$F$4:$F$44))/NETWORKDAYS($K226,$L226,Assumptions!$F$4:$F$44))</f>
        <v>0</v>
      </c>
      <c r="AV226" s="21" t="n">
        <f aca="false">IF($J226=0,0,MAX(0,NETWORKDAYS(MAX($K226,AV$4),MIN($L226,EOMONTH(AV$4,0)),Assumptions!$F$4:$F$44))/NETWORKDAYS($K226,$L226,Assumptions!$F$4:$F$44))</f>
        <v>0</v>
      </c>
      <c r="AW226" s="21" t="n">
        <f aca="false">IF($J226=0,0,MAX(0,NETWORKDAYS(MAX($K226,AW$4),MIN($L226,EOMONTH(AW$4,0)),Assumptions!$F$4:$F$44))/NETWORKDAYS($K226,$L226,Assumptions!$F$4:$F$44))</f>
        <v>0</v>
      </c>
      <c r="AX226" s="21" t="n">
        <f aca="false">IF($J226=0,0,MAX(0,NETWORKDAYS(MAX($K226,AX$4),MIN($L226,EOMONTH(AX$4,0)),Assumptions!$F$4:$F$44))/NETWORKDAYS($K226,$L226,Assumptions!$F$4:$F$44))</f>
        <v>0</v>
      </c>
      <c r="AY226" s="21" t="n">
        <f aca="false">IF($J226=0,0,MAX(0,NETWORKDAYS(MAX($K226,AY$4),MIN($L226,EOMONTH(AY$4,0)),Assumptions!$F$4:$F$44))/NETWORKDAYS($K226,$L226,Assumptions!$F$4:$F$44))</f>
        <v>0</v>
      </c>
      <c r="AZ226" s="21" t="n">
        <f aca="false">IF($J226=0,0,MAX(0,NETWORKDAYS(MAX($K226,AZ$4),MIN($L226,EOMONTH(AZ$4,0)),Assumptions!$F$4:$F$44))/NETWORKDAYS($K226,$L226,Assumptions!$F$4:$F$44))</f>
        <v>0</v>
      </c>
      <c r="BA226" s="21" t="n">
        <f aca="false">IF($J226=0,0,MAX(0,NETWORKDAYS(MAX($K226,BA$4),MIN($L226,EOMONTH(BA$4,0)),Assumptions!$F$4:$F$44))/NETWORKDAYS($K226,$L226,Assumptions!$F$4:$F$44))</f>
        <v>0</v>
      </c>
      <c r="BB226" s="21" t="n">
        <f aca="false">IF($J226=0,0,MAX(0,NETWORKDAYS(MAX($K226,BB$4),MIN($L226,EOMONTH(BB$4,0)),Assumptions!$F$4:$F$44))/NETWORKDAYS($K226,$L226,Assumptions!$F$4:$F$44))</f>
        <v>0</v>
      </c>
      <c r="BC226" s="21" t="n">
        <f aca="false">IF($J226=0,0,MAX(0,NETWORKDAYS(MAX($K226,BC$4),MIN($L226,EOMONTH(BC$4,0)),Assumptions!$F$4:$F$44))/NETWORKDAYS($K226,$L226,Assumptions!$F$4:$F$44))</f>
        <v>0</v>
      </c>
    </row>
    <row r="227" customFormat="false" ht="15" hidden="false" customHeight="false" outlineLevel="2" collapsed="false">
      <c r="A227" s="27" t="n">
        <v>223</v>
      </c>
      <c r="B227" s="27" t="s">
        <v>549</v>
      </c>
      <c r="C227" s="27" t="n">
        <v>3</v>
      </c>
      <c r="D227" s="27" t="s">
        <v>92</v>
      </c>
      <c r="E227" s="28" t="s">
        <v>303</v>
      </c>
      <c r="F227" s="27" t="s">
        <v>502</v>
      </c>
      <c r="G227" s="27" t="s">
        <v>543</v>
      </c>
      <c r="H227" s="27" t="s">
        <v>47</v>
      </c>
      <c r="I227" s="29" t="n">
        <v>112</v>
      </c>
      <c r="J227" s="29" t="n">
        <v>55</v>
      </c>
      <c r="K227" s="30" t="n">
        <f aca="false">WORKDAY(Assumptions!$C$4,I227,Assumptions!$F$4:$F$44)</f>
        <v>46484</v>
      </c>
      <c r="L227" s="30" t="n">
        <f aca="false">IF(J227=0,K227,WORKDAY(K227,J227-1,Assumptions!$F$4:$F$44))</f>
        <v>46560</v>
      </c>
      <c r="M227" s="29" t="s">
        <v>550</v>
      </c>
      <c r="N227" s="31" t="n">
        <v>0</v>
      </c>
      <c r="O227" s="31" t="n">
        <v>0</v>
      </c>
      <c r="P227" s="31" t="n">
        <v>0</v>
      </c>
      <c r="Q227" s="31" t="n">
        <v>34</v>
      </c>
      <c r="R227" s="31" t="n">
        <v>0</v>
      </c>
      <c r="S227" s="31" t="n">
        <v>0</v>
      </c>
      <c r="T227" s="31" t="n">
        <v>0</v>
      </c>
      <c r="U227" s="31" t="n">
        <v>0</v>
      </c>
      <c r="V227" s="31" t="n">
        <v>0</v>
      </c>
      <c r="W227" s="31" t="n">
        <v>0</v>
      </c>
      <c r="X227" s="31" t="n">
        <v>0</v>
      </c>
      <c r="Y227" s="32" t="n">
        <f aca="false">SUM(N227:X227)</f>
        <v>34</v>
      </c>
      <c r="Z227" s="32" t="n">
        <f aca="false">Y227*(1+Assumptions!$C$5)</f>
        <v>39.1</v>
      </c>
      <c r="AA227" s="27" t="s">
        <v>305</v>
      </c>
      <c r="AB227" s="27" t="s">
        <v>95</v>
      </c>
      <c r="AC227" s="27"/>
      <c r="AD227" s="33" t="n">
        <v>0</v>
      </c>
      <c r="AF227" s="21" t="n">
        <f aca="false">IF($J227=0,0,MAX(0,NETWORKDAYS(MAX($K227,AF$4),MIN($L227,EOMONTH(AF$4,0)),Assumptions!$F$4:$F$44))/NETWORKDAYS($K227,$L227,Assumptions!$F$4:$F$44))</f>
        <v>0</v>
      </c>
      <c r="AG227" s="21" t="n">
        <f aca="false">IF($J227=0,0,MAX(0,NETWORKDAYS(MAX($K227,AG$4),MIN($L227,EOMONTH(AG$4,0)),Assumptions!$F$4:$F$44))/NETWORKDAYS($K227,$L227,Assumptions!$F$4:$F$44))</f>
        <v>0</v>
      </c>
      <c r="AH227" s="21" t="n">
        <f aca="false">IF($J227=0,0,MAX(0,NETWORKDAYS(MAX($K227,AH$4),MIN($L227,EOMONTH(AH$4,0)),Assumptions!$F$4:$F$44))/NETWORKDAYS($K227,$L227,Assumptions!$F$4:$F$44))</f>
        <v>0</v>
      </c>
      <c r="AI227" s="21" t="n">
        <f aca="false">IF($J227=0,0,MAX(0,NETWORKDAYS(MAX($K227,AI$4),MIN($L227,EOMONTH(AI$4,0)),Assumptions!$F$4:$F$44))/NETWORKDAYS($K227,$L227,Assumptions!$F$4:$F$44))</f>
        <v>0</v>
      </c>
      <c r="AJ227" s="21" t="n">
        <f aca="false">IF($J227=0,0,MAX(0,NETWORKDAYS(MAX($K227,AJ$4),MIN($L227,EOMONTH(AJ$4,0)),Assumptions!$F$4:$F$44))/NETWORKDAYS($K227,$L227,Assumptions!$F$4:$F$44))</f>
        <v>0</v>
      </c>
      <c r="AK227" s="21" t="n">
        <f aca="false">IF($J227=0,0,MAX(0,NETWORKDAYS(MAX($K227,AK$4),MIN($L227,EOMONTH(AK$4,0)),Assumptions!$F$4:$F$44))/NETWORKDAYS($K227,$L227,Assumptions!$F$4:$F$44))</f>
        <v>0.327272727272727</v>
      </c>
      <c r="AL227" s="21" t="n">
        <f aca="false">IF($J227=0,0,MAX(0,NETWORKDAYS(MAX($K227,AL$4),MIN($L227,EOMONTH(AL$4,0)),Assumptions!$F$4:$F$44))/NETWORKDAYS($K227,$L227,Assumptions!$F$4:$F$44))</f>
        <v>0.381818181818182</v>
      </c>
      <c r="AM227" s="21" t="n">
        <f aca="false">IF($J227=0,0,MAX(0,NETWORKDAYS(MAX($K227,AM$4),MIN($L227,EOMONTH(AM$4,0)),Assumptions!$F$4:$F$44))/NETWORKDAYS($K227,$L227,Assumptions!$F$4:$F$44))</f>
        <v>0.290909090909091</v>
      </c>
      <c r="AN227" s="21" t="n">
        <f aca="false">IF($J227=0,0,MAX(0,NETWORKDAYS(MAX($K227,AN$4),MIN($L227,EOMONTH(AN$4,0)),Assumptions!$F$4:$F$44))/NETWORKDAYS($K227,$L227,Assumptions!$F$4:$F$44))</f>
        <v>0</v>
      </c>
      <c r="AO227" s="21" t="n">
        <f aca="false">IF($J227=0,0,MAX(0,NETWORKDAYS(MAX($K227,AO$4),MIN($L227,EOMONTH(AO$4,0)),Assumptions!$F$4:$F$44))/NETWORKDAYS($K227,$L227,Assumptions!$F$4:$F$44))</f>
        <v>0</v>
      </c>
      <c r="AP227" s="21" t="n">
        <f aca="false">IF($J227=0,0,MAX(0,NETWORKDAYS(MAX($K227,AP$4),MIN($L227,EOMONTH(AP$4,0)),Assumptions!$F$4:$F$44))/NETWORKDAYS($K227,$L227,Assumptions!$F$4:$F$44))</f>
        <v>0</v>
      </c>
      <c r="AQ227" s="21" t="n">
        <f aca="false">IF($J227=0,0,MAX(0,NETWORKDAYS(MAX($K227,AQ$4),MIN($L227,EOMONTH(AQ$4,0)),Assumptions!$F$4:$F$44))/NETWORKDAYS($K227,$L227,Assumptions!$F$4:$F$44))</f>
        <v>0</v>
      </c>
      <c r="AR227" s="21" t="n">
        <f aca="false">IF($J227=0,0,MAX(0,NETWORKDAYS(MAX($K227,AR$4),MIN($L227,EOMONTH(AR$4,0)),Assumptions!$F$4:$F$44))/NETWORKDAYS($K227,$L227,Assumptions!$F$4:$F$44))</f>
        <v>0</v>
      </c>
      <c r="AS227" s="21" t="n">
        <f aca="false">IF($J227=0,0,MAX(0,NETWORKDAYS(MAX($K227,AS$4),MIN($L227,EOMONTH(AS$4,0)),Assumptions!$F$4:$F$44))/NETWORKDAYS($K227,$L227,Assumptions!$F$4:$F$44))</f>
        <v>0</v>
      </c>
      <c r="AT227" s="21" t="n">
        <f aca="false">IF($J227=0,0,MAX(0,NETWORKDAYS(MAX($K227,AT$4),MIN($L227,EOMONTH(AT$4,0)),Assumptions!$F$4:$F$44))/NETWORKDAYS($K227,$L227,Assumptions!$F$4:$F$44))</f>
        <v>0</v>
      </c>
      <c r="AU227" s="21" t="n">
        <f aca="false">IF($J227=0,0,MAX(0,NETWORKDAYS(MAX($K227,AU$4),MIN($L227,EOMONTH(AU$4,0)),Assumptions!$F$4:$F$44))/NETWORKDAYS($K227,$L227,Assumptions!$F$4:$F$44))</f>
        <v>0</v>
      </c>
      <c r="AV227" s="21" t="n">
        <f aca="false">IF($J227=0,0,MAX(0,NETWORKDAYS(MAX($K227,AV$4),MIN($L227,EOMONTH(AV$4,0)),Assumptions!$F$4:$F$44))/NETWORKDAYS($K227,$L227,Assumptions!$F$4:$F$44))</f>
        <v>0</v>
      </c>
      <c r="AW227" s="21" t="n">
        <f aca="false">IF($J227=0,0,MAX(0,NETWORKDAYS(MAX($K227,AW$4),MIN($L227,EOMONTH(AW$4,0)),Assumptions!$F$4:$F$44))/NETWORKDAYS($K227,$L227,Assumptions!$F$4:$F$44))</f>
        <v>0</v>
      </c>
      <c r="AX227" s="21" t="n">
        <f aca="false">IF($J227=0,0,MAX(0,NETWORKDAYS(MAX($K227,AX$4),MIN($L227,EOMONTH(AX$4,0)),Assumptions!$F$4:$F$44))/NETWORKDAYS($K227,$L227,Assumptions!$F$4:$F$44))</f>
        <v>0</v>
      </c>
      <c r="AY227" s="21" t="n">
        <f aca="false">IF($J227=0,0,MAX(0,NETWORKDAYS(MAX($K227,AY$4),MIN($L227,EOMONTH(AY$4,0)),Assumptions!$F$4:$F$44))/NETWORKDAYS($K227,$L227,Assumptions!$F$4:$F$44))</f>
        <v>0</v>
      </c>
      <c r="AZ227" s="21" t="n">
        <f aca="false">IF($J227=0,0,MAX(0,NETWORKDAYS(MAX($K227,AZ$4),MIN($L227,EOMONTH(AZ$4,0)),Assumptions!$F$4:$F$44))/NETWORKDAYS($K227,$L227,Assumptions!$F$4:$F$44))</f>
        <v>0</v>
      </c>
      <c r="BA227" s="21" t="n">
        <f aca="false">IF($J227=0,0,MAX(0,NETWORKDAYS(MAX($K227,BA$4),MIN($L227,EOMONTH(BA$4,0)),Assumptions!$F$4:$F$44))/NETWORKDAYS($K227,$L227,Assumptions!$F$4:$F$44))</f>
        <v>0</v>
      </c>
      <c r="BB227" s="21" t="n">
        <f aca="false">IF($J227=0,0,MAX(0,NETWORKDAYS(MAX($K227,BB$4),MIN($L227,EOMONTH(BB$4,0)),Assumptions!$F$4:$F$44))/NETWORKDAYS($K227,$L227,Assumptions!$F$4:$F$44))</f>
        <v>0</v>
      </c>
      <c r="BC227" s="21" t="n">
        <f aca="false">IF($J227=0,0,MAX(0,NETWORKDAYS(MAX($K227,BC$4),MIN($L227,EOMONTH(BC$4,0)),Assumptions!$F$4:$F$44))/NETWORKDAYS($K227,$L227,Assumptions!$F$4:$F$44))</f>
        <v>0</v>
      </c>
    </row>
    <row r="228" customFormat="false" ht="15" hidden="false" customHeight="false" outlineLevel="2" collapsed="false">
      <c r="A228" s="27" t="n">
        <v>224</v>
      </c>
      <c r="B228" s="27" t="s">
        <v>551</v>
      </c>
      <c r="C228" s="27" t="n">
        <v>3</v>
      </c>
      <c r="D228" s="27" t="s">
        <v>92</v>
      </c>
      <c r="E228" s="28" t="s">
        <v>307</v>
      </c>
      <c r="F228" s="27" t="s">
        <v>502</v>
      </c>
      <c r="G228" s="27" t="s">
        <v>543</v>
      </c>
      <c r="H228" s="27" t="s">
        <v>47</v>
      </c>
      <c r="I228" s="29" t="n">
        <v>128</v>
      </c>
      <c r="J228" s="29" t="n">
        <v>40</v>
      </c>
      <c r="K228" s="30" t="n">
        <f aca="false">WORKDAY(Assumptions!$C$4,I228,Assumptions!$F$4:$F$44)</f>
        <v>46506</v>
      </c>
      <c r="L228" s="30" t="n">
        <f aca="false">IF(J228=0,K228,WORKDAY(K228,J228-1,Assumptions!$F$4:$F$44))</f>
        <v>46561</v>
      </c>
      <c r="M228" s="29" t="s">
        <v>550</v>
      </c>
      <c r="N228" s="31" t="n">
        <v>0</v>
      </c>
      <c r="O228" s="31" t="n">
        <v>4</v>
      </c>
      <c r="P228" s="31" t="n">
        <v>0</v>
      </c>
      <c r="Q228" s="31" t="n">
        <v>11</v>
      </c>
      <c r="R228" s="31" t="n">
        <v>0</v>
      </c>
      <c r="S228" s="31" t="n">
        <v>0</v>
      </c>
      <c r="T228" s="31" t="n">
        <v>0</v>
      </c>
      <c r="U228" s="31" t="n">
        <v>0</v>
      </c>
      <c r="V228" s="31" t="n">
        <v>0</v>
      </c>
      <c r="W228" s="31" t="n">
        <v>0</v>
      </c>
      <c r="X228" s="31" t="n">
        <v>0</v>
      </c>
      <c r="Y228" s="32" t="n">
        <f aca="false">SUM(N228:X228)</f>
        <v>15</v>
      </c>
      <c r="Z228" s="32" t="n">
        <f aca="false">Y228*(1+Assumptions!$C$5)</f>
        <v>17.25</v>
      </c>
      <c r="AA228" s="27" t="s">
        <v>308</v>
      </c>
      <c r="AB228" s="27" t="s">
        <v>95</v>
      </c>
      <c r="AC228" s="27"/>
      <c r="AD228" s="33" t="n">
        <v>0</v>
      </c>
      <c r="AF228" s="21" t="n">
        <f aca="false">IF($J228=0,0,MAX(0,NETWORKDAYS(MAX($K228,AF$4),MIN($L228,EOMONTH(AF$4,0)),Assumptions!$F$4:$F$44))/NETWORKDAYS($K228,$L228,Assumptions!$F$4:$F$44))</f>
        <v>0</v>
      </c>
      <c r="AG228" s="21" t="n">
        <f aca="false">IF($J228=0,0,MAX(0,NETWORKDAYS(MAX($K228,AG$4),MIN($L228,EOMONTH(AG$4,0)),Assumptions!$F$4:$F$44))/NETWORKDAYS($K228,$L228,Assumptions!$F$4:$F$44))</f>
        <v>0</v>
      </c>
      <c r="AH228" s="21" t="n">
        <f aca="false">IF($J228=0,0,MAX(0,NETWORKDAYS(MAX($K228,AH$4),MIN($L228,EOMONTH(AH$4,0)),Assumptions!$F$4:$F$44))/NETWORKDAYS($K228,$L228,Assumptions!$F$4:$F$44))</f>
        <v>0</v>
      </c>
      <c r="AI228" s="21" t="n">
        <f aca="false">IF($J228=0,0,MAX(0,NETWORKDAYS(MAX($K228,AI$4),MIN($L228,EOMONTH(AI$4,0)),Assumptions!$F$4:$F$44))/NETWORKDAYS($K228,$L228,Assumptions!$F$4:$F$44))</f>
        <v>0</v>
      </c>
      <c r="AJ228" s="21" t="n">
        <f aca="false">IF($J228=0,0,MAX(0,NETWORKDAYS(MAX($K228,AJ$4),MIN($L228,EOMONTH(AJ$4,0)),Assumptions!$F$4:$F$44))/NETWORKDAYS($K228,$L228,Assumptions!$F$4:$F$44))</f>
        <v>0</v>
      </c>
      <c r="AK228" s="21" t="n">
        <f aca="false">IF($J228=0,0,MAX(0,NETWORKDAYS(MAX($K228,AK$4),MIN($L228,EOMONTH(AK$4,0)),Assumptions!$F$4:$F$44))/NETWORKDAYS($K228,$L228,Assumptions!$F$4:$F$44))</f>
        <v>0.05</v>
      </c>
      <c r="AL228" s="21" t="n">
        <f aca="false">IF($J228=0,0,MAX(0,NETWORKDAYS(MAX($K228,AL$4),MIN($L228,EOMONTH(AL$4,0)),Assumptions!$F$4:$F$44))/NETWORKDAYS($K228,$L228,Assumptions!$F$4:$F$44))</f>
        <v>0.525</v>
      </c>
      <c r="AM228" s="21" t="n">
        <f aca="false">IF($J228=0,0,MAX(0,NETWORKDAYS(MAX($K228,AM$4),MIN($L228,EOMONTH(AM$4,0)),Assumptions!$F$4:$F$44))/NETWORKDAYS($K228,$L228,Assumptions!$F$4:$F$44))</f>
        <v>0.425</v>
      </c>
      <c r="AN228" s="21" t="n">
        <f aca="false">IF($J228=0,0,MAX(0,NETWORKDAYS(MAX($K228,AN$4),MIN($L228,EOMONTH(AN$4,0)),Assumptions!$F$4:$F$44))/NETWORKDAYS($K228,$L228,Assumptions!$F$4:$F$44))</f>
        <v>0</v>
      </c>
      <c r="AO228" s="21" t="n">
        <f aca="false">IF($J228=0,0,MAX(0,NETWORKDAYS(MAX($K228,AO$4),MIN($L228,EOMONTH(AO$4,0)),Assumptions!$F$4:$F$44))/NETWORKDAYS($K228,$L228,Assumptions!$F$4:$F$44))</f>
        <v>0</v>
      </c>
      <c r="AP228" s="21" t="n">
        <f aca="false">IF($J228=0,0,MAX(0,NETWORKDAYS(MAX($K228,AP$4),MIN($L228,EOMONTH(AP$4,0)),Assumptions!$F$4:$F$44))/NETWORKDAYS($K228,$L228,Assumptions!$F$4:$F$44))</f>
        <v>0</v>
      </c>
      <c r="AQ228" s="21" t="n">
        <f aca="false">IF($J228=0,0,MAX(0,NETWORKDAYS(MAX($K228,AQ$4),MIN($L228,EOMONTH(AQ$4,0)),Assumptions!$F$4:$F$44))/NETWORKDAYS($K228,$L228,Assumptions!$F$4:$F$44))</f>
        <v>0</v>
      </c>
      <c r="AR228" s="21" t="n">
        <f aca="false">IF($J228=0,0,MAX(0,NETWORKDAYS(MAX($K228,AR$4),MIN($L228,EOMONTH(AR$4,0)),Assumptions!$F$4:$F$44))/NETWORKDAYS($K228,$L228,Assumptions!$F$4:$F$44))</f>
        <v>0</v>
      </c>
      <c r="AS228" s="21" t="n">
        <f aca="false">IF($J228=0,0,MAX(0,NETWORKDAYS(MAX($K228,AS$4),MIN($L228,EOMONTH(AS$4,0)),Assumptions!$F$4:$F$44))/NETWORKDAYS($K228,$L228,Assumptions!$F$4:$F$44))</f>
        <v>0</v>
      </c>
      <c r="AT228" s="21" t="n">
        <f aca="false">IF($J228=0,0,MAX(0,NETWORKDAYS(MAX($K228,AT$4),MIN($L228,EOMONTH(AT$4,0)),Assumptions!$F$4:$F$44))/NETWORKDAYS($K228,$L228,Assumptions!$F$4:$F$44))</f>
        <v>0</v>
      </c>
      <c r="AU228" s="21" t="n">
        <f aca="false">IF($J228=0,0,MAX(0,NETWORKDAYS(MAX($K228,AU$4),MIN($L228,EOMONTH(AU$4,0)),Assumptions!$F$4:$F$44))/NETWORKDAYS($K228,$L228,Assumptions!$F$4:$F$44))</f>
        <v>0</v>
      </c>
      <c r="AV228" s="21" t="n">
        <f aca="false">IF($J228=0,0,MAX(0,NETWORKDAYS(MAX($K228,AV$4),MIN($L228,EOMONTH(AV$4,0)),Assumptions!$F$4:$F$44))/NETWORKDAYS($K228,$L228,Assumptions!$F$4:$F$44))</f>
        <v>0</v>
      </c>
      <c r="AW228" s="21" t="n">
        <f aca="false">IF($J228=0,0,MAX(0,NETWORKDAYS(MAX($K228,AW$4),MIN($L228,EOMONTH(AW$4,0)),Assumptions!$F$4:$F$44))/NETWORKDAYS($K228,$L228,Assumptions!$F$4:$F$44))</f>
        <v>0</v>
      </c>
      <c r="AX228" s="21" t="n">
        <f aca="false">IF($J228=0,0,MAX(0,NETWORKDAYS(MAX($K228,AX$4),MIN($L228,EOMONTH(AX$4,0)),Assumptions!$F$4:$F$44))/NETWORKDAYS($K228,$L228,Assumptions!$F$4:$F$44))</f>
        <v>0</v>
      </c>
      <c r="AY228" s="21" t="n">
        <f aca="false">IF($J228=0,0,MAX(0,NETWORKDAYS(MAX($K228,AY$4),MIN($L228,EOMONTH(AY$4,0)),Assumptions!$F$4:$F$44))/NETWORKDAYS($K228,$L228,Assumptions!$F$4:$F$44))</f>
        <v>0</v>
      </c>
      <c r="AZ228" s="21" t="n">
        <f aca="false">IF($J228=0,0,MAX(0,NETWORKDAYS(MAX($K228,AZ$4),MIN($L228,EOMONTH(AZ$4,0)),Assumptions!$F$4:$F$44))/NETWORKDAYS($K228,$L228,Assumptions!$F$4:$F$44))</f>
        <v>0</v>
      </c>
      <c r="BA228" s="21" t="n">
        <f aca="false">IF($J228=0,0,MAX(0,NETWORKDAYS(MAX($K228,BA$4),MIN($L228,EOMONTH(BA$4,0)),Assumptions!$F$4:$F$44))/NETWORKDAYS($K228,$L228,Assumptions!$F$4:$F$44))</f>
        <v>0</v>
      </c>
      <c r="BB228" s="21" t="n">
        <f aca="false">IF($J228=0,0,MAX(0,NETWORKDAYS(MAX($K228,BB$4),MIN($L228,EOMONTH(BB$4,0)),Assumptions!$F$4:$F$44))/NETWORKDAYS($K228,$L228,Assumptions!$F$4:$F$44))</f>
        <v>0</v>
      </c>
      <c r="BC228" s="21" t="n">
        <f aca="false">IF($J228=0,0,MAX(0,NETWORKDAYS(MAX($K228,BC$4),MIN($L228,EOMONTH(BC$4,0)),Assumptions!$F$4:$F$44))/NETWORKDAYS($K228,$L228,Assumptions!$F$4:$F$44))</f>
        <v>0</v>
      </c>
    </row>
    <row r="229" customFormat="false" ht="15" hidden="false" customHeight="false" outlineLevel="2" collapsed="false">
      <c r="A229" s="27" t="n">
        <v>225</v>
      </c>
      <c r="B229" s="27" t="s">
        <v>552</v>
      </c>
      <c r="C229" s="27" t="n">
        <v>3</v>
      </c>
      <c r="D229" s="27" t="s">
        <v>92</v>
      </c>
      <c r="E229" s="28" t="s">
        <v>310</v>
      </c>
      <c r="F229" s="27" t="s">
        <v>502</v>
      </c>
      <c r="G229" s="27" t="s">
        <v>543</v>
      </c>
      <c r="H229" s="27" t="s">
        <v>49</v>
      </c>
      <c r="I229" s="29" t="n">
        <v>121</v>
      </c>
      <c r="J229" s="29" t="n">
        <v>53</v>
      </c>
      <c r="K229" s="30" t="n">
        <f aca="false">WORKDAY(Assumptions!$C$4,I229,Assumptions!$F$4:$F$44)</f>
        <v>46497</v>
      </c>
      <c r="L229" s="30" t="n">
        <f aca="false">IF(J229=0,K229,WORKDAY(K229,J229-1,Assumptions!$F$4:$F$44))</f>
        <v>46569</v>
      </c>
      <c r="M229" s="29" t="s">
        <v>553</v>
      </c>
      <c r="N229" s="31" t="n">
        <v>0</v>
      </c>
      <c r="O229" s="31" t="n">
        <v>0</v>
      </c>
      <c r="P229" s="31" t="n">
        <v>0</v>
      </c>
      <c r="Q229" s="31" t="n">
        <v>0</v>
      </c>
      <c r="R229" s="31" t="n">
        <v>28</v>
      </c>
      <c r="S229" s="31" t="n">
        <v>0</v>
      </c>
      <c r="T229" s="31" t="n">
        <v>0</v>
      </c>
      <c r="U229" s="31" t="n">
        <v>0</v>
      </c>
      <c r="V229" s="31" t="n">
        <v>0</v>
      </c>
      <c r="W229" s="31" t="n">
        <v>0</v>
      </c>
      <c r="X229" s="31" t="n">
        <v>0</v>
      </c>
      <c r="Y229" s="32" t="n">
        <f aca="false">SUM(N229:X229)</f>
        <v>28</v>
      </c>
      <c r="Z229" s="32" t="n">
        <f aca="false">Y229*(1+Assumptions!$C$5)</f>
        <v>32.2</v>
      </c>
      <c r="AA229" s="27" t="s">
        <v>312</v>
      </c>
      <c r="AB229" s="27" t="s">
        <v>95</v>
      </c>
      <c r="AC229" s="27"/>
      <c r="AD229" s="33" t="n">
        <v>0</v>
      </c>
      <c r="AF229" s="21" t="n">
        <f aca="false">IF($J229=0,0,MAX(0,NETWORKDAYS(MAX($K229,AF$4),MIN($L229,EOMONTH(AF$4,0)),Assumptions!$F$4:$F$44))/NETWORKDAYS($K229,$L229,Assumptions!$F$4:$F$44))</f>
        <v>0</v>
      </c>
      <c r="AG229" s="21" t="n">
        <f aca="false">IF($J229=0,0,MAX(0,NETWORKDAYS(MAX($K229,AG$4),MIN($L229,EOMONTH(AG$4,0)),Assumptions!$F$4:$F$44))/NETWORKDAYS($K229,$L229,Assumptions!$F$4:$F$44))</f>
        <v>0</v>
      </c>
      <c r="AH229" s="21" t="n">
        <f aca="false">IF($J229=0,0,MAX(0,NETWORKDAYS(MAX($K229,AH$4),MIN($L229,EOMONTH(AH$4,0)),Assumptions!$F$4:$F$44))/NETWORKDAYS($K229,$L229,Assumptions!$F$4:$F$44))</f>
        <v>0</v>
      </c>
      <c r="AI229" s="21" t="n">
        <f aca="false">IF($J229=0,0,MAX(0,NETWORKDAYS(MAX($K229,AI$4),MIN($L229,EOMONTH(AI$4,0)),Assumptions!$F$4:$F$44))/NETWORKDAYS($K229,$L229,Assumptions!$F$4:$F$44))</f>
        <v>0</v>
      </c>
      <c r="AJ229" s="21" t="n">
        <f aca="false">IF($J229=0,0,MAX(0,NETWORKDAYS(MAX($K229,AJ$4),MIN($L229,EOMONTH(AJ$4,0)),Assumptions!$F$4:$F$44))/NETWORKDAYS($K229,$L229,Assumptions!$F$4:$F$44))</f>
        <v>0</v>
      </c>
      <c r="AK229" s="21" t="n">
        <f aca="false">IF($J229=0,0,MAX(0,NETWORKDAYS(MAX($K229,AK$4),MIN($L229,EOMONTH(AK$4,0)),Assumptions!$F$4:$F$44))/NETWORKDAYS($K229,$L229,Assumptions!$F$4:$F$44))</f>
        <v>0.169811320754717</v>
      </c>
      <c r="AL229" s="21" t="n">
        <f aca="false">IF($J229=0,0,MAX(0,NETWORKDAYS(MAX($K229,AL$4),MIN($L229,EOMONTH(AL$4,0)),Assumptions!$F$4:$F$44))/NETWORKDAYS($K229,$L229,Assumptions!$F$4:$F$44))</f>
        <v>0.39622641509434</v>
      </c>
      <c r="AM229" s="21" t="n">
        <f aca="false">IF($J229=0,0,MAX(0,NETWORKDAYS(MAX($K229,AM$4),MIN($L229,EOMONTH(AM$4,0)),Assumptions!$F$4:$F$44))/NETWORKDAYS($K229,$L229,Assumptions!$F$4:$F$44))</f>
        <v>0.415094339622642</v>
      </c>
      <c r="AN229" s="21" t="n">
        <f aca="false">IF($J229=0,0,MAX(0,NETWORKDAYS(MAX($K229,AN$4),MIN($L229,EOMONTH(AN$4,0)),Assumptions!$F$4:$F$44))/NETWORKDAYS($K229,$L229,Assumptions!$F$4:$F$44))</f>
        <v>0.0188679245283019</v>
      </c>
      <c r="AO229" s="21" t="n">
        <f aca="false">IF($J229=0,0,MAX(0,NETWORKDAYS(MAX($K229,AO$4),MIN($L229,EOMONTH(AO$4,0)),Assumptions!$F$4:$F$44))/NETWORKDAYS($K229,$L229,Assumptions!$F$4:$F$44))</f>
        <v>0</v>
      </c>
      <c r="AP229" s="21" t="n">
        <f aca="false">IF($J229=0,0,MAX(0,NETWORKDAYS(MAX($K229,AP$4),MIN($L229,EOMONTH(AP$4,0)),Assumptions!$F$4:$F$44))/NETWORKDAYS($K229,$L229,Assumptions!$F$4:$F$44))</f>
        <v>0</v>
      </c>
      <c r="AQ229" s="21" t="n">
        <f aca="false">IF($J229=0,0,MAX(0,NETWORKDAYS(MAX($K229,AQ$4),MIN($L229,EOMONTH(AQ$4,0)),Assumptions!$F$4:$F$44))/NETWORKDAYS($K229,$L229,Assumptions!$F$4:$F$44))</f>
        <v>0</v>
      </c>
      <c r="AR229" s="21" t="n">
        <f aca="false">IF($J229=0,0,MAX(0,NETWORKDAYS(MAX($K229,AR$4),MIN($L229,EOMONTH(AR$4,0)),Assumptions!$F$4:$F$44))/NETWORKDAYS($K229,$L229,Assumptions!$F$4:$F$44))</f>
        <v>0</v>
      </c>
      <c r="AS229" s="21" t="n">
        <f aca="false">IF($J229=0,0,MAX(0,NETWORKDAYS(MAX($K229,AS$4),MIN($L229,EOMONTH(AS$4,0)),Assumptions!$F$4:$F$44))/NETWORKDAYS($K229,$L229,Assumptions!$F$4:$F$44))</f>
        <v>0</v>
      </c>
      <c r="AT229" s="21" t="n">
        <f aca="false">IF($J229=0,0,MAX(0,NETWORKDAYS(MAX($K229,AT$4),MIN($L229,EOMONTH(AT$4,0)),Assumptions!$F$4:$F$44))/NETWORKDAYS($K229,$L229,Assumptions!$F$4:$F$44))</f>
        <v>0</v>
      </c>
      <c r="AU229" s="21" t="n">
        <f aca="false">IF($J229=0,0,MAX(0,NETWORKDAYS(MAX($K229,AU$4),MIN($L229,EOMONTH(AU$4,0)),Assumptions!$F$4:$F$44))/NETWORKDAYS($K229,$L229,Assumptions!$F$4:$F$44))</f>
        <v>0</v>
      </c>
      <c r="AV229" s="21" t="n">
        <f aca="false">IF($J229=0,0,MAX(0,NETWORKDAYS(MAX($K229,AV$4),MIN($L229,EOMONTH(AV$4,0)),Assumptions!$F$4:$F$44))/NETWORKDAYS($K229,$L229,Assumptions!$F$4:$F$44))</f>
        <v>0</v>
      </c>
      <c r="AW229" s="21" t="n">
        <f aca="false">IF($J229=0,0,MAX(0,NETWORKDAYS(MAX($K229,AW$4),MIN($L229,EOMONTH(AW$4,0)),Assumptions!$F$4:$F$44))/NETWORKDAYS($K229,$L229,Assumptions!$F$4:$F$44))</f>
        <v>0</v>
      </c>
      <c r="AX229" s="21" t="n">
        <f aca="false">IF($J229=0,0,MAX(0,NETWORKDAYS(MAX($K229,AX$4),MIN($L229,EOMONTH(AX$4,0)),Assumptions!$F$4:$F$44))/NETWORKDAYS($K229,$L229,Assumptions!$F$4:$F$44))</f>
        <v>0</v>
      </c>
      <c r="AY229" s="21" t="n">
        <f aca="false">IF($J229=0,0,MAX(0,NETWORKDAYS(MAX($K229,AY$4),MIN($L229,EOMONTH(AY$4,0)),Assumptions!$F$4:$F$44))/NETWORKDAYS($K229,$L229,Assumptions!$F$4:$F$44))</f>
        <v>0</v>
      </c>
      <c r="AZ229" s="21" t="n">
        <f aca="false">IF($J229=0,0,MAX(0,NETWORKDAYS(MAX($K229,AZ$4),MIN($L229,EOMONTH(AZ$4,0)),Assumptions!$F$4:$F$44))/NETWORKDAYS($K229,$L229,Assumptions!$F$4:$F$44))</f>
        <v>0</v>
      </c>
      <c r="BA229" s="21" t="n">
        <f aca="false">IF($J229=0,0,MAX(0,NETWORKDAYS(MAX($K229,BA$4),MIN($L229,EOMONTH(BA$4,0)),Assumptions!$F$4:$F$44))/NETWORKDAYS($K229,$L229,Assumptions!$F$4:$F$44))</f>
        <v>0</v>
      </c>
      <c r="BB229" s="21" t="n">
        <f aca="false">IF($J229=0,0,MAX(0,NETWORKDAYS(MAX($K229,BB$4),MIN($L229,EOMONTH(BB$4,0)),Assumptions!$F$4:$F$44))/NETWORKDAYS($K229,$L229,Assumptions!$F$4:$F$44))</f>
        <v>0</v>
      </c>
      <c r="BC229" s="21" t="n">
        <f aca="false">IF($J229=0,0,MAX(0,NETWORKDAYS(MAX($K229,BC$4),MIN($L229,EOMONTH(BC$4,0)),Assumptions!$F$4:$F$44))/NETWORKDAYS($K229,$L229,Assumptions!$F$4:$F$44))</f>
        <v>0</v>
      </c>
    </row>
    <row r="230" customFormat="false" ht="15" hidden="false" customHeight="false" outlineLevel="2" collapsed="false">
      <c r="A230" s="27" t="n">
        <v>226</v>
      </c>
      <c r="B230" s="27" t="s">
        <v>554</v>
      </c>
      <c r="C230" s="27" t="n">
        <v>3</v>
      </c>
      <c r="D230" s="27" t="s">
        <v>92</v>
      </c>
      <c r="E230" s="28" t="s">
        <v>314</v>
      </c>
      <c r="F230" s="27" t="s">
        <v>502</v>
      </c>
      <c r="G230" s="27" t="s">
        <v>543</v>
      </c>
      <c r="H230" s="27" t="s">
        <v>49</v>
      </c>
      <c r="I230" s="29" t="n">
        <v>134</v>
      </c>
      <c r="J230" s="29" t="n">
        <v>40</v>
      </c>
      <c r="K230" s="30" t="n">
        <f aca="false">WORKDAY(Assumptions!$C$4,I230,Assumptions!$F$4:$F$44)</f>
        <v>46514</v>
      </c>
      <c r="L230" s="30" t="n">
        <f aca="false">IF(J230=0,K230,WORKDAY(K230,J230-1,Assumptions!$F$4:$F$44))</f>
        <v>46569</v>
      </c>
      <c r="M230" s="29" t="s">
        <v>553</v>
      </c>
      <c r="N230" s="31" t="n">
        <v>0</v>
      </c>
      <c r="O230" s="31" t="n">
        <v>0</v>
      </c>
      <c r="P230" s="31" t="n">
        <v>0</v>
      </c>
      <c r="Q230" s="31" t="n">
        <v>0</v>
      </c>
      <c r="R230" s="31" t="n">
        <v>14</v>
      </c>
      <c r="S230" s="31" t="n">
        <v>7</v>
      </c>
      <c r="T230" s="31" t="n">
        <v>0</v>
      </c>
      <c r="U230" s="31" t="n">
        <v>0</v>
      </c>
      <c r="V230" s="31" t="n">
        <v>0</v>
      </c>
      <c r="W230" s="31" t="n">
        <v>0</v>
      </c>
      <c r="X230" s="31" t="n">
        <v>0</v>
      </c>
      <c r="Y230" s="32" t="n">
        <f aca="false">SUM(N230:X230)</f>
        <v>21</v>
      </c>
      <c r="Z230" s="32" t="n">
        <f aca="false">Y230*(1+Assumptions!$C$5)</f>
        <v>24.15</v>
      </c>
      <c r="AA230" s="27" t="s">
        <v>315</v>
      </c>
      <c r="AB230" s="27" t="s">
        <v>95</v>
      </c>
      <c r="AC230" s="27"/>
      <c r="AD230" s="33" t="n">
        <v>0</v>
      </c>
      <c r="AF230" s="21" t="n">
        <f aca="false">IF($J230=0,0,MAX(0,NETWORKDAYS(MAX($K230,AF$4),MIN($L230,EOMONTH(AF$4,0)),Assumptions!$F$4:$F$44))/NETWORKDAYS($K230,$L230,Assumptions!$F$4:$F$44))</f>
        <v>0</v>
      </c>
      <c r="AG230" s="21" t="n">
        <f aca="false">IF($J230=0,0,MAX(0,NETWORKDAYS(MAX($K230,AG$4),MIN($L230,EOMONTH(AG$4,0)),Assumptions!$F$4:$F$44))/NETWORKDAYS($K230,$L230,Assumptions!$F$4:$F$44))</f>
        <v>0</v>
      </c>
      <c r="AH230" s="21" t="n">
        <f aca="false">IF($J230=0,0,MAX(0,NETWORKDAYS(MAX($K230,AH$4),MIN($L230,EOMONTH(AH$4,0)),Assumptions!$F$4:$F$44))/NETWORKDAYS($K230,$L230,Assumptions!$F$4:$F$44))</f>
        <v>0</v>
      </c>
      <c r="AI230" s="21" t="n">
        <f aca="false">IF($J230=0,0,MAX(0,NETWORKDAYS(MAX($K230,AI$4),MIN($L230,EOMONTH(AI$4,0)),Assumptions!$F$4:$F$44))/NETWORKDAYS($K230,$L230,Assumptions!$F$4:$F$44))</f>
        <v>0</v>
      </c>
      <c r="AJ230" s="21" t="n">
        <f aca="false">IF($J230=0,0,MAX(0,NETWORKDAYS(MAX($K230,AJ$4),MIN($L230,EOMONTH(AJ$4,0)),Assumptions!$F$4:$F$44))/NETWORKDAYS($K230,$L230,Assumptions!$F$4:$F$44))</f>
        <v>0</v>
      </c>
      <c r="AK230" s="21" t="n">
        <f aca="false">IF($J230=0,0,MAX(0,NETWORKDAYS(MAX($K230,AK$4),MIN($L230,EOMONTH(AK$4,0)),Assumptions!$F$4:$F$44))/NETWORKDAYS($K230,$L230,Assumptions!$F$4:$F$44))</f>
        <v>0</v>
      </c>
      <c r="AL230" s="21" t="n">
        <f aca="false">IF($J230=0,0,MAX(0,NETWORKDAYS(MAX($K230,AL$4),MIN($L230,EOMONTH(AL$4,0)),Assumptions!$F$4:$F$44))/NETWORKDAYS($K230,$L230,Assumptions!$F$4:$F$44))</f>
        <v>0.425</v>
      </c>
      <c r="AM230" s="21" t="n">
        <f aca="false">IF($J230=0,0,MAX(0,NETWORKDAYS(MAX($K230,AM$4),MIN($L230,EOMONTH(AM$4,0)),Assumptions!$F$4:$F$44))/NETWORKDAYS($K230,$L230,Assumptions!$F$4:$F$44))</f>
        <v>0.55</v>
      </c>
      <c r="AN230" s="21" t="n">
        <f aca="false">IF($J230=0,0,MAX(0,NETWORKDAYS(MAX($K230,AN$4),MIN($L230,EOMONTH(AN$4,0)),Assumptions!$F$4:$F$44))/NETWORKDAYS($K230,$L230,Assumptions!$F$4:$F$44))</f>
        <v>0.025</v>
      </c>
      <c r="AO230" s="21" t="n">
        <f aca="false">IF($J230=0,0,MAX(0,NETWORKDAYS(MAX($K230,AO$4),MIN($L230,EOMONTH(AO$4,0)),Assumptions!$F$4:$F$44))/NETWORKDAYS($K230,$L230,Assumptions!$F$4:$F$44))</f>
        <v>0</v>
      </c>
      <c r="AP230" s="21" t="n">
        <f aca="false">IF($J230=0,0,MAX(0,NETWORKDAYS(MAX($K230,AP$4),MIN($L230,EOMONTH(AP$4,0)),Assumptions!$F$4:$F$44))/NETWORKDAYS($K230,$L230,Assumptions!$F$4:$F$44))</f>
        <v>0</v>
      </c>
      <c r="AQ230" s="21" t="n">
        <f aca="false">IF($J230=0,0,MAX(0,NETWORKDAYS(MAX($K230,AQ$4),MIN($L230,EOMONTH(AQ$4,0)),Assumptions!$F$4:$F$44))/NETWORKDAYS($K230,$L230,Assumptions!$F$4:$F$44))</f>
        <v>0</v>
      </c>
      <c r="AR230" s="21" t="n">
        <f aca="false">IF($J230=0,0,MAX(0,NETWORKDAYS(MAX($K230,AR$4),MIN($L230,EOMONTH(AR$4,0)),Assumptions!$F$4:$F$44))/NETWORKDAYS($K230,$L230,Assumptions!$F$4:$F$44))</f>
        <v>0</v>
      </c>
      <c r="AS230" s="21" t="n">
        <f aca="false">IF($J230=0,0,MAX(0,NETWORKDAYS(MAX($K230,AS$4),MIN($L230,EOMONTH(AS$4,0)),Assumptions!$F$4:$F$44))/NETWORKDAYS($K230,$L230,Assumptions!$F$4:$F$44))</f>
        <v>0</v>
      </c>
      <c r="AT230" s="21" t="n">
        <f aca="false">IF($J230=0,0,MAX(0,NETWORKDAYS(MAX($K230,AT$4),MIN($L230,EOMONTH(AT$4,0)),Assumptions!$F$4:$F$44))/NETWORKDAYS($K230,$L230,Assumptions!$F$4:$F$44))</f>
        <v>0</v>
      </c>
      <c r="AU230" s="21" t="n">
        <f aca="false">IF($J230=0,0,MAX(0,NETWORKDAYS(MAX($K230,AU$4),MIN($L230,EOMONTH(AU$4,0)),Assumptions!$F$4:$F$44))/NETWORKDAYS($K230,$L230,Assumptions!$F$4:$F$44))</f>
        <v>0</v>
      </c>
      <c r="AV230" s="21" t="n">
        <f aca="false">IF($J230=0,0,MAX(0,NETWORKDAYS(MAX($K230,AV$4),MIN($L230,EOMONTH(AV$4,0)),Assumptions!$F$4:$F$44))/NETWORKDAYS($K230,$L230,Assumptions!$F$4:$F$44))</f>
        <v>0</v>
      </c>
      <c r="AW230" s="21" t="n">
        <f aca="false">IF($J230=0,0,MAX(0,NETWORKDAYS(MAX($K230,AW$4),MIN($L230,EOMONTH(AW$4,0)),Assumptions!$F$4:$F$44))/NETWORKDAYS($K230,$L230,Assumptions!$F$4:$F$44))</f>
        <v>0</v>
      </c>
      <c r="AX230" s="21" t="n">
        <f aca="false">IF($J230=0,0,MAX(0,NETWORKDAYS(MAX($K230,AX$4),MIN($L230,EOMONTH(AX$4,0)),Assumptions!$F$4:$F$44))/NETWORKDAYS($K230,$L230,Assumptions!$F$4:$F$44))</f>
        <v>0</v>
      </c>
      <c r="AY230" s="21" t="n">
        <f aca="false">IF($J230=0,0,MAX(0,NETWORKDAYS(MAX($K230,AY$4),MIN($L230,EOMONTH(AY$4,0)),Assumptions!$F$4:$F$44))/NETWORKDAYS($K230,$L230,Assumptions!$F$4:$F$44))</f>
        <v>0</v>
      </c>
      <c r="AZ230" s="21" t="n">
        <f aca="false">IF($J230=0,0,MAX(0,NETWORKDAYS(MAX($K230,AZ$4),MIN($L230,EOMONTH(AZ$4,0)),Assumptions!$F$4:$F$44))/NETWORKDAYS($K230,$L230,Assumptions!$F$4:$F$44))</f>
        <v>0</v>
      </c>
      <c r="BA230" s="21" t="n">
        <f aca="false">IF($J230=0,0,MAX(0,NETWORKDAYS(MAX($K230,BA$4),MIN($L230,EOMONTH(BA$4,0)),Assumptions!$F$4:$F$44))/NETWORKDAYS($K230,$L230,Assumptions!$F$4:$F$44))</f>
        <v>0</v>
      </c>
      <c r="BB230" s="21" t="n">
        <f aca="false">IF($J230=0,0,MAX(0,NETWORKDAYS(MAX($K230,BB$4),MIN($L230,EOMONTH(BB$4,0)),Assumptions!$F$4:$F$44))/NETWORKDAYS($K230,$L230,Assumptions!$F$4:$F$44))</f>
        <v>0</v>
      </c>
      <c r="BC230" s="21" t="n">
        <f aca="false">IF($J230=0,0,MAX(0,NETWORKDAYS(MAX($K230,BC$4),MIN($L230,EOMONTH(BC$4,0)),Assumptions!$F$4:$F$44))/NETWORKDAYS($K230,$L230,Assumptions!$F$4:$F$44))</f>
        <v>0</v>
      </c>
    </row>
    <row r="231" customFormat="false" ht="15" hidden="false" customHeight="false" outlineLevel="2" collapsed="false">
      <c r="A231" s="27" t="n">
        <v>227</v>
      </c>
      <c r="B231" s="27" t="s">
        <v>555</v>
      </c>
      <c r="C231" s="27" t="n">
        <v>3</v>
      </c>
      <c r="D231" s="27" t="s">
        <v>92</v>
      </c>
      <c r="E231" s="28" t="s">
        <v>317</v>
      </c>
      <c r="F231" s="27" t="s">
        <v>502</v>
      </c>
      <c r="G231" s="27" t="s">
        <v>543</v>
      </c>
      <c r="H231" s="27" t="s">
        <v>51</v>
      </c>
      <c r="I231" s="29" t="n">
        <v>134</v>
      </c>
      <c r="J231" s="29" t="n">
        <v>40</v>
      </c>
      <c r="K231" s="30" t="n">
        <f aca="false">WORKDAY(Assumptions!$C$4,I231,Assumptions!$F$4:$F$44)</f>
        <v>46514</v>
      </c>
      <c r="L231" s="30" t="n">
        <f aca="false">IF(J231=0,K231,WORKDAY(K231,J231-1,Assumptions!$F$4:$F$44))</f>
        <v>46569</v>
      </c>
      <c r="M231" s="29" t="s">
        <v>553</v>
      </c>
      <c r="N231" s="31" t="n">
        <v>0</v>
      </c>
      <c r="O231" s="31" t="n">
        <v>0</v>
      </c>
      <c r="P231" s="31" t="n">
        <v>0</v>
      </c>
      <c r="Q231" s="31" t="n">
        <v>0</v>
      </c>
      <c r="R231" s="31" t="n">
        <v>0</v>
      </c>
      <c r="S231" s="31" t="n">
        <v>14</v>
      </c>
      <c r="T231" s="31" t="n">
        <v>0</v>
      </c>
      <c r="U231" s="31" t="n">
        <v>0</v>
      </c>
      <c r="V231" s="31" t="n">
        <v>0</v>
      </c>
      <c r="W231" s="31" t="n">
        <v>0</v>
      </c>
      <c r="X231" s="31" t="n">
        <v>0</v>
      </c>
      <c r="Y231" s="32" t="n">
        <f aca="false">SUM(N231:X231)</f>
        <v>14</v>
      </c>
      <c r="Z231" s="32" t="n">
        <f aca="false">Y231*(1+Assumptions!$C$5)</f>
        <v>16.1</v>
      </c>
      <c r="AA231" s="27" t="s">
        <v>318</v>
      </c>
      <c r="AB231" s="27" t="s">
        <v>95</v>
      </c>
      <c r="AC231" s="27"/>
      <c r="AD231" s="33" t="n">
        <v>0</v>
      </c>
      <c r="AF231" s="21" t="n">
        <f aca="false">IF($J231=0,0,MAX(0,NETWORKDAYS(MAX($K231,AF$4),MIN($L231,EOMONTH(AF$4,0)),Assumptions!$F$4:$F$44))/NETWORKDAYS($K231,$L231,Assumptions!$F$4:$F$44))</f>
        <v>0</v>
      </c>
      <c r="AG231" s="21" t="n">
        <f aca="false">IF($J231=0,0,MAX(0,NETWORKDAYS(MAX($K231,AG$4),MIN($L231,EOMONTH(AG$4,0)),Assumptions!$F$4:$F$44))/NETWORKDAYS($K231,$L231,Assumptions!$F$4:$F$44))</f>
        <v>0</v>
      </c>
      <c r="AH231" s="21" t="n">
        <f aca="false">IF($J231=0,0,MAX(0,NETWORKDAYS(MAX($K231,AH$4),MIN($L231,EOMONTH(AH$4,0)),Assumptions!$F$4:$F$44))/NETWORKDAYS($K231,$L231,Assumptions!$F$4:$F$44))</f>
        <v>0</v>
      </c>
      <c r="AI231" s="21" t="n">
        <f aca="false">IF($J231=0,0,MAX(0,NETWORKDAYS(MAX($K231,AI$4),MIN($L231,EOMONTH(AI$4,0)),Assumptions!$F$4:$F$44))/NETWORKDAYS($K231,$L231,Assumptions!$F$4:$F$44))</f>
        <v>0</v>
      </c>
      <c r="AJ231" s="21" t="n">
        <f aca="false">IF($J231=0,0,MAX(0,NETWORKDAYS(MAX($K231,AJ$4),MIN($L231,EOMONTH(AJ$4,0)),Assumptions!$F$4:$F$44))/NETWORKDAYS($K231,$L231,Assumptions!$F$4:$F$44))</f>
        <v>0</v>
      </c>
      <c r="AK231" s="21" t="n">
        <f aca="false">IF($J231=0,0,MAX(0,NETWORKDAYS(MAX($K231,AK$4),MIN($L231,EOMONTH(AK$4,0)),Assumptions!$F$4:$F$44))/NETWORKDAYS($K231,$L231,Assumptions!$F$4:$F$44))</f>
        <v>0</v>
      </c>
      <c r="AL231" s="21" t="n">
        <f aca="false">IF($J231=0,0,MAX(0,NETWORKDAYS(MAX($K231,AL$4),MIN($L231,EOMONTH(AL$4,0)),Assumptions!$F$4:$F$44))/NETWORKDAYS($K231,$L231,Assumptions!$F$4:$F$44))</f>
        <v>0.425</v>
      </c>
      <c r="AM231" s="21" t="n">
        <f aca="false">IF($J231=0,0,MAX(0,NETWORKDAYS(MAX($K231,AM$4),MIN($L231,EOMONTH(AM$4,0)),Assumptions!$F$4:$F$44))/NETWORKDAYS($K231,$L231,Assumptions!$F$4:$F$44))</f>
        <v>0.55</v>
      </c>
      <c r="AN231" s="21" t="n">
        <f aca="false">IF($J231=0,0,MAX(0,NETWORKDAYS(MAX($K231,AN$4),MIN($L231,EOMONTH(AN$4,0)),Assumptions!$F$4:$F$44))/NETWORKDAYS($K231,$L231,Assumptions!$F$4:$F$44))</f>
        <v>0.025</v>
      </c>
      <c r="AO231" s="21" t="n">
        <f aca="false">IF($J231=0,0,MAX(0,NETWORKDAYS(MAX($K231,AO$4),MIN($L231,EOMONTH(AO$4,0)),Assumptions!$F$4:$F$44))/NETWORKDAYS($K231,$L231,Assumptions!$F$4:$F$44))</f>
        <v>0</v>
      </c>
      <c r="AP231" s="21" t="n">
        <f aca="false">IF($J231=0,0,MAX(0,NETWORKDAYS(MAX($K231,AP$4),MIN($L231,EOMONTH(AP$4,0)),Assumptions!$F$4:$F$44))/NETWORKDAYS($K231,$L231,Assumptions!$F$4:$F$44))</f>
        <v>0</v>
      </c>
      <c r="AQ231" s="21" t="n">
        <f aca="false">IF($J231=0,0,MAX(0,NETWORKDAYS(MAX($K231,AQ$4),MIN($L231,EOMONTH(AQ$4,0)),Assumptions!$F$4:$F$44))/NETWORKDAYS($K231,$L231,Assumptions!$F$4:$F$44))</f>
        <v>0</v>
      </c>
      <c r="AR231" s="21" t="n">
        <f aca="false">IF($J231=0,0,MAX(0,NETWORKDAYS(MAX($K231,AR$4),MIN($L231,EOMONTH(AR$4,0)),Assumptions!$F$4:$F$44))/NETWORKDAYS($K231,$L231,Assumptions!$F$4:$F$44))</f>
        <v>0</v>
      </c>
      <c r="AS231" s="21" t="n">
        <f aca="false">IF($J231=0,0,MAX(0,NETWORKDAYS(MAX($K231,AS$4),MIN($L231,EOMONTH(AS$4,0)),Assumptions!$F$4:$F$44))/NETWORKDAYS($K231,$L231,Assumptions!$F$4:$F$44))</f>
        <v>0</v>
      </c>
      <c r="AT231" s="21" t="n">
        <f aca="false">IF($J231=0,0,MAX(0,NETWORKDAYS(MAX($K231,AT$4),MIN($L231,EOMONTH(AT$4,0)),Assumptions!$F$4:$F$44))/NETWORKDAYS($K231,$L231,Assumptions!$F$4:$F$44))</f>
        <v>0</v>
      </c>
      <c r="AU231" s="21" t="n">
        <f aca="false">IF($J231=0,0,MAX(0,NETWORKDAYS(MAX($K231,AU$4),MIN($L231,EOMONTH(AU$4,0)),Assumptions!$F$4:$F$44))/NETWORKDAYS($K231,$L231,Assumptions!$F$4:$F$44))</f>
        <v>0</v>
      </c>
      <c r="AV231" s="21" t="n">
        <f aca="false">IF($J231=0,0,MAX(0,NETWORKDAYS(MAX($K231,AV$4),MIN($L231,EOMONTH(AV$4,0)),Assumptions!$F$4:$F$44))/NETWORKDAYS($K231,$L231,Assumptions!$F$4:$F$44))</f>
        <v>0</v>
      </c>
      <c r="AW231" s="21" t="n">
        <f aca="false">IF($J231=0,0,MAX(0,NETWORKDAYS(MAX($K231,AW$4),MIN($L231,EOMONTH(AW$4,0)),Assumptions!$F$4:$F$44))/NETWORKDAYS($K231,$L231,Assumptions!$F$4:$F$44))</f>
        <v>0</v>
      </c>
      <c r="AX231" s="21" t="n">
        <f aca="false">IF($J231=0,0,MAX(0,NETWORKDAYS(MAX($K231,AX$4),MIN($L231,EOMONTH(AX$4,0)),Assumptions!$F$4:$F$44))/NETWORKDAYS($K231,$L231,Assumptions!$F$4:$F$44))</f>
        <v>0</v>
      </c>
      <c r="AY231" s="21" t="n">
        <f aca="false">IF($J231=0,0,MAX(0,NETWORKDAYS(MAX($K231,AY$4),MIN($L231,EOMONTH(AY$4,0)),Assumptions!$F$4:$F$44))/NETWORKDAYS($K231,$L231,Assumptions!$F$4:$F$44))</f>
        <v>0</v>
      </c>
      <c r="AZ231" s="21" t="n">
        <f aca="false">IF($J231=0,0,MAX(0,NETWORKDAYS(MAX($K231,AZ$4),MIN($L231,EOMONTH(AZ$4,0)),Assumptions!$F$4:$F$44))/NETWORKDAYS($K231,$L231,Assumptions!$F$4:$F$44))</f>
        <v>0</v>
      </c>
      <c r="BA231" s="21" t="n">
        <f aca="false">IF($J231=0,0,MAX(0,NETWORKDAYS(MAX($K231,BA$4),MIN($L231,EOMONTH(BA$4,0)),Assumptions!$F$4:$F$44))/NETWORKDAYS($K231,$L231,Assumptions!$F$4:$F$44))</f>
        <v>0</v>
      </c>
      <c r="BB231" s="21" t="n">
        <f aca="false">IF($J231=0,0,MAX(0,NETWORKDAYS(MAX($K231,BB$4),MIN($L231,EOMONTH(BB$4,0)),Assumptions!$F$4:$F$44))/NETWORKDAYS($K231,$L231,Assumptions!$F$4:$F$44))</f>
        <v>0</v>
      </c>
      <c r="BC231" s="21" t="n">
        <f aca="false">IF($J231=0,0,MAX(0,NETWORKDAYS(MAX($K231,BC$4),MIN($L231,EOMONTH(BC$4,0)),Assumptions!$F$4:$F$44))/NETWORKDAYS($K231,$L231,Assumptions!$F$4:$F$44))</f>
        <v>0</v>
      </c>
    </row>
    <row r="232" customFormat="false" ht="15" hidden="false" customHeight="false" outlineLevel="2" collapsed="false">
      <c r="A232" s="27" t="n">
        <v>228</v>
      </c>
      <c r="B232" s="27" t="s">
        <v>556</v>
      </c>
      <c r="C232" s="27" t="n">
        <v>3</v>
      </c>
      <c r="D232" s="27" t="s">
        <v>92</v>
      </c>
      <c r="E232" s="28" t="s">
        <v>320</v>
      </c>
      <c r="F232" s="27" t="s">
        <v>502</v>
      </c>
      <c r="G232" s="27" t="s">
        <v>543</v>
      </c>
      <c r="H232" s="27" t="s">
        <v>53</v>
      </c>
      <c r="I232" s="29" t="n">
        <v>121</v>
      </c>
      <c r="J232" s="29" t="n">
        <v>46</v>
      </c>
      <c r="K232" s="30" t="n">
        <f aca="false">WORKDAY(Assumptions!$C$4,I232,Assumptions!$F$4:$F$44)</f>
        <v>46497</v>
      </c>
      <c r="L232" s="30" t="n">
        <f aca="false">IF(J232=0,K232,WORKDAY(K232,J232-1,Assumptions!$F$4:$F$44))</f>
        <v>46560</v>
      </c>
      <c r="M232" s="29" t="s">
        <v>550</v>
      </c>
      <c r="N232" s="31" t="n">
        <v>0</v>
      </c>
      <c r="O232" s="31" t="n">
        <v>0</v>
      </c>
      <c r="P232" s="31" t="n">
        <v>0</v>
      </c>
      <c r="Q232" s="31" t="n">
        <v>0</v>
      </c>
      <c r="R232" s="31" t="n">
        <v>0</v>
      </c>
      <c r="S232" s="31" t="n">
        <v>0</v>
      </c>
      <c r="T232" s="31" t="n">
        <v>11</v>
      </c>
      <c r="U232" s="31" t="n">
        <v>0</v>
      </c>
      <c r="V232" s="31" t="n">
        <v>0</v>
      </c>
      <c r="W232" s="31" t="n">
        <v>0</v>
      </c>
      <c r="X232" s="31" t="n">
        <v>0</v>
      </c>
      <c r="Y232" s="32" t="n">
        <f aca="false">SUM(N232:X232)</f>
        <v>11</v>
      </c>
      <c r="Z232" s="32" t="n">
        <f aca="false">Y232*(1+Assumptions!$C$5)</f>
        <v>12.65</v>
      </c>
      <c r="AA232" s="27" t="s">
        <v>321</v>
      </c>
      <c r="AB232" s="27" t="s">
        <v>95</v>
      </c>
      <c r="AC232" s="27"/>
      <c r="AD232" s="33" t="n">
        <v>0</v>
      </c>
      <c r="AF232" s="21" t="n">
        <f aca="false">IF($J232=0,0,MAX(0,NETWORKDAYS(MAX($K232,AF$4),MIN($L232,EOMONTH(AF$4,0)),Assumptions!$F$4:$F$44))/NETWORKDAYS($K232,$L232,Assumptions!$F$4:$F$44))</f>
        <v>0</v>
      </c>
      <c r="AG232" s="21" t="n">
        <f aca="false">IF($J232=0,0,MAX(0,NETWORKDAYS(MAX($K232,AG$4),MIN($L232,EOMONTH(AG$4,0)),Assumptions!$F$4:$F$44))/NETWORKDAYS($K232,$L232,Assumptions!$F$4:$F$44))</f>
        <v>0</v>
      </c>
      <c r="AH232" s="21" t="n">
        <f aca="false">IF($J232=0,0,MAX(0,NETWORKDAYS(MAX($K232,AH$4),MIN($L232,EOMONTH(AH$4,0)),Assumptions!$F$4:$F$44))/NETWORKDAYS($K232,$L232,Assumptions!$F$4:$F$44))</f>
        <v>0</v>
      </c>
      <c r="AI232" s="21" t="n">
        <f aca="false">IF($J232=0,0,MAX(0,NETWORKDAYS(MAX($K232,AI$4),MIN($L232,EOMONTH(AI$4,0)),Assumptions!$F$4:$F$44))/NETWORKDAYS($K232,$L232,Assumptions!$F$4:$F$44))</f>
        <v>0</v>
      </c>
      <c r="AJ232" s="21" t="n">
        <f aca="false">IF($J232=0,0,MAX(0,NETWORKDAYS(MAX($K232,AJ$4),MIN($L232,EOMONTH(AJ$4,0)),Assumptions!$F$4:$F$44))/NETWORKDAYS($K232,$L232,Assumptions!$F$4:$F$44))</f>
        <v>0</v>
      </c>
      <c r="AK232" s="21" t="n">
        <f aca="false">IF($J232=0,0,MAX(0,NETWORKDAYS(MAX($K232,AK$4),MIN($L232,EOMONTH(AK$4,0)),Assumptions!$F$4:$F$44))/NETWORKDAYS($K232,$L232,Assumptions!$F$4:$F$44))</f>
        <v>0.195652173913044</v>
      </c>
      <c r="AL232" s="21" t="n">
        <f aca="false">IF($J232=0,0,MAX(0,NETWORKDAYS(MAX($K232,AL$4),MIN($L232,EOMONTH(AL$4,0)),Assumptions!$F$4:$F$44))/NETWORKDAYS($K232,$L232,Assumptions!$F$4:$F$44))</f>
        <v>0.456521739130435</v>
      </c>
      <c r="AM232" s="21" t="n">
        <f aca="false">IF($J232=0,0,MAX(0,NETWORKDAYS(MAX($K232,AM$4),MIN($L232,EOMONTH(AM$4,0)),Assumptions!$F$4:$F$44))/NETWORKDAYS($K232,$L232,Assumptions!$F$4:$F$44))</f>
        <v>0.347826086956522</v>
      </c>
      <c r="AN232" s="21" t="n">
        <f aca="false">IF($J232=0,0,MAX(0,NETWORKDAYS(MAX($K232,AN$4),MIN($L232,EOMONTH(AN$4,0)),Assumptions!$F$4:$F$44))/NETWORKDAYS($K232,$L232,Assumptions!$F$4:$F$44))</f>
        <v>0</v>
      </c>
      <c r="AO232" s="21" t="n">
        <f aca="false">IF($J232=0,0,MAX(0,NETWORKDAYS(MAX($K232,AO$4),MIN($L232,EOMONTH(AO$4,0)),Assumptions!$F$4:$F$44))/NETWORKDAYS($K232,$L232,Assumptions!$F$4:$F$44))</f>
        <v>0</v>
      </c>
      <c r="AP232" s="21" t="n">
        <f aca="false">IF($J232=0,0,MAX(0,NETWORKDAYS(MAX($K232,AP$4),MIN($L232,EOMONTH(AP$4,0)),Assumptions!$F$4:$F$44))/NETWORKDAYS($K232,$L232,Assumptions!$F$4:$F$44))</f>
        <v>0</v>
      </c>
      <c r="AQ232" s="21" t="n">
        <f aca="false">IF($J232=0,0,MAX(0,NETWORKDAYS(MAX($K232,AQ$4),MIN($L232,EOMONTH(AQ$4,0)),Assumptions!$F$4:$F$44))/NETWORKDAYS($K232,$L232,Assumptions!$F$4:$F$44))</f>
        <v>0</v>
      </c>
      <c r="AR232" s="21" t="n">
        <f aca="false">IF($J232=0,0,MAX(0,NETWORKDAYS(MAX($K232,AR$4),MIN($L232,EOMONTH(AR$4,0)),Assumptions!$F$4:$F$44))/NETWORKDAYS($K232,$L232,Assumptions!$F$4:$F$44))</f>
        <v>0</v>
      </c>
      <c r="AS232" s="21" t="n">
        <f aca="false">IF($J232=0,0,MAX(0,NETWORKDAYS(MAX($K232,AS$4),MIN($L232,EOMONTH(AS$4,0)),Assumptions!$F$4:$F$44))/NETWORKDAYS($K232,$L232,Assumptions!$F$4:$F$44))</f>
        <v>0</v>
      </c>
      <c r="AT232" s="21" t="n">
        <f aca="false">IF($J232=0,0,MAX(0,NETWORKDAYS(MAX($K232,AT$4),MIN($L232,EOMONTH(AT$4,0)),Assumptions!$F$4:$F$44))/NETWORKDAYS($K232,$L232,Assumptions!$F$4:$F$44))</f>
        <v>0</v>
      </c>
      <c r="AU232" s="21" t="n">
        <f aca="false">IF($J232=0,0,MAX(0,NETWORKDAYS(MAX($K232,AU$4),MIN($L232,EOMONTH(AU$4,0)),Assumptions!$F$4:$F$44))/NETWORKDAYS($K232,$L232,Assumptions!$F$4:$F$44))</f>
        <v>0</v>
      </c>
      <c r="AV232" s="21" t="n">
        <f aca="false">IF($J232=0,0,MAX(0,NETWORKDAYS(MAX($K232,AV$4),MIN($L232,EOMONTH(AV$4,0)),Assumptions!$F$4:$F$44))/NETWORKDAYS($K232,$L232,Assumptions!$F$4:$F$44))</f>
        <v>0</v>
      </c>
      <c r="AW232" s="21" t="n">
        <f aca="false">IF($J232=0,0,MAX(0,NETWORKDAYS(MAX($K232,AW$4),MIN($L232,EOMONTH(AW$4,0)),Assumptions!$F$4:$F$44))/NETWORKDAYS($K232,$L232,Assumptions!$F$4:$F$44))</f>
        <v>0</v>
      </c>
      <c r="AX232" s="21" t="n">
        <f aca="false">IF($J232=0,0,MAX(0,NETWORKDAYS(MAX($K232,AX$4),MIN($L232,EOMONTH(AX$4,0)),Assumptions!$F$4:$F$44))/NETWORKDAYS($K232,$L232,Assumptions!$F$4:$F$44))</f>
        <v>0</v>
      </c>
      <c r="AY232" s="21" t="n">
        <f aca="false">IF($J232=0,0,MAX(0,NETWORKDAYS(MAX($K232,AY$4),MIN($L232,EOMONTH(AY$4,0)),Assumptions!$F$4:$F$44))/NETWORKDAYS($K232,$L232,Assumptions!$F$4:$F$44))</f>
        <v>0</v>
      </c>
      <c r="AZ232" s="21" t="n">
        <f aca="false">IF($J232=0,0,MAX(0,NETWORKDAYS(MAX($K232,AZ$4),MIN($L232,EOMONTH(AZ$4,0)),Assumptions!$F$4:$F$44))/NETWORKDAYS($K232,$L232,Assumptions!$F$4:$F$44))</f>
        <v>0</v>
      </c>
      <c r="BA232" s="21" t="n">
        <f aca="false">IF($J232=0,0,MAX(0,NETWORKDAYS(MAX($K232,BA$4),MIN($L232,EOMONTH(BA$4,0)),Assumptions!$F$4:$F$44))/NETWORKDAYS($K232,$L232,Assumptions!$F$4:$F$44))</f>
        <v>0</v>
      </c>
      <c r="BB232" s="21" t="n">
        <f aca="false">IF($J232=0,0,MAX(0,NETWORKDAYS(MAX($K232,BB$4),MIN($L232,EOMONTH(BB$4,0)),Assumptions!$F$4:$F$44))/NETWORKDAYS($K232,$L232,Assumptions!$F$4:$F$44))</f>
        <v>0</v>
      </c>
      <c r="BC232" s="21" t="n">
        <f aca="false">IF($J232=0,0,MAX(0,NETWORKDAYS(MAX($K232,BC$4),MIN($L232,EOMONTH(BC$4,0)),Assumptions!$F$4:$F$44))/NETWORKDAYS($K232,$L232,Assumptions!$F$4:$F$44))</f>
        <v>0</v>
      </c>
    </row>
    <row r="233" customFormat="false" ht="15" hidden="false" customHeight="false" outlineLevel="2" collapsed="false">
      <c r="A233" s="27" t="n">
        <v>229</v>
      </c>
      <c r="B233" s="27" t="s">
        <v>557</v>
      </c>
      <c r="C233" s="27" t="n">
        <v>3</v>
      </c>
      <c r="D233" s="27" t="s">
        <v>92</v>
      </c>
      <c r="E233" s="28" t="s">
        <v>558</v>
      </c>
      <c r="F233" s="27" t="s">
        <v>502</v>
      </c>
      <c r="G233" s="27" t="s">
        <v>543</v>
      </c>
      <c r="H233" s="27" t="s">
        <v>47</v>
      </c>
      <c r="I233" s="29" t="n">
        <v>141</v>
      </c>
      <c r="J233" s="29" t="n">
        <v>37</v>
      </c>
      <c r="K233" s="30" t="n">
        <f aca="false">WORKDAY(Assumptions!$C$4,I233,Assumptions!$F$4:$F$44)</f>
        <v>46525</v>
      </c>
      <c r="L233" s="30" t="n">
        <f aca="false">IF(J233=0,K233,WORKDAY(K233,J233-1,Assumptions!$F$4:$F$44))</f>
        <v>46575</v>
      </c>
      <c r="M233" s="29" t="s">
        <v>559</v>
      </c>
      <c r="N233" s="31" t="n">
        <v>0</v>
      </c>
      <c r="O233" s="31" t="n">
        <v>0</v>
      </c>
      <c r="P233" s="31" t="n">
        <v>0</v>
      </c>
      <c r="Q233" s="31" t="n">
        <v>18</v>
      </c>
      <c r="R233" s="31" t="n">
        <v>0</v>
      </c>
      <c r="S233" s="31" t="n">
        <v>0</v>
      </c>
      <c r="T233" s="31" t="n">
        <v>0</v>
      </c>
      <c r="U233" s="31" t="n">
        <v>0</v>
      </c>
      <c r="V233" s="31" t="n">
        <v>0</v>
      </c>
      <c r="W233" s="31" t="n">
        <v>0</v>
      </c>
      <c r="X233" s="31" t="n">
        <v>0</v>
      </c>
      <c r="Y233" s="32" t="n">
        <f aca="false">SUM(N233:X233)</f>
        <v>18</v>
      </c>
      <c r="Z233" s="32" t="n">
        <f aca="false">Y233*(1+Assumptions!$C$5)</f>
        <v>20.7</v>
      </c>
      <c r="AA233" s="27" t="s">
        <v>325</v>
      </c>
      <c r="AB233" s="27" t="s">
        <v>95</v>
      </c>
      <c r="AC233" s="27"/>
      <c r="AD233" s="33" t="n">
        <v>0</v>
      </c>
      <c r="AF233" s="21" t="n">
        <f aca="false">IF($J233=0,0,MAX(0,NETWORKDAYS(MAX($K233,AF$4),MIN($L233,EOMONTH(AF$4,0)),Assumptions!$F$4:$F$44))/NETWORKDAYS($K233,$L233,Assumptions!$F$4:$F$44))</f>
        <v>0</v>
      </c>
      <c r="AG233" s="21" t="n">
        <f aca="false">IF($J233=0,0,MAX(0,NETWORKDAYS(MAX($K233,AG$4),MIN($L233,EOMONTH(AG$4,0)),Assumptions!$F$4:$F$44))/NETWORKDAYS($K233,$L233,Assumptions!$F$4:$F$44))</f>
        <v>0</v>
      </c>
      <c r="AH233" s="21" t="n">
        <f aca="false">IF($J233=0,0,MAX(0,NETWORKDAYS(MAX($K233,AH$4),MIN($L233,EOMONTH(AH$4,0)),Assumptions!$F$4:$F$44))/NETWORKDAYS($K233,$L233,Assumptions!$F$4:$F$44))</f>
        <v>0</v>
      </c>
      <c r="AI233" s="21" t="n">
        <f aca="false">IF($J233=0,0,MAX(0,NETWORKDAYS(MAX($K233,AI$4),MIN($L233,EOMONTH(AI$4,0)),Assumptions!$F$4:$F$44))/NETWORKDAYS($K233,$L233,Assumptions!$F$4:$F$44))</f>
        <v>0</v>
      </c>
      <c r="AJ233" s="21" t="n">
        <f aca="false">IF($J233=0,0,MAX(0,NETWORKDAYS(MAX($K233,AJ$4),MIN($L233,EOMONTH(AJ$4,0)),Assumptions!$F$4:$F$44))/NETWORKDAYS($K233,$L233,Assumptions!$F$4:$F$44))</f>
        <v>0</v>
      </c>
      <c r="AK233" s="21" t="n">
        <f aca="false">IF($J233=0,0,MAX(0,NETWORKDAYS(MAX($K233,AK$4),MIN($L233,EOMONTH(AK$4,0)),Assumptions!$F$4:$F$44))/NETWORKDAYS($K233,$L233,Assumptions!$F$4:$F$44))</f>
        <v>0</v>
      </c>
      <c r="AL233" s="21" t="n">
        <f aca="false">IF($J233=0,0,MAX(0,NETWORKDAYS(MAX($K233,AL$4),MIN($L233,EOMONTH(AL$4,0)),Assumptions!$F$4:$F$44))/NETWORKDAYS($K233,$L233,Assumptions!$F$4:$F$44))</f>
        <v>0.27027027027027</v>
      </c>
      <c r="AM233" s="21" t="n">
        <f aca="false">IF($J233=0,0,MAX(0,NETWORKDAYS(MAX($K233,AM$4),MIN($L233,EOMONTH(AM$4,0)),Assumptions!$F$4:$F$44))/NETWORKDAYS($K233,$L233,Assumptions!$F$4:$F$44))</f>
        <v>0.594594594594595</v>
      </c>
      <c r="AN233" s="21" t="n">
        <f aca="false">IF($J233=0,0,MAX(0,NETWORKDAYS(MAX($K233,AN$4),MIN($L233,EOMONTH(AN$4,0)),Assumptions!$F$4:$F$44))/NETWORKDAYS($K233,$L233,Assumptions!$F$4:$F$44))</f>
        <v>0.135135135135135</v>
      </c>
      <c r="AO233" s="21" t="n">
        <f aca="false">IF($J233=0,0,MAX(0,NETWORKDAYS(MAX($K233,AO$4),MIN($L233,EOMONTH(AO$4,0)),Assumptions!$F$4:$F$44))/NETWORKDAYS($K233,$L233,Assumptions!$F$4:$F$44))</f>
        <v>0</v>
      </c>
      <c r="AP233" s="21" t="n">
        <f aca="false">IF($J233=0,0,MAX(0,NETWORKDAYS(MAX($K233,AP$4),MIN($L233,EOMONTH(AP$4,0)),Assumptions!$F$4:$F$44))/NETWORKDAYS($K233,$L233,Assumptions!$F$4:$F$44))</f>
        <v>0</v>
      </c>
      <c r="AQ233" s="21" t="n">
        <f aca="false">IF($J233=0,0,MAX(0,NETWORKDAYS(MAX($K233,AQ$4),MIN($L233,EOMONTH(AQ$4,0)),Assumptions!$F$4:$F$44))/NETWORKDAYS($K233,$L233,Assumptions!$F$4:$F$44))</f>
        <v>0</v>
      </c>
      <c r="AR233" s="21" t="n">
        <f aca="false">IF($J233=0,0,MAX(0,NETWORKDAYS(MAX($K233,AR$4),MIN($L233,EOMONTH(AR$4,0)),Assumptions!$F$4:$F$44))/NETWORKDAYS($K233,$L233,Assumptions!$F$4:$F$44))</f>
        <v>0</v>
      </c>
      <c r="AS233" s="21" t="n">
        <f aca="false">IF($J233=0,0,MAX(0,NETWORKDAYS(MAX($K233,AS$4),MIN($L233,EOMONTH(AS$4,0)),Assumptions!$F$4:$F$44))/NETWORKDAYS($K233,$L233,Assumptions!$F$4:$F$44))</f>
        <v>0</v>
      </c>
      <c r="AT233" s="21" t="n">
        <f aca="false">IF($J233=0,0,MAX(0,NETWORKDAYS(MAX($K233,AT$4),MIN($L233,EOMONTH(AT$4,0)),Assumptions!$F$4:$F$44))/NETWORKDAYS($K233,$L233,Assumptions!$F$4:$F$44))</f>
        <v>0</v>
      </c>
      <c r="AU233" s="21" t="n">
        <f aca="false">IF($J233=0,0,MAX(0,NETWORKDAYS(MAX($K233,AU$4),MIN($L233,EOMONTH(AU$4,0)),Assumptions!$F$4:$F$44))/NETWORKDAYS($K233,$L233,Assumptions!$F$4:$F$44))</f>
        <v>0</v>
      </c>
      <c r="AV233" s="21" t="n">
        <f aca="false">IF($J233=0,0,MAX(0,NETWORKDAYS(MAX($K233,AV$4),MIN($L233,EOMONTH(AV$4,0)),Assumptions!$F$4:$F$44))/NETWORKDAYS($K233,$L233,Assumptions!$F$4:$F$44))</f>
        <v>0</v>
      </c>
      <c r="AW233" s="21" t="n">
        <f aca="false">IF($J233=0,0,MAX(0,NETWORKDAYS(MAX($K233,AW$4),MIN($L233,EOMONTH(AW$4,0)),Assumptions!$F$4:$F$44))/NETWORKDAYS($K233,$L233,Assumptions!$F$4:$F$44))</f>
        <v>0</v>
      </c>
      <c r="AX233" s="21" t="n">
        <f aca="false">IF($J233=0,0,MAX(0,NETWORKDAYS(MAX($K233,AX$4),MIN($L233,EOMONTH(AX$4,0)),Assumptions!$F$4:$F$44))/NETWORKDAYS($K233,$L233,Assumptions!$F$4:$F$44))</f>
        <v>0</v>
      </c>
      <c r="AY233" s="21" t="n">
        <f aca="false">IF($J233=0,0,MAX(0,NETWORKDAYS(MAX($K233,AY$4),MIN($L233,EOMONTH(AY$4,0)),Assumptions!$F$4:$F$44))/NETWORKDAYS($K233,$L233,Assumptions!$F$4:$F$44))</f>
        <v>0</v>
      </c>
      <c r="AZ233" s="21" t="n">
        <f aca="false">IF($J233=0,0,MAX(0,NETWORKDAYS(MAX($K233,AZ$4),MIN($L233,EOMONTH(AZ$4,0)),Assumptions!$F$4:$F$44))/NETWORKDAYS($K233,$L233,Assumptions!$F$4:$F$44))</f>
        <v>0</v>
      </c>
      <c r="BA233" s="21" t="n">
        <f aca="false">IF($J233=0,0,MAX(0,NETWORKDAYS(MAX($K233,BA$4),MIN($L233,EOMONTH(BA$4,0)),Assumptions!$F$4:$F$44))/NETWORKDAYS($K233,$L233,Assumptions!$F$4:$F$44))</f>
        <v>0</v>
      </c>
      <c r="BB233" s="21" t="n">
        <f aca="false">IF($J233=0,0,MAX(0,NETWORKDAYS(MAX($K233,BB$4),MIN($L233,EOMONTH(BB$4,0)),Assumptions!$F$4:$F$44))/NETWORKDAYS($K233,$L233,Assumptions!$F$4:$F$44))</f>
        <v>0</v>
      </c>
      <c r="BC233" s="21" t="n">
        <f aca="false">IF($J233=0,0,MAX(0,NETWORKDAYS(MAX($K233,BC$4),MIN($L233,EOMONTH(BC$4,0)),Assumptions!$F$4:$F$44))/NETWORKDAYS($K233,$L233,Assumptions!$F$4:$F$44))</f>
        <v>0</v>
      </c>
    </row>
    <row r="234" customFormat="false" ht="15" hidden="false" customHeight="false" outlineLevel="2" collapsed="false">
      <c r="A234" s="27" t="n">
        <v>230</v>
      </c>
      <c r="B234" s="27" t="s">
        <v>560</v>
      </c>
      <c r="C234" s="27" t="n">
        <v>3</v>
      </c>
      <c r="D234" s="27" t="s">
        <v>92</v>
      </c>
      <c r="E234" s="28" t="s">
        <v>370</v>
      </c>
      <c r="F234" s="27" t="s">
        <v>502</v>
      </c>
      <c r="G234" s="27" t="s">
        <v>543</v>
      </c>
      <c r="H234" s="27" t="s">
        <v>47</v>
      </c>
      <c r="I234" s="29" t="n">
        <v>134</v>
      </c>
      <c r="J234" s="29" t="n">
        <v>44</v>
      </c>
      <c r="K234" s="30" t="n">
        <f aca="false">WORKDAY(Assumptions!$C$4,I234,Assumptions!$F$4:$F$44)</f>
        <v>46514</v>
      </c>
      <c r="L234" s="30" t="n">
        <f aca="false">IF(J234=0,K234,WORKDAY(K234,J234-1,Assumptions!$F$4:$F$44))</f>
        <v>46575</v>
      </c>
      <c r="M234" s="29" t="s">
        <v>550</v>
      </c>
      <c r="N234" s="31" t="n">
        <v>0</v>
      </c>
      <c r="O234" s="31" t="n">
        <v>0</v>
      </c>
      <c r="P234" s="31" t="n">
        <v>0</v>
      </c>
      <c r="Q234" s="31" t="n">
        <v>10</v>
      </c>
      <c r="R234" s="31" t="n">
        <v>0</v>
      </c>
      <c r="S234" s="31" t="n">
        <v>0</v>
      </c>
      <c r="T234" s="31" t="n">
        <v>0</v>
      </c>
      <c r="U234" s="31" t="n">
        <v>0</v>
      </c>
      <c r="V234" s="31" t="n">
        <v>2</v>
      </c>
      <c r="W234" s="31" t="n">
        <v>0</v>
      </c>
      <c r="X234" s="31" t="n">
        <v>0</v>
      </c>
      <c r="Y234" s="32" t="n">
        <f aca="false">SUM(N234:X234)</f>
        <v>12</v>
      </c>
      <c r="Z234" s="32" t="n">
        <f aca="false">Y234*(1+Assumptions!$C$5)</f>
        <v>13.8</v>
      </c>
      <c r="AA234" s="27" t="s">
        <v>328</v>
      </c>
      <c r="AB234" s="27" t="s">
        <v>95</v>
      </c>
      <c r="AC234" s="27"/>
      <c r="AD234" s="33" t="n">
        <v>0</v>
      </c>
      <c r="AF234" s="21" t="n">
        <f aca="false">IF($J234=0,0,MAX(0,NETWORKDAYS(MAX($K234,AF$4),MIN($L234,EOMONTH(AF$4,0)),Assumptions!$F$4:$F$44))/NETWORKDAYS($K234,$L234,Assumptions!$F$4:$F$44))</f>
        <v>0</v>
      </c>
      <c r="AG234" s="21" t="n">
        <f aca="false">IF($J234=0,0,MAX(0,NETWORKDAYS(MAX($K234,AG$4),MIN($L234,EOMONTH(AG$4,0)),Assumptions!$F$4:$F$44))/NETWORKDAYS($K234,$L234,Assumptions!$F$4:$F$44))</f>
        <v>0</v>
      </c>
      <c r="AH234" s="21" t="n">
        <f aca="false">IF($J234=0,0,MAX(0,NETWORKDAYS(MAX($K234,AH$4),MIN($L234,EOMONTH(AH$4,0)),Assumptions!$F$4:$F$44))/NETWORKDAYS($K234,$L234,Assumptions!$F$4:$F$44))</f>
        <v>0</v>
      </c>
      <c r="AI234" s="21" t="n">
        <f aca="false">IF($J234=0,0,MAX(0,NETWORKDAYS(MAX($K234,AI$4),MIN($L234,EOMONTH(AI$4,0)),Assumptions!$F$4:$F$44))/NETWORKDAYS($K234,$L234,Assumptions!$F$4:$F$44))</f>
        <v>0</v>
      </c>
      <c r="AJ234" s="21" t="n">
        <f aca="false">IF($J234=0,0,MAX(0,NETWORKDAYS(MAX($K234,AJ$4),MIN($L234,EOMONTH(AJ$4,0)),Assumptions!$F$4:$F$44))/NETWORKDAYS($K234,$L234,Assumptions!$F$4:$F$44))</f>
        <v>0</v>
      </c>
      <c r="AK234" s="21" t="n">
        <f aca="false">IF($J234=0,0,MAX(0,NETWORKDAYS(MAX($K234,AK$4),MIN($L234,EOMONTH(AK$4,0)),Assumptions!$F$4:$F$44))/NETWORKDAYS($K234,$L234,Assumptions!$F$4:$F$44))</f>
        <v>0</v>
      </c>
      <c r="AL234" s="21" t="n">
        <f aca="false">IF($J234=0,0,MAX(0,NETWORKDAYS(MAX($K234,AL$4),MIN($L234,EOMONTH(AL$4,0)),Assumptions!$F$4:$F$44))/NETWORKDAYS($K234,$L234,Assumptions!$F$4:$F$44))</f>
        <v>0.386363636363636</v>
      </c>
      <c r="AM234" s="21" t="n">
        <f aca="false">IF($J234=0,0,MAX(0,NETWORKDAYS(MAX($K234,AM$4),MIN($L234,EOMONTH(AM$4,0)),Assumptions!$F$4:$F$44))/NETWORKDAYS($K234,$L234,Assumptions!$F$4:$F$44))</f>
        <v>0.5</v>
      </c>
      <c r="AN234" s="21" t="n">
        <f aca="false">IF($J234=0,0,MAX(0,NETWORKDAYS(MAX($K234,AN$4),MIN($L234,EOMONTH(AN$4,0)),Assumptions!$F$4:$F$44))/NETWORKDAYS($K234,$L234,Assumptions!$F$4:$F$44))</f>
        <v>0.113636363636364</v>
      </c>
      <c r="AO234" s="21" t="n">
        <f aca="false">IF($J234=0,0,MAX(0,NETWORKDAYS(MAX($K234,AO$4),MIN($L234,EOMONTH(AO$4,0)),Assumptions!$F$4:$F$44))/NETWORKDAYS($K234,$L234,Assumptions!$F$4:$F$44))</f>
        <v>0</v>
      </c>
      <c r="AP234" s="21" t="n">
        <f aca="false">IF($J234=0,0,MAX(0,NETWORKDAYS(MAX($K234,AP$4),MIN($L234,EOMONTH(AP$4,0)),Assumptions!$F$4:$F$44))/NETWORKDAYS($K234,$L234,Assumptions!$F$4:$F$44))</f>
        <v>0</v>
      </c>
      <c r="AQ234" s="21" t="n">
        <f aca="false">IF($J234=0,0,MAX(0,NETWORKDAYS(MAX($K234,AQ$4),MIN($L234,EOMONTH(AQ$4,0)),Assumptions!$F$4:$F$44))/NETWORKDAYS($K234,$L234,Assumptions!$F$4:$F$44))</f>
        <v>0</v>
      </c>
      <c r="AR234" s="21" t="n">
        <f aca="false">IF($J234=0,0,MAX(0,NETWORKDAYS(MAX($K234,AR$4),MIN($L234,EOMONTH(AR$4,0)),Assumptions!$F$4:$F$44))/NETWORKDAYS($K234,$L234,Assumptions!$F$4:$F$44))</f>
        <v>0</v>
      </c>
      <c r="AS234" s="21" t="n">
        <f aca="false">IF($J234=0,0,MAX(0,NETWORKDAYS(MAX($K234,AS$4),MIN($L234,EOMONTH(AS$4,0)),Assumptions!$F$4:$F$44))/NETWORKDAYS($K234,$L234,Assumptions!$F$4:$F$44))</f>
        <v>0</v>
      </c>
      <c r="AT234" s="21" t="n">
        <f aca="false">IF($J234=0,0,MAX(0,NETWORKDAYS(MAX($K234,AT$4),MIN($L234,EOMONTH(AT$4,0)),Assumptions!$F$4:$F$44))/NETWORKDAYS($K234,$L234,Assumptions!$F$4:$F$44))</f>
        <v>0</v>
      </c>
      <c r="AU234" s="21" t="n">
        <f aca="false">IF($J234=0,0,MAX(0,NETWORKDAYS(MAX($K234,AU$4),MIN($L234,EOMONTH(AU$4,0)),Assumptions!$F$4:$F$44))/NETWORKDAYS($K234,$L234,Assumptions!$F$4:$F$44))</f>
        <v>0</v>
      </c>
      <c r="AV234" s="21" t="n">
        <f aca="false">IF($J234=0,0,MAX(0,NETWORKDAYS(MAX($K234,AV$4),MIN($L234,EOMONTH(AV$4,0)),Assumptions!$F$4:$F$44))/NETWORKDAYS($K234,$L234,Assumptions!$F$4:$F$44))</f>
        <v>0</v>
      </c>
      <c r="AW234" s="21" t="n">
        <f aca="false">IF($J234=0,0,MAX(0,NETWORKDAYS(MAX($K234,AW$4),MIN($L234,EOMONTH(AW$4,0)),Assumptions!$F$4:$F$44))/NETWORKDAYS($K234,$L234,Assumptions!$F$4:$F$44))</f>
        <v>0</v>
      </c>
      <c r="AX234" s="21" t="n">
        <f aca="false">IF($J234=0,0,MAX(0,NETWORKDAYS(MAX($K234,AX$4),MIN($L234,EOMONTH(AX$4,0)),Assumptions!$F$4:$F$44))/NETWORKDAYS($K234,$L234,Assumptions!$F$4:$F$44))</f>
        <v>0</v>
      </c>
      <c r="AY234" s="21" t="n">
        <f aca="false">IF($J234=0,0,MAX(0,NETWORKDAYS(MAX($K234,AY$4),MIN($L234,EOMONTH(AY$4,0)),Assumptions!$F$4:$F$44))/NETWORKDAYS($K234,$L234,Assumptions!$F$4:$F$44))</f>
        <v>0</v>
      </c>
      <c r="AZ234" s="21" t="n">
        <f aca="false">IF($J234=0,0,MAX(0,NETWORKDAYS(MAX($K234,AZ$4),MIN($L234,EOMONTH(AZ$4,0)),Assumptions!$F$4:$F$44))/NETWORKDAYS($K234,$L234,Assumptions!$F$4:$F$44))</f>
        <v>0</v>
      </c>
      <c r="BA234" s="21" t="n">
        <f aca="false">IF($J234=0,0,MAX(0,NETWORKDAYS(MAX($K234,BA$4),MIN($L234,EOMONTH(BA$4,0)),Assumptions!$F$4:$F$44))/NETWORKDAYS($K234,$L234,Assumptions!$F$4:$F$44))</f>
        <v>0</v>
      </c>
      <c r="BB234" s="21" t="n">
        <f aca="false">IF($J234=0,0,MAX(0,NETWORKDAYS(MAX($K234,BB$4),MIN($L234,EOMONTH(BB$4,0)),Assumptions!$F$4:$F$44))/NETWORKDAYS($K234,$L234,Assumptions!$F$4:$F$44))</f>
        <v>0</v>
      </c>
      <c r="BC234" s="21" t="n">
        <f aca="false">IF($J234=0,0,MAX(0,NETWORKDAYS(MAX($K234,BC$4),MIN($L234,EOMONTH(BC$4,0)),Assumptions!$F$4:$F$44))/NETWORKDAYS($K234,$L234,Assumptions!$F$4:$F$44))</f>
        <v>0</v>
      </c>
    </row>
    <row r="235" customFormat="false" ht="15" hidden="false" customHeight="false" outlineLevel="2" collapsed="false">
      <c r="A235" s="27" t="n">
        <v>231</v>
      </c>
      <c r="B235" s="27" t="s">
        <v>561</v>
      </c>
      <c r="C235" s="27" t="n">
        <v>3</v>
      </c>
      <c r="D235" s="27" t="s">
        <v>92</v>
      </c>
      <c r="E235" s="28" t="s">
        <v>330</v>
      </c>
      <c r="F235" s="27" t="s">
        <v>502</v>
      </c>
      <c r="G235" s="27" t="s">
        <v>543</v>
      </c>
      <c r="H235" s="27" t="s">
        <v>47</v>
      </c>
      <c r="I235" s="29" t="n">
        <v>154</v>
      </c>
      <c r="J235" s="29" t="n">
        <v>26</v>
      </c>
      <c r="K235" s="30" t="n">
        <f aca="false">WORKDAY(Assumptions!$C$4,I235,Assumptions!$F$4:$F$44)</f>
        <v>46542</v>
      </c>
      <c r="L235" s="30" t="n">
        <f aca="false">IF(J235=0,K235,WORKDAY(K235,J235-1,Assumptions!$F$4:$F$44))</f>
        <v>46577</v>
      </c>
      <c r="M235" s="29" t="s">
        <v>559</v>
      </c>
      <c r="N235" s="31" t="n">
        <v>0</v>
      </c>
      <c r="O235" s="31" t="n">
        <v>2</v>
      </c>
      <c r="P235" s="31" t="n">
        <v>0</v>
      </c>
      <c r="Q235" s="31" t="n">
        <v>4</v>
      </c>
      <c r="R235" s="31" t="n">
        <v>4</v>
      </c>
      <c r="S235" s="31" t="n">
        <v>0</v>
      </c>
      <c r="T235" s="31" t="n">
        <v>0</v>
      </c>
      <c r="U235" s="31" t="n">
        <v>0</v>
      </c>
      <c r="V235" s="31" t="n">
        <v>0</v>
      </c>
      <c r="W235" s="31" t="n">
        <v>0</v>
      </c>
      <c r="X235" s="31" t="n">
        <v>0</v>
      </c>
      <c r="Y235" s="32" t="n">
        <f aca="false">SUM(N235:X235)</f>
        <v>10</v>
      </c>
      <c r="Z235" s="32" t="n">
        <f aca="false">Y235*(1+Assumptions!$C$5)</f>
        <v>11.5</v>
      </c>
      <c r="AA235" s="27" t="s">
        <v>331</v>
      </c>
      <c r="AB235" s="27" t="s">
        <v>95</v>
      </c>
      <c r="AC235" s="27"/>
      <c r="AD235" s="33" t="n">
        <v>0</v>
      </c>
      <c r="AF235" s="21" t="n">
        <f aca="false">IF($J235=0,0,MAX(0,NETWORKDAYS(MAX($K235,AF$4),MIN($L235,EOMONTH(AF$4,0)),Assumptions!$F$4:$F$44))/NETWORKDAYS($K235,$L235,Assumptions!$F$4:$F$44))</f>
        <v>0</v>
      </c>
      <c r="AG235" s="21" t="n">
        <f aca="false">IF($J235=0,0,MAX(0,NETWORKDAYS(MAX($K235,AG$4),MIN($L235,EOMONTH(AG$4,0)),Assumptions!$F$4:$F$44))/NETWORKDAYS($K235,$L235,Assumptions!$F$4:$F$44))</f>
        <v>0</v>
      </c>
      <c r="AH235" s="21" t="n">
        <f aca="false">IF($J235=0,0,MAX(0,NETWORKDAYS(MAX($K235,AH$4),MIN($L235,EOMONTH(AH$4,0)),Assumptions!$F$4:$F$44))/NETWORKDAYS($K235,$L235,Assumptions!$F$4:$F$44))</f>
        <v>0</v>
      </c>
      <c r="AI235" s="21" t="n">
        <f aca="false">IF($J235=0,0,MAX(0,NETWORKDAYS(MAX($K235,AI$4),MIN($L235,EOMONTH(AI$4,0)),Assumptions!$F$4:$F$44))/NETWORKDAYS($K235,$L235,Assumptions!$F$4:$F$44))</f>
        <v>0</v>
      </c>
      <c r="AJ235" s="21" t="n">
        <f aca="false">IF($J235=0,0,MAX(0,NETWORKDAYS(MAX($K235,AJ$4),MIN($L235,EOMONTH(AJ$4,0)),Assumptions!$F$4:$F$44))/NETWORKDAYS($K235,$L235,Assumptions!$F$4:$F$44))</f>
        <v>0</v>
      </c>
      <c r="AK235" s="21" t="n">
        <f aca="false">IF($J235=0,0,MAX(0,NETWORKDAYS(MAX($K235,AK$4),MIN($L235,EOMONTH(AK$4,0)),Assumptions!$F$4:$F$44))/NETWORKDAYS($K235,$L235,Assumptions!$F$4:$F$44))</f>
        <v>0</v>
      </c>
      <c r="AL235" s="21" t="n">
        <f aca="false">IF($J235=0,0,MAX(0,NETWORKDAYS(MAX($K235,AL$4),MIN($L235,EOMONTH(AL$4,0)),Assumptions!$F$4:$F$44))/NETWORKDAYS($K235,$L235,Assumptions!$F$4:$F$44))</f>
        <v>0</v>
      </c>
      <c r="AM235" s="21" t="n">
        <f aca="false">IF($J235=0,0,MAX(0,NETWORKDAYS(MAX($K235,AM$4),MIN($L235,EOMONTH(AM$4,0)),Assumptions!$F$4:$F$44))/NETWORKDAYS($K235,$L235,Assumptions!$F$4:$F$44))</f>
        <v>0.730769230769231</v>
      </c>
      <c r="AN235" s="21" t="n">
        <f aca="false">IF($J235=0,0,MAX(0,NETWORKDAYS(MAX($K235,AN$4),MIN($L235,EOMONTH(AN$4,0)),Assumptions!$F$4:$F$44))/NETWORKDAYS($K235,$L235,Assumptions!$F$4:$F$44))</f>
        <v>0.269230769230769</v>
      </c>
      <c r="AO235" s="21" t="n">
        <f aca="false">IF($J235=0,0,MAX(0,NETWORKDAYS(MAX($K235,AO$4),MIN($L235,EOMONTH(AO$4,0)),Assumptions!$F$4:$F$44))/NETWORKDAYS($K235,$L235,Assumptions!$F$4:$F$44))</f>
        <v>0</v>
      </c>
      <c r="AP235" s="21" t="n">
        <f aca="false">IF($J235=0,0,MAX(0,NETWORKDAYS(MAX($K235,AP$4),MIN($L235,EOMONTH(AP$4,0)),Assumptions!$F$4:$F$44))/NETWORKDAYS($K235,$L235,Assumptions!$F$4:$F$44))</f>
        <v>0</v>
      </c>
      <c r="AQ235" s="21" t="n">
        <f aca="false">IF($J235=0,0,MAX(0,NETWORKDAYS(MAX($K235,AQ$4),MIN($L235,EOMONTH(AQ$4,0)),Assumptions!$F$4:$F$44))/NETWORKDAYS($K235,$L235,Assumptions!$F$4:$F$44))</f>
        <v>0</v>
      </c>
      <c r="AR235" s="21" t="n">
        <f aca="false">IF($J235=0,0,MAX(0,NETWORKDAYS(MAX($K235,AR$4),MIN($L235,EOMONTH(AR$4,0)),Assumptions!$F$4:$F$44))/NETWORKDAYS($K235,$L235,Assumptions!$F$4:$F$44))</f>
        <v>0</v>
      </c>
      <c r="AS235" s="21" t="n">
        <f aca="false">IF($J235=0,0,MAX(0,NETWORKDAYS(MAX($K235,AS$4),MIN($L235,EOMONTH(AS$4,0)),Assumptions!$F$4:$F$44))/NETWORKDAYS($K235,$L235,Assumptions!$F$4:$F$44))</f>
        <v>0</v>
      </c>
      <c r="AT235" s="21" t="n">
        <f aca="false">IF($J235=0,0,MAX(0,NETWORKDAYS(MAX($K235,AT$4),MIN($L235,EOMONTH(AT$4,0)),Assumptions!$F$4:$F$44))/NETWORKDAYS($K235,$L235,Assumptions!$F$4:$F$44))</f>
        <v>0</v>
      </c>
      <c r="AU235" s="21" t="n">
        <f aca="false">IF($J235=0,0,MAX(0,NETWORKDAYS(MAX($K235,AU$4),MIN($L235,EOMONTH(AU$4,0)),Assumptions!$F$4:$F$44))/NETWORKDAYS($K235,$L235,Assumptions!$F$4:$F$44))</f>
        <v>0</v>
      </c>
      <c r="AV235" s="21" t="n">
        <f aca="false">IF($J235=0,0,MAX(0,NETWORKDAYS(MAX($K235,AV$4),MIN($L235,EOMONTH(AV$4,0)),Assumptions!$F$4:$F$44))/NETWORKDAYS($K235,$L235,Assumptions!$F$4:$F$44))</f>
        <v>0</v>
      </c>
      <c r="AW235" s="21" t="n">
        <f aca="false">IF($J235=0,0,MAX(0,NETWORKDAYS(MAX($K235,AW$4),MIN($L235,EOMONTH(AW$4,0)),Assumptions!$F$4:$F$44))/NETWORKDAYS($K235,$L235,Assumptions!$F$4:$F$44))</f>
        <v>0</v>
      </c>
      <c r="AX235" s="21" t="n">
        <f aca="false">IF($J235=0,0,MAX(0,NETWORKDAYS(MAX($K235,AX$4),MIN($L235,EOMONTH(AX$4,0)),Assumptions!$F$4:$F$44))/NETWORKDAYS($K235,$L235,Assumptions!$F$4:$F$44))</f>
        <v>0</v>
      </c>
      <c r="AY235" s="21" t="n">
        <f aca="false">IF($J235=0,0,MAX(0,NETWORKDAYS(MAX($K235,AY$4),MIN($L235,EOMONTH(AY$4,0)),Assumptions!$F$4:$F$44))/NETWORKDAYS($K235,$L235,Assumptions!$F$4:$F$44))</f>
        <v>0</v>
      </c>
      <c r="AZ235" s="21" t="n">
        <f aca="false">IF($J235=0,0,MAX(0,NETWORKDAYS(MAX($K235,AZ$4),MIN($L235,EOMONTH(AZ$4,0)),Assumptions!$F$4:$F$44))/NETWORKDAYS($K235,$L235,Assumptions!$F$4:$F$44))</f>
        <v>0</v>
      </c>
      <c r="BA235" s="21" t="n">
        <f aca="false">IF($J235=0,0,MAX(0,NETWORKDAYS(MAX($K235,BA$4),MIN($L235,EOMONTH(BA$4,0)),Assumptions!$F$4:$F$44))/NETWORKDAYS($K235,$L235,Assumptions!$F$4:$F$44))</f>
        <v>0</v>
      </c>
      <c r="BB235" s="21" t="n">
        <f aca="false">IF($J235=0,0,MAX(0,NETWORKDAYS(MAX($K235,BB$4),MIN($L235,EOMONTH(BB$4,0)),Assumptions!$F$4:$F$44))/NETWORKDAYS($K235,$L235,Assumptions!$F$4:$F$44))</f>
        <v>0</v>
      </c>
      <c r="BC235" s="21" t="n">
        <f aca="false">IF($J235=0,0,MAX(0,NETWORKDAYS(MAX($K235,BC$4),MIN($L235,EOMONTH(BC$4,0)),Assumptions!$F$4:$F$44))/NETWORKDAYS($K235,$L235,Assumptions!$F$4:$F$44))</f>
        <v>0</v>
      </c>
    </row>
    <row r="236" customFormat="false" ht="15" hidden="false" customHeight="false" outlineLevel="2" collapsed="false">
      <c r="A236" s="27" t="n">
        <v>232</v>
      </c>
      <c r="B236" s="27" t="s">
        <v>562</v>
      </c>
      <c r="C236" s="27" t="n">
        <v>3</v>
      </c>
      <c r="D236" s="27" t="s">
        <v>92</v>
      </c>
      <c r="E236" s="28" t="s">
        <v>563</v>
      </c>
      <c r="F236" s="27" t="s">
        <v>502</v>
      </c>
      <c r="G236" s="27" t="s">
        <v>543</v>
      </c>
      <c r="H236" s="27" t="s">
        <v>59</v>
      </c>
      <c r="I236" s="29" t="n">
        <v>128</v>
      </c>
      <c r="J236" s="29" t="n">
        <v>59</v>
      </c>
      <c r="K236" s="30" t="n">
        <f aca="false">WORKDAY(Assumptions!$C$4,I236,Assumptions!$F$4:$F$44)</f>
        <v>46506</v>
      </c>
      <c r="L236" s="30" t="n">
        <f aca="false">IF(J236=0,K236,WORKDAY(K236,J236-1,Assumptions!$F$4:$F$44))</f>
        <v>46588</v>
      </c>
      <c r="M236" s="29" t="s">
        <v>550</v>
      </c>
      <c r="N236" s="31" t="n">
        <v>0</v>
      </c>
      <c r="O236" s="31" t="n">
        <v>2</v>
      </c>
      <c r="P236" s="31" t="n">
        <v>0</v>
      </c>
      <c r="Q236" s="31" t="n">
        <v>0</v>
      </c>
      <c r="R236" s="31" t="n">
        <v>0</v>
      </c>
      <c r="S236" s="31" t="n">
        <v>0</v>
      </c>
      <c r="T236" s="31" t="n">
        <v>0</v>
      </c>
      <c r="U236" s="31" t="n">
        <v>0</v>
      </c>
      <c r="V236" s="31" t="n">
        <v>0</v>
      </c>
      <c r="W236" s="31" t="n">
        <v>14</v>
      </c>
      <c r="X236" s="31" t="n">
        <v>0</v>
      </c>
      <c r="Y236" s="32" t="n">
        <f aca="false">SUM(N236:X236)</f>
        <v>16</v>
      </c>
      <c r="Z236" s="32" t="n">
        <f aca="false">Y236*(1+Assumptions!$C$5)</f>
        <v>18.4</v>
      </c>
      <c r="AA236" s="27" t="s">
        <v>334</v>
      </c>
      <c r="AB236" s="27" t="s">
        <v>95</v>
      </c>
      <c r="AC236" s="27"/>
      <c r="AD236" s="33" t="n">
        <v>0</v>
      </c>
      <c r="AF236" s="21" t="n">
        <f aca="false">IF($J236=0,0,MAX(0,NETWORKDAYS(MAX($K236,AF$4),MIN($L236,EOMONTH(AF$4,0)),Assumptions!$F$4:$F$44))/NETWORKDAYS($K236,$L236,Assumptions!$F$4:$F$44))</f>
        <v>0</v>
      </c>
      <c r="AG236" s="21" t="n">
        <f aca="false">IF($J236=0,0,MAX(0,NETWORKDAYS(MAX($K236,AG$4),MIN($L236,EOMONTH(AG$4,0)),Assumptions!$F$4:$F$44))/NETWORKDAYS($K236,$L236,Assumptions!$F$4:$F$44))</f>
        <v>0</v>
      </c>
      <c r="AH236" s="21" t="n">
        <f aca="false">IF($J236=0,0,MAX(0,NETWORKDAYS(MAX($K236,AH$4),MIN($L236,EOMONTH(AH$4,0)),Assumptions!$F$4:$F$44))/NETWORKDAYS($K236,$L236,Assumptions!$F$4:$F$44))</f>
        <v>0</v>
      </c>
      <c r="AI236" s="21" t="n">
        <f aca="false">IF($J236=0,0,MAX(0,NETWORKDAYS(MAX($K236,AI$4),MIN($L236,EOMONTH(AI$4,0)),Assumptions!$F$4:$F$44))/NETWORKDAYS($K236,$L236,Assumptions!$F$4:$F$44))</f>
        <v>0</v>
      </c>
      <c r="AJ236" s="21" t="n">
        <f aca="false">IF($J236=0,0,MAX(0,NETWORKDAYS(MAX($K236,AJ$4),MIN($L236,EOMONTH(AJ$4,0)),Assumptions!$F$4:$F$44))/NETWORKDAYS($K236,$L236,Assumptions!$F$4:$F$44))</f>
        <v>0</v>
      </c>
      <c r="AK236" s="21" t="n">
        <f aca="false">IF($J236=0,0,MAX(0,NETWORKDAYS(MAX($K236,AK$4),MIN($L236,EOMONTH(AK$4,0)),Assumptions!$F$4:$F$44))/NETWORKDAYS($K236,$L236,Assumptions!$F$4:$F$44))</f>
        <v>0.0338983050847458</v>
      </c>
      <c r="AL236" s="21" t="n">
        <f aca="false">IF($J236=0,0,MAX(0,NETWORKDAYS(MAX($K236,AL$4),MIN($L236,EOMONTH(AL$4,0)),Assumptions!$F$4:$F$44))/NETWORKDAYS($K236,$L236,Assumptions!$F$4:$F$44))</f>
        <v>0.355932203389831</v>
      </c>
      <c r="AM236" s="21" t="n">
        <f aca="false">IF($J236=0,0,MAX(0,NETWORKDAYS(MAX($K236,AM$4),MIN($L236,EOMONTH(AM$4,0)),Assumptions!$F$4:$F$44))/NETWORKDAYS($K236,$L236,Assumptions!$F$4:$F$44))</f>
        <v>0.372881355932203</v>
      </c>
      <c r="AN236" s="21" t="n">
        <f aca="false">IF($J236=0,0,MAX(0,NETWORKDAYS(MAX($K236,AN$4),MIN($L236,EOMONTH(AN$4,0)),Assumptions!$F$4:$F$44))/NETWORKDAYS($K236,$L236,Assumptions!$F$4:$F$44))</f>
        <v>0.23728813559322</v>
      </c>
      <c r="AO236" s="21" t="n">
        <f aca="false">IF($J236=0,0,MAX(0,NETWORKDAYS(MAX($K236,AO$4),MIN($L236,EOMONTH(AO$4,0)),Assumptions!$F$4:$F$44))/NETWORKDAYS($K236,$L236,Assumptions!$F$4:$F$44))</f>
        <v>0</v>
      </c>
      <c r="AP236" s="21" t="n">
        <f aca="false">IF($J236=0,0,MAX(0,NETWORKDAYS(MAX($K236,AP$4),MIN($L236,EOMONTH(AP$4,0)),Assumptions!$F$4:$F$44))/NETWORKDAYS($K236,$L236,Assumptions!$F$4:$F$44))</f>
        <v>0</v>
      </c>
      <c r="AQ236" s="21" t="n">
        <f aca="false">IF($J236=0,0,MAX(0,NETWORKDAYS(MAX($K236,AQ$4),MIN($L236,EOMONTH(AQ$4,0)),Assumptions!$F$4:$F$44))/NETWORKDAYS($K236,$L236,Assumptions!$F$4:$F$44))</f>
        <v>0</v>
      </c>
      <c r="AR236" s="21" t="n">
        <f aca="false">IF($J236=0,0,MAX(0,NETWORKDAYS(MAX($K236,AR$4),MIN($L236,EOMONTH(AR$4,0)),Assumptions!$F$4:$F$44))/NETWORKDAYS($K236,$L236,Assumptions!$F$4:$F$44))</f>
        <v>0</v>
      </c>
      <c r="AS236" s="21" t="n">
        <f aca="false">IF($J236=0,0,MAX(0,NETWORKDAYS(MAX($K236,AS$4),MIN($L236,EOMONTH(AS$4,0)),Assumptions!$F$4:$F$44))/NETWORKDAYS($K236,$L236,Assumptions!$F$4:$F$44))</f>
        <v>0</v>
      </c>
      <c r="AT236" s="21" t="n">
        <f aca="false">IF($J236=0,0,MAX(0,NETWORKDAYS(MAX($K236,AT$4),MIN($L236,EOMONTH(AT$4,0)),Assumptions!$F$4:$F$44))/NETWORKDAYS($K236,$L236,Assumptions!$F$4:$F$44))</f>
        <v>0</v>
      </c>
      <c r="AU236" s="21" t="n">
        <f aca="false">IF($J236=0,0,MAX(0,NETWORKDAYS(MAX($K236,AU$4),MIN($L236,EOMONTH(AU$4,0)),Assumptions!$F$4:$F$44))/NETWORKDAYS($K236,$L236,Assumptions!$F$4:$F$44))</f>
        <v>0</v>
      </c>
      <c r="AV236" s="21" t="n">
        <f aca="false">IF($J236=0,0,MAX(0,NETWORKDAYS(MAX($K236,AV$4),MIN($L236,EOMONTH(AV$4,0)),Assumptions!$F$4:$F$44))/NETWORKDAYS($K236,$L236,Assumptions!$F$4:$F$44))</f>
        <v>0</v>
      </c>
      <c r="AW236" s="21" t="n">
        <f aca="false">IF($J236=0,0,MAX(0,NETWORKDAYS(MAX($K236,AW$4),MIN($L236,EOMONTH(AW$4,0)),Assumptions!$F$4:$F$44))/NETWORKDAYS($K236,$L236,Assumptions!$F$4:$F$44))</f>
        <v>0</v>
      </c>
      <c r="AX236" s="21" t="n">
        <f aca="false">IF($J236=0,0,MAX(0,NETWORKDAYS(MAX($K236,AX$4),MIN($L236,EOMONTH(AX$4,0)),Assumptions!$F$4:$F$44))/NETWORKDAYS($K236,$L236,Assumptions!$F$4:$F$44))</f>
        <v>0</v>
      </c>
      <c r="AY236" s="21" t="n">
        <f aca="false">IF($J236=0,0,MAX(0,NETWORKDAYS(MAX($K236,AY$4),MIN($L236,EOMONTH(AY$4,0)),Assumptions!$F$4:$F$44))/NETWORKDAYS($K236,$L236,Assumptions!$F$4:$F$44))</f>
        <v>0</v>
      </c>
      <c r="AZ236" s="21" t="n">
        <f aca="false">IF($J236=0,0,MAX(0,NETWORKDAYS(MAX($K236,AZ$4),MIN($L236,EOMONTH(AZ$4,0)),Assumptions!$F$4:$F$44))/NETWORKDAYS($K236,$L236,Assumptions!$F$4:$F$44))</f>
        <v>0</v>
      </c>
      <c r="BA236" s="21" t="n">
        <f aca="false">IF($J236=0,0,MAX(0,NETWORKDAYS(MAX($K236,BA$4),MIN($L236,EOMONTH(BA$4,0)),Assumptions!$F$4:$F$44))/NETWORKDAYS($K236,$L236,Assumptions!$F$4:$F$44))</f>
        <v>0</v>
      </c>
      <c r="BB236" s="21" t="n">
        <f aca="false">IF($J236=0,0,MAX(0,NETWORKDAYS(MAX($K236,BB$4),MIN($L236,EOMONTH(BB$4,0)),Assumptions!$F$4:$F$44))/NETWORKDAYS($K236,$L236,Assumptions!$F$4:$F$44))</f>
        <v>0</v>
      </c>
      <c r="BC236" s="21" t="n">
        <f aca="false">IF($J236=0,0,MAX(0,NETWORKDAYS(MAX($K236,BC$4),MIN($L236,EOMONTH(BC$4,0)),Assumptions!$F$4:$F$44))/NETWORKDAYS($K236,$L236,Assumptions!$F$4:$F$44))</f>
        <v>0</v>
      </c>
    </row>
    <row r="237" customFormat="false" ht="15" hidden="false" customHeight="false" outlineLevel="2" collapsed="false">
      <c r="A237" s="27" t="n">
        <v>233</v>
      </c>
      <c r="B237" s="27" t="s">
        <v>564</v>
      </c>
      <c r="C237" s="27" t="n">
        <v>3</v>
      </c>
      <c r="D237" s="27" t="s">
        <v>92</v>
      </c>
      <c r="E237" s="28" t="s">
        <v>336</v>
      </c>
      <c r="F237" s="27" t="s">
        <v>502</v>
      </c>
      <c r="G237" s="27" t="s">
        <v>543</v>
      </c>
      <c r="H237" s="27" t="s">
        <v>57</v>
      </c>
      <c r="I237" s="29" t="n">
        <v>170</v>
      </c>
      <c r="J237" s="29" t="n">
        <v>21</v>
      </c>
      <c r="K237" s="30" t="n">
        <f aca="false">WORKDAY(Assumptions!$C$4,I237,Assumptions!$F$4:$F$44)</f>
        <v>46566</v>
      </c>
      <c r="L237" s="30" t="n">
        <f aca="false">IF(J237=0,K237,WORKDAY(K237,J237-1,Assumptions!$F$4:$F$44))</f>
        <v>46594</v>
      </c>
      <c r="M237" s="29" t="s">
        <v>565</v>
      </c>
      <c r="N237" s="31" t="n">
        <v>0</v>
      </c>
      <c r="O237" s="31" t="n">
        <v>0</v>
      </c>
      <c r="P237" s="31" t="n">
        <v>0</v>
      </c>
      <c r="Q237" s="31" t="n">
        <v>0</v>
      </c>
      <c r="R237" s="31" t="n">
        <v>0</v>
      </c>
      <c r="S237" s="31" t="n">
        <v>0</v>
      </c>
      <c r="T237" s="31" t="n">
        <v>0</v>
      </c>
      <c r="U237" s="31" t="n">
        <v>0</v>
      </c>
      <c r="V237" s="31" t="n">
        <v>22</v>
      </c>
      <c r="W237" s="31" t="n">
        <v>0</v>
      </c>
      <c r="X237" s="31" t="n">
        <v>0</v>
      </c>
      <c r="Y237" s="32" t="n">
        <f aca="false">SUM(N237:X237)</f>
        <v>22</v>
      </c>
      <c r="Z237" s="32" t="n">
        <f aca="false">Y237*(1+Assumptions!$C$5)</f>
        <v>25.3</v>
      </c>
      <c r="AA237" s="27" t="s">
        <v>338</v>
      </c>
      <c r="AB237" s="27" t="s">
        <v>95</v>
      </c>
      <c r="AC237" s="27"/>
      <c r="AD237" s="33" t="n">
        <v>0</v>
      </c>
      <c r="AF237" s="21" t="n">
        <f aca="false">IF($J237=0,0,MAX(0,NETWORKDAYS(MAX($K237,AF$4),MIN($L237,EOMONTH(AF$4,0)),Assumptions!$F$4:$F$44))/NETWORKDAYS($K237,$L237,Assumptions!$F$4:$F$44))</f>
        <v>0</v>
      </c>
      <c r="AG237" s="21" t="n">
        <f aca="false">IF($J237=0,0,MAX(0,NETWORKDAYS(MAX($K237,AG$4),MIN($L237,EOMONTH(AG$4,0)),Assumptions!$F$4:$F$44))/NETWORKDAYS($K237,$L237,Assumptions!$F$4:$F$44))</f>
        <v>0</v>
      </c>
      <c r="AH237" s="21" t="n">
        <f aca="false">IF($J237=0,0,MAX(0,NETWORKDAYS(MAX($K237,AH$4),MIN($L237,EOMONTH(AH$4,0)),Assumptions!$F$4:$F$44))/NETWORKDAYS($K237,$L237,Assumptions!$F$4:$F$44))</f>
        <v>0</v>
      </c>
      <c r="AI237" s="21" t="n">
        <f aca="false">IF($J237=0,0,MAX(0,NETWORKDAYS(MAX($K237,AI$4),MIN($L237,EOMONTH(AI$4,0)),Assumptions!$F$4:$F$44))/NETWORKDAYS($K237,$L237,Assumptions!$F$4:$F$44))</f>
        <v>0</v>
      </c>
      <c r="AJ237" s="21" t="n">
        <f aca="false">IF($J237=0,0,MAX(0,NETWORKDAYS(MAX($K237,AJ$4),MIN($L237,EOMONTH(AJ$4,0)),Assumptions!$F$4:$F$44))/NETWORKDAYS($K237,$L237,Assumptions!$F$4:$F$44))</f>
        <v>0</v>
      </c>
      <c r="AK237" s="21" t="n">
        <f aca="false">IF($J237=0,0,MAX(0,NETWORKDAYS(MAX($K237,AK$4),MIN($L237,EOMONTH(AK$4,0)),Assumptions!$F$4:$F$44))/NETWORKDAYS($K237,$L237,Assumptions!$F$4:$F$44))</f>
        <v>0</v>
      </c>
      <c r="AL237" s="21" t="n">
        <f aca="false">IF($J237=0,0,MAX(0,NETWORKDAYS(MAX($K237,AL$4),MIN($L237,EOMONTH(AL$4,0)),Assumptions!$F$4:$F$44))/NETWORKDAYS($K237,$L237,Assumptions!$F$4:$F$44))</f>
        <v>0</v>
      </c>
      <c r="AM237" s="21" t="n">
        <f aca="false">IF($J237=0,0,MAX(0,NETWORKDAYS(MAX($K237,AM$4),MIN($L237,EOMONTH(AM$4,0)),Assumptions!$F$4:$F$44))/NETWORKDAYS($K237,$L237,Assumptions!$F$4:$F$44))</f>
        <v>0.142857142857143</v>
      </c>
      <c r="AN237" s="21" t="n">
        <f aca="false">IF($J237=0,0,MAX(0,NETWORKDAYS(MAX($K237,AN$4),MIN($L237,EOMONTH(AN$4,0)),Assumptions!$F$4:$F$44))/NETWORKDAYS($K237,$L237,Assumptions!$F$4:$F$44))</f>
        <v>0.857142857142857</v>
      </c>
      <c r="AO237" s="21" t="n">
        <f aca="false">IF($J237=0,0,MAX(0,NETWORKDAYS(MAX($K237,AO$4),MIN($L237,EOMONTH(AO$4,0)),Assumptions!$F$4:$F$44))/NETWORKDAYS($K237,$L237,Assumptions!$F$4:$F$44))</f>
        <v>0</v>
      </c>
      <c r="AP237" s="21" t="n">
        <f aca="false">IF($J237=0,0,MAX(0,NETWORKDAYS(MAX($K237,AP$4),MIN($L237,EOMONTH(AP$4,0)),Assumptions!$F$4:$F$44))/NETWORKDAYS($K237,$L237,Assumptions!$F$4:$F$44))</f>
        <v>0</v>
      </c>
      <c r="AQ237" s="21" t="n">
        <f aca="false">IF($J237=0,0,MAX(0,NETWORKDAYS(MAX($K237,AQ$4),MIN($L237,EOMONTH(AQ$4,0)),Assumptions!$F$4:$F$44))/NETWORKDAYS($K237,$L237,Assumptions!$F$4:$F$44))</f>
        <v>0</v>
      </c>
      <c r="AR237" s="21" t="n">
        <f aca="false">IF($J237=0,0,MAX(0,NETWORKDAYS(MAX($K237,AR$4),MIN($L237,EOMONTH(AR$4,0)),Assumptions!$F$4:$F$44))/NETWORKDAYS($K237,$L237,Assumptions!$F$4:$F$44))</f>
        <v>0</v>
      </c>
      <c r="AS237" s="21" t="n">
        <f aca="false">IF($J237=0,0,MAX(0,NETWORKDAYS(MAX($K237,AS$4),MIN($L237,EOMONTH(AS$4,0)),Assumptions!$F$4:$F$44))/NETWORKDAYS($K237,$L237,Assumptions!$F$4:$F$44))</f>
        <v>0</v>
      </c>
      <c r="AT237" s="21" t="n">
        <f aca="false">IF($J237=0,0,MAX(0,NETWORKDAYS(MAX($K237,AT$4),MIN($L237,EOMONTH(AT$4,0)),Assumptions!$F$4:$F$44))/NETWORKDAYS($K237,$L237,Assumptions!$F$4:$F$44))</f>
        <v>0</v>
      </c>
      <c r="AU237" s="21" t="n">
        <f aca="false">IF($J237=0,0,MAX(0,NETWORKDAYS(MAX($K237,AU$4),MIN($L237,EOMONTH(AU$4,0)),Assumptions!$F$4:$F$44))/NETWORKDAYS($K237,$L237,Assumptions!$F$4:$F$44))</f>
        <v>0</v>
      </c>
      <c r="AV237" s="21" t="n">
        <f aca="false">IF($J237=0,0,MAX(0,NETWORKDAYS(MAX($K237,AV$4),MIN($L237,EOMONTH(AV$4,0)),Assumptions!$F$4:$F$44))/NETWORKDAYS($K237,$L237,Assumptions!$F$4:$F$44))</f>
        <v>0</v>
      </c>
      <c r="AW237" s="21" t="n">
        <f aca="false">IF($J237=0,0,MAX(0,NETWORKDAYS(MAX($K237,AW$4),MIN($L237,EOMONTH(AW$4,0)),Assumptions!$F$4:$F$44))/NETWORKDAYS($K237,$L237,Assumptions!$F$4:$F$44))</f>
        <v>0</v>
      </c>
      <c r="AX237" s="21" t="n">
        <f aca="false">IF($J237=0,0,MAX(0,NETWORKDAYS(MAX($K237,AX$4),MIN($L237,EOMONTH(AX$4,0)),Assumptions!$F$4:$F$44))/NETWORKDAYS($K237,$L237,Assumptions!$F$4:$F$44))</f>
        <v>0</v>
      </c>
      <c r="AY237" s="21" t="n">
        <f aca="false">IF($J237=0,0,MAX(0,NETWORKDAYS(MAX($K237,AY$4),MIN($L237,EOMONTH(AY$4,0)),Assumptions!$F$4:$F$44))/NETWORKDAYS($K237,$L237,Assumptions!$F$4:$F$44))</f>
        <v>0</v>
      </c>
      <c r="AZ237" s="21" t="n">
        <f aca="false">IF($J237=0,0,MAX(0,NETWORKDAYS(MAX($K237,AZ$4),MIN($L237,EOMONTH(AZ$4,0)),Assumptions!$F$4:$F$44))/NETWORKDAYS($K237,$L237,Assumptions!$F$4:$F$44))</f>
        <v>0</v>
      </c>
      <c r="BA237" s="21" t="n">
        <f aca="false">IF($J237=0,0,MAX(0,NETWORKDAYS(MAX($K237,BA$4),MIN($L237,EOMONTH(BA$4,0)),Assumptions!$F$4:$F$44))/NETWORKDAYS($K237,$L237,Assumptions!$F$4:$F$44))</f>
        <v>0</v>
      </c>
      <c r="BB237" s="21" t="n">
        <f aca="false">IF($J237=0,0,MAX(0,NETWORKDAYS(MAX($K237,BB$4),MIN($L237,EOMONTH(BB$4,0)),Assumptions!$F$4:$F$44))/NETWORKDAYS($K237,$L237,Assumptions!$F$4:$F$44))</f>
        <v>0</v>
      </c>
      <c r="BC237" s="21" t="n">
        <f aca="false">IF($J237=0,0,MAX(0,NETWORKDAYS(MAX($K237,BC$4),MIN($L237,EOMONTH(BC$4,0)),Assumptions!$F$4:$F$44))/NETWORKDAYS($K237,$L237,Assumptions!$F$4:$F$44))</f>
        <v>0</v>
      </c>
    </row>
    <row r="238" customFormat="false" ht="15" hidden="false" customHeight="false" outlineLevel="2" collapsed="false">
      <c r="A238" s="27" t="n">
        <v>234</v>
      </c>
      <c r="B238" s="27" t="s">
        <v>566</v>
      </c>
      <c r="C238" s="27" t="n">
        <v>3</v>
      </c>
      <c r="D238" s="27" t="s">
        <v>92</v>
      </c>
      <c r="E238" s="28" t="s">
        <v>340</v>
      </c>
      <c r="F238" s="27" t="s">
        <v>502</v>
      </c>
      <c r="G238" s="27" t="s">
        <v>543</v>
      </c>
      <c r="H238" s="27" t="s">
        <v>47</v>
      </c>
      <c r="I238" s="29" t="n">
        <v>174</v>
      </c>
      <c r="J238" s="29" t="n">
        <v>26</v>
      </c>
      <c r="K238" s="30" t="n">
        <f aca="false">WORKDAY(Assumptions!$C$4,I238,Assumptions!$F$4:$F$44)</f>
        <v>46570</v>
      </c>
      <c r="L238" s="30" t="n">
        <f aca="false">IF(J238=0,K238,WORKDAY(K238,J238-1,Assumptions!$F$4:$F$44))</f>
        <v>46605</v>
      </c>
      <c r="M238" s="29" t="s">
        <v>567</v>
      </c>
      <c r="N238" s="31" t="n">
        <v>0</v>
      </c>
      <c r="O238" s="31" t="n">
        <v>0</v>
      </c>
      <c r="P238" s="31" t="n">
        <v>0</v>
      </c>
      <c r="Q238" s="31" t="n">
        <v>9</v>
      </c>
      <c r="R238" s="31" t="n">
        <v>6</v>
      </c>
      <c r="S238" s="31" t="n">
        <v>0</v>
      </c>
      <c r="T238" s="31" t="n">
        <v>0</v>
      </c>
      <c r="U238" s="31" t="n">
        <v>0</v>
      </c>
      <c r="V238" s="31" t="n">
        <v>4</v>
      </c>
      <c r="W238" s="31" t="n">
        <v>0</v>
      </c>
      <c r="X238" s="31" t="n">
        <v>0</v>
      </c>
      <c r="Y238" s="32" t="n">
        <f aca="false">SUM(N238:X238)</f>
        <v>19</v>
      </c>
      <c r="Z238" s="32" t="n">
        <f aca="false">Y238*(1+Assumptions!$C$5)</f>
        <v>21.85</v>
      </c>
      <c r="AA238" s="27" t="s">
        <v>342</v>
      </c>
      <c r="AB238" s="27" t="s">
        <v>95</v>
      </c>
      <c r="AC238" s="27"/>
      <c r="AD238" s="33" t="n">
        <v>0</v>
      </c>
      <c r="AF238" s="21" t="n">
        <f aca="false">IF($J238=0,0,MAX(0,NETWORKDAYS(MAX($K238,AF$4),MIN($L238,EOMONTH(AF$4,0)),Assumptions!$F$4:$F$44))/NETWORKDAYS($K238,$L238,Assumptions!$F$4:$F$44))</f>
        <v>0</v>
      </c>
      <c r="AG238" s="21" t="n">
        <f aca="false">IF($J238=0,0,MAX(0,NETWORKDAYS(MAX($K238,AG$4),MIN($L238,EOMONTH(AG$4,0)),Assumptions!$F$4:$F$44))/NETWORKDAYS($K238,$L238,Assumptions!$F$4:$F$44))</f>
        <v>0</v>
      </c>
      <c r="AH238" s="21" t="n">
        <f aca="false">IF($J238=0,0,MAX(0,NETWORKDAYS(MAX($K238,AH$4),MIN($L238,EOMONTH(AH$4,0)),Assumptions!$F$4:$F$44))/NETWORKDAYS($K238,$L238,Assumptions!$F$4:$F$44))</f>
        <v>0</v>
      </c>
      <c r="AI238" s="21" t="n">
        <f aca="false">IF($J238=0,0,MAX(0,NETWORKDAYS(MAX($K238,AI$4),MIN($L238,EOMONTH(AI$4,0)),Assumptions!$F$4:$F$44))/NETWORKDAYS($K238,$L238,Assumptions!$F$4:$F$44))</f>
        <v>0</v>
      </c>
      <c r="AJ238" s="21" t="n">
        <f aca="false">IF($J238=0,0,MAX(0,NETWORKDAYS(MAX($K238,AJ$4),MIN($L238,EOMONTH(AJ$4,0)),Assumptions!$F$4:$F$44))/NETWORKDAYS($K238,$L238,Assumptions!$F$4:$F$44))</f>
        <v>0</v>
      </c>
      <c r="AK238" s="21" t="n">
        <f aca="false">IF($J238=0,0,MAX(0,NETWORKDAYS(MAX($K238,AK$4),MIN($L238,EOMONTH(AK$4,0)),Assumptions!$F$4:$F$44))/NETWORKDAYS($K238,$L238,Assumptions!$F$4:$F$44))</f>
        <v>0</v>
      </c>
      <c r="AL238" s="21" t="n">
        <f aca="false">IF($J238=0,0,MAX(0,NETWORKDAYS(MAX($K238,AL$4),MIN($L238,EOMONTH(AL$4,0)),Assumptions!$F$4:$F$44))/NETWORKDAYS($K238,$L238,Assumptions!$F$4:$F$44))</f>
        <v>0</v>
      </c>
      <c r="AM238" s="21" t="n">
        <f aca="false">IF($J238=0,0,MAX(0,NETWORKDAYS(MAX($K238,AM$4),MIN($L238,EOMONTH(AM$4,0)),Assumptions!$F$4:$F$44))/NETWORKDAYS($K238,$L238,Assumptions!$F$4:$F$44))</f>
        <v>0</v>
      </c>
      <c r="AN238" s="21" t="n">
        <f aca="false">IF($J238=0,0,MAX(0,NETWORKDAYS(MAX($K238,AN$4),MIN($L238,EOMONTH(AN$4,0)),Assumptions!$F$4:$F$44))/NETWORKDAYS($K238,$L238,Assumptions!$F$4:$F$44))</f>
        <v>0.807692307692308</v>
      </c>
      <c r="AO238" s="21" t="n">
        <f aca="false">IF($J238=0,0,MAX(0,NETWORKDAYS(MAX($K238,AO$4),MIN($L238,EOMONTH(AO$4,0)),Assumptions!$F$4:$F$44))/NETWORKDAYS($K238,$L238,Assumptions!$F$4:$F$44))</f>
        <v>0.192307692307692</v>
      </c>
      <c r="AP238" s="21" t="n">
        <f aca="false">IF($J238=0,0,MAX(0,NETWORKDAYS(MAX($K238,AP$4),MIN($L238,EOMONTH(AP$4,0)),Assumptions!$F$4:$F$44))/NETWORKDAYS($K238,$L238,Assumptions!$F$4:$F$44))</f>
        <v>0</v>
      </c>
      <c r="AQ238" s="21" t="n">
        <f aca="false">IF($J238=0,0,MAX(0,NETWORKDAYS(MAX($K238,AQ$4),MIN($L238,EOMONTH(AQ$4,0)),Assumptions!$F$4:$F$44))/NETWORKDAYS($K238,$L238,Assumptions!$F$4:$F$44))</f>
        <v>0</v>
      </c>
      <c r="AR238" s="21" t="n">
        <f aca="false">IF($J238=0,0,MAX(0,NETWORKDAYS(MAX($K238,AR$4),MIN($L238,EOMONTH(AR$4,0)),Assumptions!$F$4:$F$44))/NETWORKDAYS($K238,$L238,Assumptions!$F$4:$F$44))</f>
        <v>0</v>
      </c>
      <c r="AS238" s="21" t="n">
        <f aca="false">IF($J238=0,0,MAX(0,NETWORKDAYS(MAX($K238,AS$4),MIN($L238,EOMONTH(AS$4,0)),Assumptions!$F$4:$F$44))/NETWORKDAYS($K238,$L238,Assumptions!$F$4:$F$44))</f>
        <v>0</v>
      </c>
      <c r="AT238" s="21" t="n">
        <f aca="false">IF($J238=0,0,MAX(0,NETWORKDAYS(MAX($K238,AT$4),MIN($L238,EOMONTH(AT$4,0)),Assumptions!$F$4:$F$44))/NETWORKDAYS($K238,$L238,Assumptions!$F$4:$F$44))</f>
        <v>0</v>
      </c>
      <c r="AU238" s="21" t="n">
        <f aca="false">IF($J238=0,0,MAX(0,NETWORKDAYS(MAX($K238,AU$4),MIN($L238,EOMONTH(AU$4,0)),Assumptions!$F$4:$F$44))/NETWORKDAYS($K238,$L238,Assumptions!$F$4:$F$44))</f>
        <v>0</v>
      </c>
      <c r="AV238" s="21" t="n">
        <f aca="false">IF($J238=0,0,MAX(0,NETWORKDAYS(MAX($K238,AV$4),MIN($L238,EOMONTH(AV$4,0)),Assumptions!$F$4:$F$44))/NETWORKDAYS($K238,$L238,Assumptions!$F$4:$F$44))</f>
        <v>0</v>
      </c>
      <c r="AW238" s="21" t="n">
        <f aca="false">IF($J238=0,0,MAX(0,NETWORKDAYS(MAX($K238,AW$4),MIN($L238,EOMONTH(AW$4,0)),Assumptions!$F$4:$F$44))/NETWORKDAYS($K238,$L238,Assumptions!$F$4:$F$44))</f>
        <v>0</v>
      </c>
      <c r="AX238" s="21" t="n">
        <f aca="false">IF($J238=0,0,MAX(0,NETWORKDAYS(MAX($K238,AX$4),MIN($L238,EOMONTH(AX$4,0)),Assumptions!$F$4:$F$44))/NETWORKDAYS($K238,$L238,Assumptions!$F$4:$F$44))</f>
        <v>0</v>
      </c>
      <c r="AY238" s="21" t="n">
        <f aca="false">IF($J238=0,0,MAX(0,NETWORKDAYS(MAX($K238,AY$4),MIN($L238,EOMONTH(AY$4,0)),Assumptions!$F$4:$F$44))/NETWORKDAYS($K238,$L238,Assumptions!$F$4:$F$44))</f>
        <v>0</v>
      </c>
      <c r="AZ238" s="21" t="n">
        <f aca="false">IF($J238=0,0,MAX(0,NETWORKDAYS(MAX($K238,AZ$4),MIN($L238,EOMONTH(AZ$4,0)),Assumptions!$F$4:$F$44))/NETWORKDAYS($K238,$L238,Assumptions!$F$4:$F$44))</f>
        <v>0</v>
      </c>
      <c r="BA238" s="21" t="n">
        <f aca="false">IF($J238=0,0,MAX(0,NETWORKDAYS(MAX($K238,BA$4),MIN($L238,EOMONTH(BA$4,0)),Assumptions!$F$4:$F$44))/NETWORKDAYS($K238,$L238,Assumptions!$F$4:$F$44))</f>
        <v>0</v>
      </c>
      <c r="BB238" s="21" t="n">
        <f aca="false">IF($J238=0,0,MAX(0,NETWORKDAYS(MAX($K238,BB$4),MIN($L238,EOMONTH(BB$4,0)),Assumptions!$F$4:$F$44))/NETWORKDAYS($K238,$L238,Assumptions!$F$4:$F$44))</f>
        <v>0</v>
      </c>
      <c r="BC238" s="21" t="n">
        <f aca="false">IF($J238=0,0,MAX(0,NETWORKDAYS(MAX($K238,BC$4),MIN($L238,EOMONTH(BC$4,0)),Assumptions!$F$4:$F$44))/NETWORKDAYS($K238,$L238,Assumptions!$F$4:$F$44))</f>
        <v>0</v>
      </c>
    </row>
    <row r="239" customFormat="false" ht="15" hidden="false" customHeight="false" outlineLevel="2" collapsed="false">
      <c r="A239" s="27" t="n">
        <v>235</v>
      </c>
      <c r="B239" s="27" t="s">
        <v>568</v>
      </c>
      <c r="C239" s="27" t="n">
        <v>3</v>
      </c>
      <c r="D239" s="27" t="s">
        <v>92</v>
      </c>
      <c r="E239" s="28" t="s">
        <v>344</v>
      </c>
      <c r="F239" s="27" t="s">
        <v>502</v>
      </c>
      <c r="G239" s="27" t="s">
        <v>543</v>
      </c>
      <c r="H239" s="27" t="s">
        <v>43</v>
      </c>
      <c r="I239" s="29" t="n">
        <v>191</v>
      </c>
      <c r="J239" s="29" t="n">
        <v>13</v>
      </c>
      <c r="K239" s="30" t="n">
        <f aca="false">WORKDAY(Assumptions!$C$4,I239,Assumptions!$F$4:$F$44)</f>
        <v>46595</v>
      </c>
      <c r="L239" s="30" t="n">
        <f aca="false">IF(J239=0,K239,WORKDAY(K239,J239-1,Assumptions!$F$4:$F$44))</f>
        <v>46611</v>
      </c>
      <c r="M239" s="29" t="s">
        <v>567</v>
      </c>
      <c r="N239" s="31" t="n">
        <v>0</v>
      </c>
      <c r="O239" s="31" t="n">
        <v>6</v>
      </c>
      <c r="P239" s="31" t="n">
        <v>0</v>
      </c>
      <c r="Q239" s="31" t="n">
        <v>0</v>
      </c>
      <c r="R239" s="31" t="n">
        <v>0</v>
      </c>
      <c r="S239" s="31" t="n">
        <v>0</v>
      </c>
      <c r="T239" s="31" t="n">
        <v>0</v>
      </c>
      <c r="U239" s="31" t="n">
        <v>0</v>
      </c>
      <c r="V239" s="31" t="n">
        <v>6</v>
      </c>
      <c r="W239" s="31" t="n">
        <v>0</v>
      </c>
      <c r="X239" s="31" t="n">
        <v>0</v>
      </c>
      <c r="Y239" s="32" t="n">
        <f aca="false">SUM(N239:X239)</f>
        <v>12</v>
      </c>
      <c r="Z239" s="32" t="n">
        <f aca="false">Y239*(1+Assumptions!$C$5)</f>
        <v>13.8</v>
      </c>
      <c r="AA239" s="27" t="s">
        <v>345</v>
      </c>
      <c r="AB239" s="27" t="s">
        <v>95</v>
      </c>
      <c r="AC239" s="27"/>
      <c r="AD239" s="33" t="n">
        <v>0</v>
      </c>
      <c r="AF239" s="21" t="n">
        <f aca="false">IF($J239=0,0,MAX(0,NETWORKDAYS(MAX($K239,AF$4),MIN($L239,EOMONTH(AF$4,0)),Assumptions!$F$4:$F$44))/NETWORKDAYS($K239,$L239,Assumptions!$F$4:$F$44))</f>
        <v>0</v>
      </c>
      <c r="AG239" s="21" t="n">
        <f aca="false">IF($J239=0,0,MAX(0,NETWORKDAYS(MAX($K239,AG$4),MIN($L239,EOMONTH(AG$4,0)),Assumptions!$F$4:$F$44))/NETWORKDAYS($K239,$L239,Assumptions!$F$4:$F$44))</f>
        <v>0</v>
      </c>
      <c r="AH239" s="21" t="n">
        <f aca="false">IF($J239=0,0,MAX(0,NETWORKDAYS(MAX($K239,AH$4),MIN($L239,EOMONTH(AH$4,0)),Assumptions!$F$4:$F$44))/NETWORKDAYS($K239,$L239,Assumptions!$F$4:$F$44))</f>
        <v>0</v>
      </c>
      <c r="AI239" s="21" t="n">
        <f aca="false">IF($J239=0,0,MAX(0,NETWORKDAYS(MAX($K239,AI$4),MIN($L239,EOMONTH(AI$4,0)),Assumptions!$F$4:$F$44))/NETWORKDAYS($K239,$L239,Assumptions!$F$4:$F$44))</f>
        <v>0</v>
      </c>
      <c r="AJ239" s="21" t="n">
        <f aca="false">IF($J239=0,0,MAX(0,NETWORKDAYS(MAX($K239,AJ$4),MIN($L239,EOMONTH(AJ$4,0)),Assumptions!$F$4:$F$44))/NETWORKDAYS($K239,$L239,Assumptions!$F$4:$F$44))</f>
        <v>0</v>
      </c>
      <c r="AK239" s="21" t="n">
        <f aca="false">IF($J239=0,0,MAX(0,NETWORKDAYS(MAX($K239,AK$4),MIN($L239,EOMONTH(AK$4,0)),Assumptions!$F$4:$F$44))/NETWORKDAYS($K239,$L239,Assumptions!$F$4:$F$44))</f>
        <v>0</v>
      </c>
      <c r="AL239" s="21" t="n">
        <f aca="false">IF($J239=0,0,MAX(0,NETWORKDAYS(MAX($K239,AL$4),MIN($L239,EOMONTH(AL$4,0)),Assumptions!$F$4:$F$44))/NETWORKDAYS($K239,$L239,Assumptions!$F$4:$F$44))</f>
        <v>0</v>
      </c>
      <c r="AM239" s="21" t="n">
        <f aca="false">IF($J239=0,0,MAX(0,NETWORKDAYS(MAX($K239,AM$4),MIN($L239,EOMONTH(AM$4,0)),Assumptions!$F$4:$F$44))/NETWORKDAYS($K239,$L239,Assumptions!$F$4:$F$44))</f>
        <v>0</v>
      </c>
      <c r="AN239" s="21" t="n">
        <f aca="false">IF($J239=0,0,MAX(0,NETWORKDAYS(MAX($K239,AN$4),MIN($L239,EOMONTH(AN$4,0)),Assumptions!$F$4:$F$44))/NETWORKDAYS($K239,$L239,Assumptions!$F$4:$F$44))</f>
        <v>0.307692307692308</v>
      </c>
      <c r="AO239" s="21" t="n">
        <f aca="false">IF($J239=0,0,MAX(0,NETWORKDAYS(MAX($K239,AO$4),MIN($L239,EOMONTH(AO$4,0)),Assumptions!$F$4:$F$44))/NETWORKDAYS($K239,$L239,Assumptions!$F$4:$F$44))</f>
        <v>0.692307692307692</v>
      </c>
      <c r="AP239" s="21" t="n">
        <f aca="false">IF($J239=0,0,MAX(0,NETWORKDAYS(MAX($K239,AP$4),MIN($L239,EOMONTH(AP$4,0)),Assumptions!$F$4:$F$44))/NETWORKDAYS($K239,$L239,Assumptions!$F$4:$F$44))</f>
        <v>0</v>
      </c>
      <c r="AQ239" s="21" t="n">
        <f aca="false">IF($J239=0,0,MAX(0,NETWORKDAYS(MAX($K239,AQ$4),MIN($L239,EOMONTH(AQ$4,0)),Assumptions!$F$4:$F$44))/NETWORKDAYS($K239,$L239,Assumptions!$F$4:$F$44))</f>
        <v>0</v>
      </c>
      <c r="AR239" s="21" t="n">
        <f aca="false">IF($J239=0,0,MAX(0,NETWORKDAYS(MAX($K239,AR$4),MIN($L239,EOMONTH(AR$4,0)),Assumptions!$F$4:$F$44))/NETWORKDAYS($K239,$L239,Assumptions!$F$4:$F$44))</f>
        <v>0</v>
      </c>
      <c r="AS239" s="21" t="n">
        <f aca="false">IF($J239=0,0,MAX(0,NETWORKDAYS(MAX($K239,AS$4),MIN($L239,EOMONTH(AS$4,0)),Assumptions!$F$4:$F$44))/NETWORKDAYS($K239,$L239,Assumptions!$F$4:$F$44))</f>
        <v>0</v>
      </c>
      <c r="AT239" s="21" t="n">
        <f aca="false">IF($J239=0,0,MAX(0,NETWORKDAYS(MAX($K239,AT$4),MIN($L239,EOMONTH(AT$4,0)),Assumptions!$F$4:$F$44))/NETWORKDAYS($K239,$L239,Assumptions!$F$4:$F$44))</f>
        <v>0</v>
      </c>
      <c r="AU239" s="21" t="n">
        <f aca="false">IF($J239=0,0,MAX(0,NETWORKDAYS(MAX($K239,AU$4),MIN($L239,EOMONTH(AU$4,0)),Assumptions!$F$4:$F$44))/NETWORKDAYS($K239,$L239,Assumptions!$F$4:$F$44))</f>
        <v>0</v>
      </c>
      <c r="AV239" s="21" t="n">
        <f aca="false">IF($J239=0,0,MAX(0,NETWORKDAYS(MAX($K239,AV$4),MIN($L239,EOMONTH(AV$4,0)),Assumptions!$F$4:$F$44))/NETWORKDAYS($K239,$L239,Assumptions!$F$4:$F$44))</f>
        <v>0</v>
      </c>
      <c r="AW239" s="21" t="n">
        <f aca="false">IF($J239=0,0,MAX(0,NETWORKDAYS(MAX($K239,AW$4),MIN($L239,EOMONTH(AW$4,0)),Assumptions!$F$4:$F$44))/NETWORKDAYS($K239,$L239,Assumptions!$F$4:$F$44))</f>
        <v>0</v>
      </c>
      <c r="AX239" s="21" t="n">
        <f aca="false">IF($J239=0,0,MAX(0,NETWORKDAYS(MAX($K239,AX$4),MIN($L239,EOMONTH(AX$4,0)),Assumptions!$F$4:$F$44))/NETWORKDAYS($K239,$L239,Assumptions!$F$4:$F$44))</f>
        <v>0</v>
      </c>
      <c r="AY239" s="21" t="n">
        <f aca="false">IF($J239=0,0,MAX(0,NETWORKDAYS(MAX($K239,AY$4),MIN($L239,EOMONTH(AY$4,0)),Assumptions!$F$4:$F$44))/NETWORKDAYS($K239,$L239,Assumptions!$F$4:$F$44))</f>
        <v>0</v>
      </c>
      <c r="AZ239" s="21" t="n">
        <f aca="false">IF($J239=0,0,MAX(0,NETWORKDAYS(MAX($K239,AZ$4),MIN($L239,EOMONTH(AZ$4,0)),Assumptions!$F$4:$F$44))/NETWORKDAYS($K239,$L239,Assumptions!$F$4:$F$44))</f>
        <v>0</v>
      </c>
      <c r="BA239" s="21" t="n">
        <f aca="false">IF($J239=0,0,MAX(0,NETWORKDAYS(MAX($K239,BA$4),MIN($L239,EOMONTH(BA$4,0)),Assumptions!$F$4:$F$44))/NETWORKDAYS($K239,$L239,Assumptions!$F$4:$F$44))</f>
        <v>0</v>
      </c>
      <c r="BB239" s="21" t="n">
        <f aca="false">IF($J239=0,0,MAX(0,NETWORKDAYS(MAX($K239,BB$4),MIN($L239,EOMONTH(BB$4,0)),Assumptions!$F$4:$F$44))/NETWORKDAYS($K239,$L239,Assumptions!$F$4:$F$44))</f>
        <v>0</v>
      </c>
      <c r="BC239" s="21" t="n">
        <f aca="false">IF($J239=0,0,MAX(0,NETWORKDAYS(MAX($K239,BC$4),MIN($L239,EOMONTH(BC$4,0)),Assumptions!$F$4:$F$44))/NETWORKDAYS($K239,$L239,Assumptions!$F$4:$F$44))</f>
        <v>0</v>
      </c>
    </row>
    <row r="240" customFormat="false" ht="15" hidden="false" customHeight="false" outlineLevel="2" collapsed="false">
      <c r="A240" s="27" t="n">
        <v>236</v>
      </c>
      <c r="B240" s="27" t="s">
        <v>569</v>
      </c>
      <c r="C240" s="27" t="n">
        <v>3</v>
      </c>
      <c r="D240" s="27" t="s">
        <v>92</v>
      </c>
      <c r="E240" s="28" t="s">
        <v>347</v>
      </c>
      <c r="F240" s="27" t="s">
        <v>502</v>
      </c>
      <c r="G240" s="27" t="s">
        <v>543</v>
      </c>
      <c r="H240" s="27" t="s">
        <v>61</v>
      </c>
      <c r="I240" s="29" t="n">
        <v>194</v>
      </c>
      <c r="J240" s="29" t="n">
        <v>13</v>
      </c>
      <c r="K240" s="30" t="n">
        <f aca="false">WORKDAY(Assumptions!$C$4,I240,Assumptions!$F$4:$F$44)</f>
        <v>46598</v>
      </c>
      <c r="L240" s="30" t="n">
        <f aca="false">IF(J240=0,K240,WORKDAY(K240,J240-1,Assumptions!$F$4:$F$44))</f>
        <v>46616</v>
      </c>
      <c r="M240" s="29" t="s">
        <v>570</v>
      </c>
      <c r="N240" s="31" t="n">
        <v>0</v>
      </c>
      <c r="O240" s="31" t="n">
        <v>2</v>
      </c>
      <c r="P240" s="31" t="n">
        <v>0</v>
      </c>
      <c r="Q240" s="31" t="n">
        <v>0</v>
      </c>
      <c r="R240" s="31" t="n">
        <v>0</v>
      </c>
      <c r="S240" s="31" t="n">
        <v>0</v>
      </c>
      <c r="T240" s="31" t="n">
        <v>0</v>
      </c>
      <c r="U240" s="31" t="n">
        <v>0</v>
      </c>
      <c r="V240" s="31" t="n">
        <v>0</v>
      </c>
      <c r="W240" s="31" t="n">
        <v>0</v>
      </c>
      <c r="X240" s="31" t="n">
        <v>7</v>
      </c>
      <c r="Y240" s="32" t="n">
        <f aca="false">SUM(N240:X240)</f>
        <v>9</v>
      </c>
      <c r="Z240" s="32" t="n">
        <f aca="false">Y240*(1+Assumptions!$C$5)</f>
        <v>10.35</v>
      </c>
      <c r="AA240" s="27" t="s">
        <v>349</v>
      </c>
      <c r="AB240" s="27" t="s">
        <v>95</v>
      </c>
      <c r="AC240" s="27"/>
      <c r="AD240" s="33" t="n">
        <v>0</v>
      </c>
      <c r="AF240" s="21" t="n">
        <f aca="false">IF($J240=0,0,MAX(0,NETWORKDAYS(MAX($K240,AF$4),MIN($L240,EOMONTH(AF$4,0)),Assumptions!$F$4:$F$44))/NETWORKDAYS($K240,$L240,Assumptions!$F$4:$F$44))</f>
        <v>0</v>
      </c>
      <c r="AG240" s="21" t="n">
        <f aca="false">IF($J240=0,0,MAX(0,NETWORKDAYS(MAX($K240,AG$4),MIN($L240,EOMONTH(AG$4,0)),Assumptions!$F$4:$F$44))/NETWORKDAYS($K240,$L240,Assumptions!$F$4:$F$44))</f>
        <v>0</v>
      </c>
      <c r="AH240" s="21" t="n">
        <f aca="false">IF($J240=0,0,MAX(0,NETWORKDAYS(MAX($K240,AH$4),MIN($L240,EOMONTH(AH$4,0)),Assumptions!$F$4:$F$44))/NETWORKDAYS($K240,$L240,Assumptions!$F$4:$F$44))</f>
        <v>0</v>
      </c>
      <c r="AI240" s="21" t="n">
        <f aca="false">IF($J240=0,0,MAX(0,NETWORKDAYS(MAX($K240,AI$4),MIN($L240,EOMONTH(AI$4,0)),Assumptions!$F$4:$F$44))/NETWORKDAYS($K240,$L240,Assumptions!$F$4:$F$44))</f>
        <v>0</v>
      </c>
      <c r="AJ240" s="21" t="n">
        <f aca="false">IF($J240=0,0,MAX(0,NETWORKDAYS(MAX($K240,AJ$4),MIN($L240,EOMONTH(AJ$4,0)),Assumptions!$F$4:$F$44))/NETWORKDAYS($K240,$L240,Assumptions!$F$4:$F$44))</f>
        <v>0</v>
      </c>
      <c r="AK240" s="21" t="n">
        <f aca="false">IF($J240=0,0,MAX(0,NETWORKDAYS(MAX($K240,AK$4),MIN($L240,EOMONTH(AK$4,0)),Assumptions!$F$4:$F$44))/NETWORKDAYS($K240,$L240,Assumptions!$F$4:$F$44))</f>
        <v>0</v>
      </c>
      <c r="AL240" s="21" t="n">
        <f aca="false">IF($J240=0,0,MAX(0,NETWORKDAYS(MAX($K240,AL$4),MIN($L240,EOMONTH(AL$4,0)),Assumptions!$F$4:$F$44))/NETWORKDAYS($K240,$L240,Assumptions!$F$4:$F$44))</f>
        <v>0</v>
      </c>
      <c r="AM240" s="21" t="n">
        <f aca="false">IF($J240=0,0,MAX(0,NETWORKDAYS(MAX($K240,AM$4),MIN($L240,EOMONTH(AM$4,0)),Assumptions!$F$4:$F$44))/NETWORKDAYS($K240,$L240,Assumptions!$F$4:$F$44))</f>
        <v>0</v>
      </c>
      <c r="AN240" s="21" t="n">
        <f aca="false">IF($J240=0,0,MAX(0,NETWORKDAYS(MAX($K240,AN$4),MIN($L240,EOMONTH(AN$4,0)),Assumptions!$F$4:$F$44))/NETWORKDAYS($K240,$L240,Assumptions!$F$4:$F$44))</f>
        <v>0.0769230769230769</v>
      </c>
      <c r="AO240" s="21" t="n">
        <f aca="false">IF($J240=0,0,MAX(0,NETWORKDAYS(MAX($K240,AO$4),MIN($L240,EOMONTH(AO$4,0)),Assumptions!$F$4:$F$44))/NETWORKDAYS($K240,$L240,Assumptions!$F$4:$F$44))</f>
        <v>0.923076923076923</v>
      </c>
      <c r="AP240" s="21" t="n">
        <f aca="false">IF($J240=0,0,MAX(0,NETWORKDAYS(MAX($K240,AP$4),MIN($L240,EOMONTH(AP$4,0)),Assumptions!$F$4:$F$44))/NETWORKDAYS($K240,$L240,Assumptions!$F$4:$F$44))</f>
        <v>0</v>
      </c>
      <c r="AQ240" s="21" t="n">
        <f aca="false">IF($J240=0,0,MAX(0,NETWORKDAYS(MAX($K240,AQ$4),MIN($L240,EOMONTH(AQ$4,0)),Assumptions!$F$4:$F$44))/NETWORKDAYS($K240,$L240,Assumptions!$F$4:$F$44))</f>
        <v>0</v>
      </c>
      <c r="AR240" s="21" t="n">
        <f aca="false">IF($J240=0,0,MAX(0,NETWORKDAYS(MAX($K240,AR$4),MIN($L240,EOMONTH(AR$4,0)),Assumptions!$F$4:$F$44))/NETWORKDAYS($K240,$L240,Assumptions!$F$4:$F$44))</f>
        <v>0</v>
      </c>
      <c r="AS240" s="21" t="n">
        <f aca="false">IF($J240=0,0,MAX(0,NETWORKDAYS(MAX($K240,AS$4),MIN($L240,EOMONTH(AS$4,0)),Assumptions!$F$4:$F$44))/NETWORKDAYS($K240,$L240,Assumptions!$F$4:$F$44))</f>
        <v>0</v>
      </c>
      <c r="AT240" s="21" t="n">
        <f aca="false">IF($J240=0,0,MAX(0,NETWORKDAYS(MAX($K240,AT$4),MIN($L240,EOMONTH(AT$4,0)),Assumptions!$F$4:$F$44))/NETWORKDAYS($K240,$L240,Assumptions!$F$4:$F$44))</f>
        <v>0</v>
      </c>
      <c r="AU240" s="21" t="n">
        <f aca="false">IF($J240=0,0,MAX(0,NETWORKDAYS(MAX($K240,AU$4),MIN($L240,EOMONTH(AU$4,0)),Assumptions!$F$4:$F$44))/NETWORKDAYS($K240,$L240,Assumptions!$F$4:$F$44))</f>
        <v>0</v>
      </c>
      <c r="AV240" s="21" t="n">
        <f aca="false">IF($J240=0,0,MAX(0,NETWORKDAYS(MAX($K240,AV$4),MIN($L240,EOMONTH(AV$4,0)),Assumptions!$F$4:$F$44))/NETWORKDAYS($K240,$L240,Assumptions!$F$4:$F$44))</f>
        <v>0</v>
      </c>
      <c r="AW240" s="21" t="n">
        <f aca="false">IF($J240=0,0,MAX(0,NETWORKDAYS(MAX($K240,AW$4),MIN($L240,EOMONTH(AW$4,0)),Assumptions!$F$4:$F$44))/NETWORKDAYS($K240,$L240,Assumptions!$F$4:$F$44))</f>
        <v>0</v>
      </c>
      <c r="AX240" s="21" t="n">
        <f aca="false">IF($J240=0,0,MAX(0,NETWORKDAYS(MAX($K240,AX$4),MIN($L240,EOMONTH(AX$4,0)),Assumptions!$F$4:$F$44))/NETWORKDAYS($K240,$L240,Assumptions!$F$4:$F$44))</f>
        <v>0</v>
      </c>
      <c r="AY240" s="21" t="n">
        <f aca="false">IF($J240=0,0,MAX(0,NETWORKDAYS(MAX($K240,AY$4),MIN($L240,EOMONTH(AY$4,0)),Assumptions!$F$4:$F$44))/NETWORKDAYS($K240,$L240,Assumptions!$F$4:$F$44))</f>
        <v>0</v>
      </c>
      <c r="AZ240" s="21" t="n">
        <f aca="false">IF($J240=0,0,MAX(0,NETWORKDAYS(MAX($K240,AZ$4),MIN($L240,EOMONTH(AZ$4,0)),Assumptions!$F$4:$F$44))/NETWORKDAYS($K240,$L240,Assumptions!$F$4:$F$44))</f>
        <v>0</v>
      </c>
      <c r="BA240" s="21" t="n">
        <f aca="false">IF($J240=0,0,MAX(0,NETWORKDAYS(MAX($K240,BA$4),MIN($L240,EOMONTH(BA$4,0)),Assumptions!$F$4:$F$44))/NETWORKDAYS($K240,$L240,Assumptions!$F$4:$F$44))</f>
        <v>0</v>
      </c>
      <c r="BB240" s="21" t="n">
        <f aca="false">IF($J240=0,0,MAX(0,NETWORKDAYS(MAX($K240,BB$4),MIN($L240,EOMONTH(BB$4,0)),Assumptions!$F$4:$F$44))/NETWORKDAYS($K240,$L240,Assumptions!$F$4:$F$44))</f>
        <v>0</v>
      </c>
      <c r="BC240" s="21" t="n">
        <f aca="false">IF($J240=0,0,MAX(0,NETWORKDAYS(MAX($K240,BC$4),MIN($L240,EOMONTH(BC$4,0)),Assumptions!$F$4:$F$44))/NETWORKDAYS($K240,$L240,Assumptions!$F$4:$F$44))</f>
        <v>0</v>
      </c>
    </row>
    <row r="241" customFormat="false" ht="15" hidden="false" customHeight="false" outlineLevel="1" collapsed="false">
      <c r="A241" s="22" t="n">
        <v>237</v>
      </c>
      <c r="B241" s="22" t="s">
        <v>571</v>
      </c>
      <c r="C241" s="22" t="n">
        <v>2</v>
      </c>
      <c r="D241" s="22" t="s">
        <v>89</v>
      </c>
      <c r="E241" s="23" t="s">
        <v>572</v>
      </c>
      <c r="F241" s="22" t="s">
        <v>502</v>
      </c>
      <c r="G241" s="22" t="s">
        <v>573</v>
      </c>
      <c r="H241" s="22"/>
      <c r="I241" s="22"/>
      <c r="J241" s="22" t="n">
        <f aca="false">NETWORKDAYS(K241,L241,Assumptions!$F$4:$F$44)</f>
        <v>119</v>
      </c>
      <c r="K241" s="24" t="n">
        <f aca="false">MIN(K242:K258)</f>
        <v>46450</v>
      </c>
      <c r="L241" s="24" t="n">
        <f aca="false">MAX(L242:L258)</f>
        <v>46616</v>
      </c>
      <c r="M241" s="22"/>
      <c r="N241" s="25" t="n">
        <f aca="false">SUMPRODUCT(($C$242:$C$258=3)*(N242:N258))</f>
        <v>1</v>
      </c>
      <c r="O241" s="25" t="n">
        <f aca="false">SUMPRODUCT(($C$242:$C$258=3)*(O242:O258))</f>
        <v>28</v>
      </c>
      <c r="P241" s="25" t="n">
        <f aca="false">SUMPRODUCT(($C$242:$C$258=3)*(P242:P258))</f>
        <v>8</v>
      </c>
      <c r="Q241" s="25" t="n">
        <f aca="false">SUMPRODUCT(($C$242:$C$258=3)*(Q242:Q258))</f>
        <v>138</v>
      </c>
      <c r="R241" s="25" t="n">
        <f aca="false">SUMPRODUCT(($C$242:$C$258=3)*(R242:R258))</f>
        <v>61</v>
      </c>
      <c r="S241" s="25" t="n">
        <f aca="false">SUMPRODUCT(($C$242:$C$258=3)*(S242:S258))</f>
        <v>21</v>
      </c>
      <c r="T241" s="25" t="n">
        <f aca="false">SUMPRODUCT(($C$242:$C$258=3)*(T242:T258))</f>
        <v>12</v>
      </c>
      <c r="U241" s="25" t="n">
        <f aca="false">SUMPRODUCT(($C$242:$C$258=3)*(U242:U258))</f>
        <v>0</v>
      </c>
      <c r="V241" s="25" t="n">
        <f aca="false">SUMPRODUCT(($C$242:$C$258=3)*(V242:V258))</f>
        <v>45</v>
      </c>
      <c r="W241" s="25" t="n">
        <f aca="false">SUMPRODUCT(($C$242:$C$258=3)*(W242:W258))</f>
        <v>14</v>
      </c>
      <c r="X241" s="25" t="n">
        <f aca="false">SUMPRODUCT(($C$242:$C$258=3)*(X242:X258))</f>
        <v>7</v>
      </c>
      <c r="Y241" s="25" t="n">
        <f aca="false">SUM(N241:X241)</f>
        <v>335</v>
      </c>
      <c r="Z241" s="25" t="n">
        <f aca="false">Y241*(1+Assumptions!$C$5)</f>
        <v>385.25</v>
      </c>
      <c r="AA241" s="22" t="s">
        <v>574</v>
      </c>
      <c r="AB241" s="22"/>
      <c r="AC241" s="22"/>
      <c r="AD241" s="26"/>
      <c r="AF241" s="21" t="n">
        <v>0</v>
      </c>
      <c r="AG241" s="21" t="n">
        <v>0</v>
      </c>
      <c r="AH241" s="21" t="n">
        <v>0</v>
      </c>
      <c r="AI241" s="21" t="n">
        <v>0</v>
      </c>
      <c r="AJ241" s="21" t="n">
        <v>0</v>
      </c>
      <c r="AK241" s="21" t="n">
        <v>0</v>
      </c>
      <c r="AL241" s="21" t="n">
        <v>0</v>
      </c>
      <c r="AM241" s="21" t="n">
        <v>0</v>
      </c>
      <c r="AN241" s="21" t="n">
        <v>0</v>
      </c>
      <c r="AO241" s="21" t="n">
        <v>0</v>
      </c>
      <c r="AP241" s="21" t="n">
        <v>0</v>
      </c>
      <c r="AQ241" s="21" t="n">
        <v>0</v>
      </c>
      <c r="AR241" s="21" t="n">
        <v>0</v>
      </c>
      <c r="AS241" s="21" t="n">
        <v>0</v>
      </c>
      <c r="AT241" s="21" t="n">
        <v>0</v>
      </c>
      <c r="AU241" s="21" t="n">
        <v>0</v>
      </c>
      <c r="AV241" s="21" t="n">
        <v>0</v>
      </c>
      <c r="AW241" s="21" t="n">
        <v>0</v>
      </c>
      <c r="AX241" s="21" t="n">
        <v>0</v>
      </c>
      <c r="AY241" s="21" t="n">
        <v>0</v>
      </c>
      <c r="AZ241" s="21" t="n">
        <v>0</v>
      </c>
      <c r="BA241" s="21" t="n">
        <v>0</v>
      </c>
      <c r="BB241" s="21" t="n">
        <v>0</v>
      </c>
      <c r="BC241" s="21" t="n">
        <v>0</v>
      </c>
    </row>
    <row r="242" customFormat="false" ht="15" hidden="false" customHeight="false" outlineLevel="2" collapsed="false">
      <c r="A242" s="27" t="n">
        <v>238</v>
      </c>
      <c r="B242" s="27" t="s">
        <v>575</v>
      </c>
      <c r="C242" s="27" t="n">
        <v>3</v>
      </c>
      <c r="D242" s="27" t="s">
        <v>92</v>
      </c>
      <c r="E242" s="28" t="s">
        <v>292</v>
      </c>
      <c r="F242" s="27" t="s">
        <v>502</v>
      </c>
      <c r="G242" s="27" t="s">
        <v>573</v>
      </c>
      <c r="H242" s="27" t="s">
        <v>43</v>
      </c>
      <c r="I242" s="29" t="n">
        <v>88</v>
      </c>
      <c r="J242" s="29" t="n">
        <v>16</v>
      </c>
      <c r="K242" s="30" t="n">
        <f aca="false">WORKDAY(Assumptions!$C$4,I242,Assumptions!$F$4:$F$44)</f>
        <v>46450</v>
      </c>
      <c r="L242" s="30" t="n">
        <f aca="false">IF(J242=0,K242,WORKDAY(K242,J242-1,Assumptions!$F$4:$F$44))</f>
        <v>46471</v>
      </c>
      <c r="M242" s="29" t="s">
        <v>515</v>
      </c>
      <c r="N242" s="31" t="n">
        <v>1</v>
      </c>
      <c r="O242" s="31" t="n">
        <v>9</v>
      </c>
      <c r="P242" s="31" t="n">
        <v>2</v>
      </c>
      <c r="Q242" s="31" t="n">
        <v>0</v>
      </c>
      <c r="R242" s="31" t="n">
        <v>0</v>
      </c>
      <c r="S242" s="31" t="n">
        <v>0</v>
      </c>
      <c r="T242" s="31" t="n">
        <v>0</v>
      </c>
      <c r="U242" s="31" t="n">
        <v>0</v>
      </c>
      <c r="V242" s="31" t="n">
        <v>0</v>
      </c>
      <c r="W242" s="31" t="n">
        <v>0</v>
      </c>
      <c r="X242" s="31" t="n">
        <v>0</v>
      </c>
      <c r="Y242" s="32" t="n">
        <f aca="false">SUM(N242:X242)</f>
        <v>12</v>
      </c>
      <c r="Z242" s="32" t="n">
        <f aca="false">Y242*(1+Assumptions!$C$5)</f>
        <v>13.8</v>
      </c>
      <c r="AA242" s="27" t="s">
        <v>294</v>
      </c>
      <c r="AB242" s="27" t="s">
        <v>95</v>
      </c>
      <c r="AC242" s="27"/>
      <c r="AD242" s="33" t="n">
        <v>0</v>
      </c>
      <c r="AF242" s="21" t="n">
        <f aca="false">IF($J242=0,0,MAX(0,NETWORKDAYS(MAX($K242,AF$4),MIN($L242,EOMONTH(AF$4,0)),Assumptions!$F$4:$F$44))/NETWORKDAYS($K242,$L242,Assumptions!$F$4:$F$44))</f>
        <v>0</v>
      </c>
      <c r="AG242" s="21" t="n">
        <f aca="false">IF($J242=0,0,MAX(0,NETWORKDAYS(MAX($K242,AG$4),MIN($L242,EOMONTH(AG$4,0)),Assumptions!$F$4:$F$44))/NETWORKDAYS($K242,$L242,Assumptions!$F$4:$F$44))</f>
        <v>0</v>
      </c>
      <c r="AH242" s="21" t="n">
        <f aca="false">IF($J242=0,0,MAX(0,NETWORKDAYS(MAX($K242,AH$4),MIN($L242,EOMONTH(AH$4,0)),Assumptions!$F$4:$F$44))/NETWORKDAYS($K242,$L242,Assumptions!$F$4:$F$44))</f>
        <v>0</v>
      </c>
      <c r="AI242" s="21" t="n">
        <f aca="false">IF($J242=0,0,MAX(0,NETWORKDAYS(MAX($K242,AI$4),MIN($L242,EOMONTH(AI$4,0)),Assumptions!$F$4:$F$44))/NETWORKDAYS($K242,$L242,Assumptions!$F$4:$F$44))</f>
        <v>0</v>
      </c>
      <c r="AJ242" s="21" t="n">
        <f aca="false">IF($J242=0,0,MAX(0,NETWORKDAYS(MAX($K242,AJ$4),MIN($L242,EOMONTH(AJ$4,0)),Assumptions!$F$4:$F$44))/NETWORKDAYS($K242,$L242,Assumptions!$F$4:$F$44))</f>
        <v>1</v>
      </c>
      <c r="AK242" s="21" t="n">
        <f aca="false">IF($J242=0,0,MAX(0,NETWORKDAYS(MAX($K242,AK$4),MIN($L242,EOMONTH(AK$4,0)),Assumptions!$F$4:$F$44))/NETWORKDAYS($K242,$L242,Assumptions!$F$4:$F$44))</f>
        <v>0</v>
      </c>
      <c r="AL242" s="21" t="n">
        <f aca="false">IF($J242=0,0,MAX(0,NETWORKDAYS(MAX($K242,AL$4),MIN($L242,EOMONTH(AL$4,0)),Assumptions!$F$4:$F$44))/NETWORKDAYS($K242,$L242,Assumptions!$F$4:$F$44))</f>
        <v>0</v>
      </c>
      <c r="AM242" s="21" t="n">
        <f aca="false">IF($J242=0,0,MAX(0,NETWORKDAYS(MAX($K242,AM$4),MIN($L242,EOMONTH(AM$4,0)),Assumptions!$F$4:$F$44))/NETWORKDAYS($K242,$L242,Assumptions!$F$4:$F$44))</f>
        <v>0</v>
      </c>
      <c r="AN242" s="21" t="n">
        <f aca="false">IF($J242=0,0,MAX(0,NETWORKDAYS(MAX($K242,AN$4),MIN($L242,EOMONTH(AN$4,0)),Assumptions!$F$4:$F$44))/NETWORKDAYS($K242,$L242,Assumptions!$F$4:$F$44))</f>
        <v>0</v>
      </c>
      <c r="AO242" s="21" t="n">
        <f aca="false">IF($J242=0,0,MAX(0,NETWORKDAYS(MAX($K242,AO$4),MIN($L242,EOMONTH(AO$4,0)),Assumptions!$F$4:$F$44))/NETWORKDAYS($K242,$L242,Assumptions!$F$4:$F$44))</f>
        <v>0</v>
      </c>
      <c r="AP242" s="21" t="n">
        <f aca="false">IF($J242=0,0,MAX(0,NETWORKDAYS(MAX($K242,AP$4),MIN($L242,EOMONTH(AP$4,0)),Assumptions!$F$4:$F$44))/NETWORKDAYS($K242,$L242,Assumptions!$F$4:$F$44))</f>
        <v>0</v>
      </c>
      <c r="AQ242" s="21" t="n">
        <f aca="false">IF($J242=0,0,MAX(0,NETWORKDAYS(MAX($K242,AQ$4),MIN($L242,EOMONTH(AQ$4,0)),Assumptions!$F$4:$F$44))/NETWORKDAYS($K242,$L242,Assumptions!$F$4:$F$44))</f>
        <v>0</v>
      </c>
      <c r="AR242" s="21" t="n">
        <f aca="false">IF($J242=0,0,MAX(0,NETWORKDAYS(MAX($K242,AR$4),MIN($L242,EOMONTH(AR$4,0)),Assumptions!$F$4:$F$44))/NETWORKDAYS($K242,$L242,Assumptions!$F$4:$F$44))</f>
        <v>0</v>
      </c>
      <c r="AS242" s="21" t="n">
        <f aca="false">IF($J242=0,0,MAX(0,NETWORKDAYS(MAX($K242,AS$4),MIN($L242,EOMONTH(AS$4,0)),Assumptions!$F$4:$F$44))/NETWORKDAYS($K242,$L242,Assumptions!$F$4:$F$44))</f>
        <v>0</v>
      </c>
      <c r="AT242" s="21" t="n">
        <f aca="false">IF($J242=0,0,MAX(0,NETWORKDAYS(MAX($K242,AT$4),MIN($L242,EOMONTH(AT$4,0)),Assumptions!$F$4:$F$44))/NETWORKDAYS($K242,$L242,Assumptions!$F$4:$F$44))</f>
        <v>0</v>
      </c>
      <c r="AU242" s="21" t="n">
        <f aca="false">IF($J242=0,0,MAX(0,NETWORKDAYS(MAX($K242,AU$4),MIN($L242,EOMONTH(AU$4,0)),Assumptions!$F$4:$F$44))/NETWORKDAYS($K242,$L242,Assumptions!$F$4:$F$44))</f>
        <v>0</v>
      </c>
      <c r="AV242" s="21" t="n">
        <f aca="false">IF($J242=0,0,MAX(0,NETWORKDAYS(MAX($K242,AV$4),MIN($L242,EOMONTH(AV$4,0)),Assumptions!$F$4:$F$44))/NETWORKDAYS($K242,$L242,Assumptions!$F$4:$F$44))</f>
        <v>0</v>
      </c>
      <c r="AW242" s="21" t="n">
        <f aca="false">IF($J242=0,0,MAX(0,NETWORKDAYS(MAX($K242,AW$4),MIN($L242,EOMONTH(AW$4,0)),Assumptions!$F$4:$F$44))/NETWORKDAYS($K242,$L242,Assumptions!$F$4:$F$44))</f>
        <v>0</v>
      </c>
      <c r="AX242" s="21" t="n">
        <f aca="false">IF($J242=0,0,MAX(0,NETWORKDAYS(MAX($K242,AX$4),MIN($L242,EOMONTH(AX$4,0)),Assumptions!$F$4:$F$44))/NETWORKDAYS($K242,$L242,Assumptions!$F$4:$F$44))</f>
        <v>0</v>
      </c>
      <c r="AY242" s="21" t="n">
        <f aca="false">IF($J242=0,0,MAX(0,NETWORKDAYS(MAX($K242,AY$4),MIN($L242,EOMONTH(AY$4,0)),Assumptions!$F$4:$F$44))/NETWORKDAYS($K242,$L242,Assumptions!$F$4:$F$44))</f>
        <v>0</v>
      </c>
      <c r="AZ242" s="21" t="n">
        <f aca="false">IF($J242=0,0,MAX(0,NETWORKDAYS(MAX($K242,AZ$4),MIN($L242,EOMONTH(AZ$4,0)),Assumptions!$F$4:$F$44))/NETWORKDAYS($K242,$L242,Assumptions!$F$4:$F$44))</f>
        <v>0</v>
      </c>
      <c r="BA242" s="21" t="n">
        <f aca="false">IF($J242=0,0,MAX(0,NETWORKDAYS(MAX($K242,BA$4),MIN($L242,EOMONTH(BA$4,0)),Assumptions!$F$4:$F$44))/NETWORKDAYS($K242,$L242,Assumptions!$F$4:$F$44))</f>
        <v>0</v>
      </c>
      <c r="BB242" s="21" t="n">
        <f aca="false">IF($J242=0,0,MAX(0,NETWORKDAYS(MAX($K242,BB$4),MIN($L242,EOMONTH(BB$4,0)),Assumptions!$F$4:$F$44))/NETWORKDAYS($K242,$L242,Assumptions!$F$4:$F$44))</f>
        <v>0</v>
      </c>
      <c r="BC242" s="21" t="n">
        <f aca="false">IF($J242=0,0,MAX(0,NETWORKDAYS(MAX($K242,BC$4),MIN($L242,EOMONTH(BC$4,0)),Assumptions!$F$4:$F$44))/NETWORKDAYS($K242,$L242,Assumptions!$F$4:$F$44))</f>
        <v>0</v>
      </c>
    </row>
    <row r="243" customFormat="false" ht="15" hidden="false" customHeight="false" outlineLevel="2" collapsed="false">
      <c r="A243" s="27" t="n">
        <v>239</v>
      </c>
      <c r="B243" s="27" t="s">
        <v>576</v>
      </c>
      <c r="C243" s="27" t="n">
        <v>3</v>
      </c>
      <c r="D243" s="27" t="s">
        <v>92</v>
      </c>
      <c r="E243" s="28" t="s">
        <v>296</v>
      </c>
      <c r="F243" s="27" t="s">
        <v>502</v>
      </c>
      <c r="G243" s="27" t="s">
        <v>573</v>
      </c>
      <c r="H243" s="27" t="s">
        <v>45</v>
      </c>
      <c r="I243" s="29" t="n">
        <v>99</v>
      </c>
      <c r="J243" s="29" t="n">
        <v>16</v>
      </c>
      <c r="K243" s="30" t="n">
        <f aca="false">WORKDAY(Assumptions!$C$4,I243,Assumptions!$F$4:$F$44)</f>
        <v>46465</v>
      </c>
      <c r="L243" s="30" t="n">
        <f aca="false">IF(J243=0,K243,WORKDAY(K243,J243-1,Assumptions!$F$4:$F$44))</f>
        <v>46486</v>
      </c>
      <c r="M243" s="29" t="s">
        <v>577</v>
      </c>
      <c r="N243" s="31" t="n">
        <v>0</v>
      </c>
      <c r="O243" s="31" t="n">
        <v>0</v>
      </c>
      <c r="P243" s="31" t="n">
        <v>6</v>
      </c>
      <c r="Q243" s="31" t="n">
        <v>6</v>
      </c>
      <c r="R243" s="31" t="n">
        <v>0</v>
      </c>
      <c r="S243" s="31" t="n">
        <v>0</v>
      </c>
      <c r="T243" s="31" t="n">
        <v>0</v>
      </c>
      <c r="U243" s="31" t="n">
        <v>0</v>
      </c>
      <c r="V243" s="31" t="n">
        <v>0</v>
      </c>
      <c r="W243" s="31" t="n">
        <v>0</v>
      </c>
      <c r="X243" s="31" t="n">
        <v>0</v>
      </c>
      <c r="Y243" s="32" t="n">
        <f aca="false">SUM(N243:X243)</f>
        <v>12</v>
      </c>
      <c r="Z243" s="32" t="n">
        <f aca="false">Y243*(1+Assumptions!$C$5)</f>
        <v>13.8</v>
      </c>
      <c r="AA243" s="27" t="s">
        <v>298</v>
      </c>
      <c r="AB243" s="27" t="s">
        <v>95</v>
      </c>
      <c r="AC243" s="27"/>
      <c r="AD243" s="33" t="n">
        <v>0</v>
      </c>
      <c r="AF243" s="21" t="n">
        <f aca="false">IF($J243=0,0,MAX(0,NETWORKDAYS(MAX($K243,AF$4),MIN($L243,EOMONTH(AF$4,0)),Assumptions!$F$4:$F$44))/NETWORKDAYS($K243,$L243,Assumptions!$F$4:$F$44))</f>
        <v>0</v>
      </c>
      <c r="AG243" s="21" t="n">
        <f aca="false">IF($J243=0,0,MAX(0,NETWORKDAYS(MAX($K243,AG$4),MIN($L243,EOMONTH(AG$4,0)),Assumptions!$F$4:$F$44))/NETWORKDAYS($K243,$L243,Assumptions!$F$4:$F$44))</f>
        <v>0</v>
      </c>
      <c r="AH243" s="21" t="n">
        <f aca="false">IF($J243=0,0,MAX(0,NETWORKDAYS(MAX($K243,AH$4),MIN($L243,EOMONTH(AH$4,0)),Assumptions!$F$4:$F$44))/NETWORKDAYS($K243,$L243,Assumptions!$F$4:$F$44))</f>
        <v>0</v>
      </c>
      <c r="AI243" s="21" t="n">
        <f aca="false">IF($J243=0,0,MAX(0,NETWORKDAYS(MAX($K243,AI$4),MIN($L243,EOMONTH(AI$4,0)),Assumptions!$F$4:$F$44))/NETWORKDAYS($K243,$L243,Assumptions!$F$4:$F$44))</f>
        <v>0</v>
      </c>
      <c r="AJ243" s="21" t="n">
        <f aca="false">IF($J243=0,0,MAX(0,NETWORKDAYS(MAX($K243,AJ$4),MIN($L243,EOMONTH(AJ$4,0)),Assumptions!$F$4:$F$44))/NETWORKDAYS($K243,$L243,Assumptions!$F$4:$F$44))</f>
        <v>0.5625</v>
      </c>
      <c r="AK243" s="21" t="n">
        <f aca="false">IF($J243=0,0,MAX(0,NETWORKDAYS(MAX($K243,AK$4),MIN($L243,EOMONTH(AK$4,0)),Assumptions!$F$4:$F$44))/NETWORKDAYS($K243,$L243,Assumptions!$F$4:$F$44))</f>
        <v>0.4375</v>
      </c>
      <c r="AL243" s="21" t="n">
        <f aca="false">IF($J243=0,0,MAX(0,NETWORKDAYS(MAX($K243,AL$4),MIN($L243,EOMONTH(AL$4,0)),Assumptions!$F$4:$F$44))/NETWORKDAYS($K243,$L243,Assumptions!$F$4:$F$44))</f>
        <v>0</v>
      </c>
      <c r="AM243" s="21" t="n">
        <f aca="false">IF($J243=0,0,MAX(0,NETWORKDAYS(MAX($K243,AM$4),MIN($L243,EOMONTH(AM$4,0)),Assumptions!$F$4:$F$44))/NETWORKDAYS($K243,$L243,Assumptions!$F$4:$F$44))</f>
        <v>0</v>
      </c>
      <c r="AN243" s="21" t="n">
        <f aca="false">IF($J243=0,0,MAX(0,NETWORKDAYS(MAX($K243,AN$4),MIN($L243,EOMONTH(AN$4,0)),Assumptions!$F$4:$F$44))/NETWORKDAYS($K243,$L243,Assumptions!$F$4:$F$44))</f>
        <v>0</v>
      </c>
      <c r="AO243" s="21" t="n">
        <f aca="false">IF($J243=0,0,MAX(0,NETWORKDAYS(MAX($K243,AO$4),MIN($L243,EOMONTH(AO$4,0)),Assumptions!$F$4:$F$44))/NETWORKDAYS($K243,$L243,Assumptions!$F$4:$F$44))</f>
        <v>0</v>
      </c>
      <c r="AP243" s="21" t="n">
        <f aca="false">IF($J243=0,0,MAX(0,NETWORKDAYS(MAX($K243,AP$4),MIN($L243,EOMONTH(AP$4,0)),Assumptions!$F$4:$F$44))/NETWORKDAYS($K243,$L243,Assumptions!$F$4:$F$44))</f>
        <v>0</v>
      </c>
      <c r="AQ243" s="21" t="n">
        <f aca="false">IF($J243=0,0,MAX(0,NETWORKDAYS(MAX($K243,AQ$4),MIN($L243,EOMONTH(AQ$4,0)),Assumptions!$F$4:$F$44))/NETWORKDAYS($K243,$L243,Assumptions!$F$4:$F$44))</f>
        <v>0</v>
      </c>
      <c r="AR243" s="21" t="n">
        <f aca="false">IF($J243=0,0,MAX(0,NETWORKDAYS(MAX($K243,AR$4),MIN($L243,EOMONTH(AR$4,0)),Assumptions!$F$4:$F$44))/NETWORKDAYS($K243,$L243,Assumptions!$F$4:$F$44))</f>
        <v>0</v>
      </c>
      <c r="AS243" s="21" t="n">
        <f aca="false">IF($J243=0,0,MAX(0,NETWORKDAYS(MAX($K243,AS$4),MIN($L243,EOMONTH(AS$4,0)),Assumptions!$F$4:$F$44))/NETWORKDAYS($K243,$L243,Assumptions!$F$4:$F$44))</f>
        <v>0</v>
      </c>
      <c r="AT243" s="21" t="n">
        <f aca="false">IF($J243=0,0,MAX(0,NETWORKDAYS(MAX($K243,AT$4),MIN($L243,EOMONTH(AT$4,0)),Assumptions!$F$4:$F$44))/NETWORKDAYS($K243,$L243,Assumptions!$F$4:$F$44))</f>
        <v>0</v>
      </c>
      <c r="AU243" s="21" t="n">
        <f aca="false">IF($J243=0,0,MAX(0,NETWORKDAYS(MAX($K243,AU$4),MIN($L243,EOMONTH(AU$4,0)),Assumptions!$F$4:$F$44))/NETWORKDAYS($K243,$L243,Assumptions!$F$4:$F$44))</f>
        <v>0</v>
      </c>
      <c r="AV243" s="21" t="n">
        <f aca="false">IF($J243=0,0,MAX(0,NETWORKDAYS(MAX($K243,AV$4),MIN($L243,EOMONTH(AV$4,0)),Assumptions!$F$4:$F$44))/NETWORKDAYS($K243,$L243,Assumptions!$F$4:$F$44))</f>
        <v>0</v>
      </c>
      <c r="AW243" s="21" t="n">
        <f aca="false">IF($J243=0,0,MAX(0,NETWORKDAYS(MAX($K243,AW$4),MIN($L243,EOMONTH(AW$4,0)),Assumptions!$F$4:$F$44))/NETWORKDAYS($K243,$L243,Assumptions!$F$4:$F$44))</f>
        <v>0</v>
      </c>
      <c r="AX243" s="21" t="n">
        <f aca="false">IF($J243=0,0,MAX(0,NETWORKDAYS(MAX($K243,AX$4),MIN($L243,EOMONTH(AX$4,0)),Assumptions!$F$4:$F$44))/NETWORKDAYS($K243,$L243,Assumptions!$F$4:$F$44))</f>
        <v>0</v>
      </c>
      <c r="AY243" s="21" t="n">
        <f aca="false">IF($J243=0,0,MAX(0,NETWORKDAYS(MAX($K243,AY$4),MIN($L243,EOMONTH(AY$4,0)),Assumptions!$F$4:$F$44))/NETWORKDAYS($K243,$L243,Assumptions!$F$4:$F$44))</f>
        <v>0</v>
      </c>
      <c r="AZ243" s="21" t="n">
        <f aca="false">IF($J243=0,0,MAX(0,NETWORKDAYS(MAX($K243,AZ$4),MIN($L243,EOMONTH(AZ$4,0)),Assumptions!$F$4:$F$44))/NETWORKDAYS($K243,$L243,Assumptions!$F$4:$F$44))</f>
        <v>0</v>
      </c>
      <c r="BA243" s="21" t="n">
        <f aca="false">IF($J243=0,0,MAX(0,NETWORKDAYS(MAX($K243,BA$4),MIN($L243,EOMONTH(BA$4,0)),Assumptions!$F$4:$F$44))/NETWORKDAYS($K243,$L243,Assumptions!$F$4:$F$44))</f>
        <v>0</v>
      </c>
      <c r="BB243" s="21" t="n">
        <f aca="false">IF($J243=0,0,MAX(0,NETWORKDAYS(MAX($K243,BB$4),MIN($L243,EOMONTH(BB$4,0)),Assumptions!$F$4:$F$44))/NETWORKDAYS($K243,$L243,Assumptions!$F$4:$F$44))</f>
        <v>0</v>
      </c>
      <c r="BC243" s="21" t="n">
        <f aca="false">IF($J243=0,0,MAX(0,NETWORKDAYS(MAX($K243,BC$4),MIN($L243,EOMONTH(BC$4,0)),Assumptions!$F$4:$F$44))/NETWORKDAYS($K243,$L243,Assumptions!$F$4:$F$44))</f>
        <v>0</v>
      </c>
    </row>
    <row r="244" customFormat="false" ht="15" hidden="false" customHeight="false" outlineLevel="2" collapsed="false">
      <c r="A244" s="27" t="n">
        <v>240</v>
      </c>
      <c r="B244" s="27" t="s">
        <v>578</v>
      </c>
      <c r="C244" s="27" t="n">
        <v>3</v>
      </c>
      <c r="D244" s="27" t="s">
        <v>92</v>
      </c>
      <c r="E244" s="28" t="s">
        <v>300</v>
      </c>
      <c r="F244" s="27" t="s">
        <v>502</v>
      </c>
      <c r="G244" s="27" t="s">
        <v>573</v>
      </c>
      <c r="H244" s="27" t="s">
        <v>49</v>
      </c>
      <c r="I244" s="29" t="n">
        <v>99</v>
      </c>
      <c r="J244" s="29" t="n">
        <v>16</v>
      </c>
      <c r="K244" s="30" t="n">
        <f aca="false">WORKDAY(Assumptions!$C$4,I244,Assumptions!$F$4:$F$44)</f>
        <v>46465</v>
      </c>
      <c r="L244" s="30" t="n">
        <f aca="false">IF(J244=0,K244,WORKDAY(K244,J244-1,Assumptions!$F$4:$F$44))</f>
        <v>46486</v>
      </c>
      <c r="M244" s="29" t="s">
        <v>577</v>
      </c>
      <c r="N244" s="31" t="n">
        <v>0</v>
      </c>
      <c r="O244" s="31" t="n">
        <v>2</v>
      </c>
      <c r="P244" s="31" t="n">
        <v>0</v>
      </c>
      <c r="Q244" s="31" t="n">
        <v>0</v>
      </c>
      <c r="R244" s="31" t="n">
        <v>7</v>
      </c>
      <c r="S244" s="31" t="n">
        <v>0</v>
      </c>
      <c r="T244" s="31" t="n">
        <v>0</v>
      </c>
      <c r="U244" s="31" t="n">
        <v>0</v>
      </c>
      <c r="V244" s="31" t="n">
        <v>0</v>
      </c>
      <c r="W244" s="31" t="n">
        <v>0</v>
      </c>
      <c r="X244" s="31" t="n">
        <v>0</v>
      </c>
      <c r="Y244" s="32" t="n">
        <f aca="false">SUM(N244:X244)</f>
        <v>9</v>
      </c>
      <c r="Z244" s="32" t="n">
        <f aca="false">Y244*(1+Assumptions!$C$5)</f>
        <v>10.35</v>
      </c>
      <c r="AA244" s="27" t="s">
        <v>301</v>
      </c>
      <c r="AB244" s="27" t="s">
        <v>95</v>
      </c>
      <c r="AC244" s="27"/>
      <c r="AD244" s="33" t="n">
        <v>0</v>
      </c>
      <c r="AF244" s="21" t="n">
        <f aca="false">IF($J244=0,0,MAX(0,NETWORKDAYS(MAX($K244,AF$4),MIN($L244,EOMONTH(AF$4,0)),Assumptions!$F$4:$F$44))/NETWORKDAYS($K244,$L244,Assumptions!$F$4:$F$44))</f>
        <v>0</v>
      </c>
      <c r="AG244" s="21" t="n">
        <f aca="false">IF($J244=0,0,MAX(0,NETWORKDAYS(MAX($K244,AG$4),MIN($L244,EOMONTH(AG$4,0)),Assumptions!$F$4:$F$44))/NETWORKDAYS($K244,$L244,Assumptions!$F$4:$F$44))</f>
        <v>0</v>
      </c>
      <c r="AH244" s="21" t="n">
        <f aca="false">IF($J244=0,0,MAX(0,NETWORKDAYS(MAX($K244,AH$4),MIN($L244,EOMONTH(AH$4,0)),Assumptions!$F$4:$F$44))/NETWORKDAYS($K244,$L244,Assumptions!$F$4:$F$44))</f>
        <v>0</v>
      </c>
      <c r="AI244" s="21" t="n">
        <f aca="false">IF($J244=0,0,MAX(0,NETWORKDAYS(MAX($K244,AI$4),MIN($L244,EOMONTH(AI$4,0)),Assumptions!$F$4:$F$44))/NETWORKDAYS($K244,$L244,Assumptions!$F$4:$F$44))</f>
        <v>0</v>
      </c>
      <c r="AJ244" s="21" t="n">
        <f aca="false">IF($J244=0,0,MAX(0,NETWORKDAYS(MAX($K244,AJ$4),MIN($L244,EOMONTH(AJ$4,0)),Assumptions!$F$4:$F$44))/NETWORKDAYS($K244,$L244,Assumptions!$F$4:$F$44))</f>
        <v>0.5625</v>
      </c>
      <c r="AK244" s="21" t="n">
        <f aca="false">IF($J244=0,0,MAX(0,NETWORKDAYS(MAX($K244,AK$4),MIN($L244,EOMONTH(AK$4,0)),Assumptions!$F$4:$F$44))/NETWORKDAYS($K244,$L244,Assumptions!$F$4:$F$44))</f>
        <v>0.4375</v>
      </c>
      <c r="AL244" s="21" t="n">
        <f aca="false">IF($J244=0,0,MAX(0,NETWORKDAYS(MAX($K244,AL$4),MIN($L244,EOMONTH(AL$4,0)),Assumptions!$F$4:$F$44))/NETWORKDAYS($K244,$L244,Assumptions!$F$4:$F$44))</f>
        <v>0</v>
      </c>
      <c r="AM244" s="21" t="n">
        <f aca="false">IF($J244=0,0,MAX(0,NETWORKDAYS(MAX($K244,AM$4),MIN($L244,EOMONTH(AM$4,0)),Assumptions!$F$4:$F$44))/NETWORKDAYS($K244,$L244,Assumptions!$F$4:$F$44))</f>
        <v>0</v>
      </c>
      <c r="AN244" s="21" t="n">
        <f aca="false">IF($J244=0,0,MAX(0,NETWORKDAYS(MAX($K244,AN$4),MIN($L244,EOMONTH(AN$4,0)),Assumptions!$F$4:$F$44))/NETWORKDAYS($K244,$L244,Assumptions!$F$4:$F$44))</f>
        <v>0</v>
      </c>
      <c r="AO244" s="21" t="n">
        <f aca="false">IF($J244=0,0,MAX(0,NETWORKDAYS(MAX($K244,AO$4),MIN($L244,EOMONTH(AO$4,0)),Assumptions!$F$4:$F$44))/NETWORKDAYS($K244,$L244,Assumptions!$F$4:$F$44))</f>
        <v>0</v>
      </c>
      <c r="AP244" s="21" t="n">
        <f aca="false">IF($J244=0,0,MAX(0,NETWORKDAYS(MAX($K244,AP$4),MIN($L244,EOMONTH(AP$4,0)),Assumptions!$F$4:$F$44))/NETWORKDAYS($K244,$L244,Assumptions!$F$4:$F$44))</f>
        <v>0</v>
      </c>
      <c r="AQ244" s="21" t="n">
        <f aca="false">IF($J244=0,0,MAX(0,NETWORKDAYS(MAX($K244,AQ$4),MIN($L244,EOMONTH(AQ$4,0)),Assumptions!$F$4:$F$44))/NETWORKDAYS($K244,$L244,Assumptions!$F$4:$F$44))</f>
        <v>0</v>
      </c>
      <c r="AR244" s="21" t="n">
        <f aca="false">IF($J244=0,0,MAX(0,NETWORKDAYS(MAX($K244,AR$4),MIN($L244,EOMONTH(AR$4,0)),Assumptions!$F$4:$F$44))/NETWORKDAYS($K244,$L244,Assumptions!$F$4:$F$44))</f>
        <v>0</v>
      </c>
      <c r="AS244" s="21" t="n">
        <f aca="false">IF($J244=0,0,MAX(0,NETWORKDAYS(MAX($K244,AS$4),MIN($L244,EOMONTH(AS$4,0)),Assumptions!$F$4:$F$44))/NETWORKDAYS($K244,$L244,Assumptions!$F$4:$F$44))</f>
        <v>0</v>
      </c>
      <c r="AT244" s="21" t="n">
        <f aca="false">IF($J244=0,0,MAX(0,NETWORKDAYS(MAX($K244,AT$4),MIN($L244,EOMONTH(AT$4,0)),Assumptions!$F$4:$F$44))/NETWORKDAYS($K244,$L244,Assumptions!$F$4:$F$44))</f>
        <v>0</v>
      </c>
      <c r="AU244" s="21" t="n">
        <f aca="false">IF($J244=0,0,MAX(0,NETWORKDAYS(MAX($K244,AU$4),MIN($L244,EOMONTH(AU$4,0)),Assumptions!$F$4:$F$44))/NETWORKDAYS($K244,$L244,Assumptions!$F$4:$F$44))</f>
        <v>0</v>
      </c>
      <c r="AV244" s="21" t="n">
        <f aca="false">IF($J244=0,0,MAX(0,NETWORKDAYS(MAX($K244,AV$4),MIN($L244,EOMONTH(AV$4,0)),Assumptions!$F$4:$F$44))/NETWORKDAYS($K244,$L244,Assumptions!$F$4:$F$44))</f>
        <v>0</v>
      </c>
      <c r="AW244" s="21" t="n">
        <f aca="false">IF($J244=0,0,MAX(0,NETWORKDAYS(MAX($K244,AW$4),MIN($L244,EOMONTH(AW$4,0)),Assumptions!$F$4:$F$44))/NETWORKDAYS($K244,$L244,Assumptions!$F$4:$F$44))</f>
        <v>0</v>
      </c>
      <c r="AX244" s="21" t="n">
        <f aca="false">IF($J244=0,0,MAX(0,NETWORKDAYS(MAX($K244,AX$4),MIN($L244,EOMONTH(AX$4,0)),Assumptions!$F$4:$F$44))/NETWORKDAYS($K244,$L244,Assumptions!$F$4:$F$44))</f>
        <v>0</v>
      </c>
      <c r="AY244" s="21" t="n">
        <f aca="false">IF($J244=0,0,MAX(0,NETWORKDAYS(MAX($K244,AY$4),MIN($L244,EOMONTH(AY$4,0)),Assumptions!$F$4:$F$44))/NETWORKDAYS($K244,$L244,Assumptions!$F$4:$F$44))</f>
        <v>0</v>
      </c>
      <c r="AZ244" s="21" t="n">
        <f aca="false">IF($J244=0,0,MAX(0,NETWORKDAYS(MAX($K244,AZ$4),MIN($L244,EOMONTH(AZ$4,0)),Assumptions!$F$4:$F$44))/NETWORKDAYS($K244,$L244,Assumptions!$F$4:$F$44))</f>
        <v>0</v>
      </c>
      <c r="BA244" s="21" t="n">
        <f aca="false">IF($J244=0,0,MAX(0,NETWORKDAYS(MAX($K244,BA$4),MIN($L244,EOMONTH(BA$4,0)),Assumptions!$F$4:$F$44))/NETWORKDAYS($K244,$L244,Assumptions!$F$4:$F$44))</f>
        <v>0</v>
      </c>
      <c r="BB244" s="21" t="n">
        <f aca="false">IF($J244=0,0,MAX(0,NETWORKDAYS(MAX($K244,BB$4),MIN($L244,EOMONTH(BB$4,0)),Assumptions!$F$4:$F$44))/NETWORKDAYS($K244,$L244,Assumptions!$F$4:$F$44))</f>
        <v>0</v>
      </c>
      <c r="BC244" s="21" t="n">
        <f aca="false">IF($J244=0,0,MAX(0,NETWORKDAYS(MAX($K244,BC$4),MIN($L244,EOMONTH(BC$4,0)),Assumptions!$F$4:$F$44))/NETWORKDAYS($K244,$L244,Assumptions!$F$4:$F$44))</f>
        <v>0</v>
      </c>
    </row>
    <row r="245" customFormat="false" ht="15" hidden="false" customHeight="false" outlineLevel="2" collapsed="false">
      <c r="A245" s="27" t="n">
        <v>241</v>
      </c>
      <c r="B245" s="27" t="s">
        <v>579</v>
      </c>
      <c r="C245" s="27" t="n">
        <v>3</v>
      </c>
      <c r="D245" s="27" t="s">
        <v>92</v>
      </c>
      <c r="E245" s="28" t="s">
        <v>303</v>
      </c>
      <c r="F245" s="27" t="s">
        <v>502</v>
      </c>
      <c r="G245" s="27" t="s">
        <v>573</v>
      </c>
      <c r="H245" s="27" t="s">
        <v>47</v>
      </c>
      <c r="I245" s="29" t="n">
        <v>112</v>
      </c>
      <c r="J245" s="29" t="n">
        <v>55</v>
      </c>
      <c r="K245" s="30" t="n">
        <f aca="false">WORKDAY(Assumptions!$C$4,I245,Assumptions!$F$4:$F$44)</f>
        <v>46484</v>
      </c>
      <c r="L245" s="30" t="n">
        <f aca="false">IF(J245=0,K245,WORKDAY(K245,J245-1,Assumptions!$F$4:$F$44))</f>
        <v>46560</v>
      </c>
      <c r="M245" s="29" t="s">
        <v>580</v>
      </c>
      <c r="N245" s="31" t="n">
        <v>0</v>
      </c>
      <c r="O245" s="31" t="n">
        <v>0</v>
      </c>
      <c r="P245" s="31" t="n">
        <v>0</v>
      </c>
      <c r="Q245" s="31" t="n">
        <v>35</v>
      </c>
      <c r="R245" s="31" t="n">
        <v>0</v>
      </c>
      <c r="S245" s="31" t="n">
        <v>0</v>
      </c>
      <c r="T245" s="31" t="n">
        <v>0</v>
      </c>
      <c r="U245" s="31" t="n">
        <v>0</v>
      </c>
      <c r="V245" s="31" t="n">
        <v>0</v>
      </c>
      <c r="W245" s="31" t="n">
        <v>0</v>
      </c>
      <c r="X245" s="31" t="n">
        <v>0</v>
      </c>
      <c r="Y245" s="32" t="n">
        <f aca="false">SUM(N245:X245)</f>
        <v>35</v>
      </c>
      <c r="Z245" s="32" t="n">
        <f aca="false">Y245*(1+Assumptions!$C$5)</f>
        <v>40.25</v>
      </c>
      <c r="AA245" s="27" t="s">
        <v>305</v>
      </c>
      <c r="AB245" s="27" t="s">
        <v>95</v>
      </c>
      <c r="AC245" s="27"/>
      <c r="AD245" s="33" t="n">
        <v>0</v>
      </c>
      <c r="AF245" s="21" t="n">
        <f aca="false">IF($J245=0,0,MAX(0,NETWORKDAYS(MAX($K245,AF$4),MIN($L245,EOMONTH(AF$4,0)),Assumptions!$F$4:$F$44))/NETWORKDAYS($K245,$L245,Assumptions!$F$4:$F$44))</f>
        <v>0</v>
      </c>
      <c r="AG245" s="21" t="n">
        <f aca="false">IF($J245=0,0,MAX(0,NETWORKDAYS(MAX($K245,AG$4),MIN($L245,EOMONTH(AG$4,0)),Assumptions!$F$4:$F$44))/NETWORKDAYS($K245,$L245,Assumptions!$F$4:$F$44))</f>
        <v>0</v>
      </c>
      <c r="AH245" s="21" t="n">
        <f aca="false">IF($J245=0,0,MAX(0,NETWORKDAYS(MAX($K245,AH$4),MIN($L245,EOMONTH(AH$4,0)),Assumptions!$F$4:$F$44))/NETWORKDAYS($K245,$L245,Assumptions!$F$4:$F$44))</f>
        <v>0</v>
      </c>
      <c r="AI245" s="21" t="n">
        <f aca="false">IF($J245=0,0,MAX(0,NETWORKDAYS(MAX($K245,AI$4),MIN($L245,EOMONTH(AI$4,0)),Assumptions!$F$4:$F$44))/NETWORKDAYS($K245,$L245,Assumptions!$F$4:$F$44))</f>
        <v>0</v>
      </c>
      <c r="AJ245" s="21" t="n">
        <f aca="false">IF($J245=0,0,MAX(0,NETWORKDAYS(MAX($K245,AJ$4),MIN($L245,EOMONTH(AJ$4,0)),Assumptions!$F$4:$F$44))/NETWORKDAYS($K245,$L245,Assumptions!$F$4:$F$44))</f>
        <v>0</v>
      </c>
      <c r="AK245" s="21" t="n">
        <f aca="false">IF($J245=0,0,MAX(0,NETWORKDAYS(MAX($K245,AK$4),MIN($L245,EOMONTH(AK$4,0)),Assumptions!$F$4:$F$44))/NETWORKDAYS($K245,$L245,Assumptions!$F$4:$F$44))</f>
        <v>0.327272727272727</v>
      </c>
      <c r="AL245" s="21" t="n">
        <f aca="false">IF($J245=0,0,MAX(0,NETWORKDAYS(MAX($K245,AL$4),MIN($L245,EOMONTH(AL$4,0)),Assumptions!$F$4:$F$44))/NETWORKDAYS($K245,$L245,Assumptions!$F$4:$F$44))</f>
        <v>0.381818181818182</v>
      </c>
      <c r="AM245" s="21" t="n">
        <f aca="false">IF($J245=0,0,MAX(0,NETWORKDAYS(MAX($K245,AM$4),MIN($L245,EOMONTH(AM$4,0)),Assumptions!$F$4:$F$44))/NETWORKDAYS($K245,$L245,Assumptions!$F$4:$F$44))</f>
        <v>0.290909090909091</v>
      </c>
      <c r="AN245" s="21" t="n">
        <f aca="false">IF($J245=0,0,MAX(0,NETWORKDAYS(MAX($K245,AN$4),MIN($L245,EOMONTH(AN$4,0)),Assumptions!$F$4:$F$44))/NETWORKDAYS($K245,$L245,Assumptions!$F$4:$F$44))</f>
        <v>0</v>
      </c>
      <c r="AO245" s="21" t="n">
        <f aca="false">IF($J245=0,0,MAX(0,NETWORKDAYS(MAX($K245,AO$4),MIN($L245,EOMONTH(AO$4,0)),Assumptions!$F$4:$F$44))/NETWORKDAYS($K245,$L245,Assumptions!$F$4:$F$44))</f>
        <v>0</v>
      </c>
      <c r="AP245" s="21" t="n">
        <f aca="false">IF($J245=0,0,MAX(0,NETWORKDAYS(MAX($K245,AP$4),MIN($L245,EOMONTH(AP$4,0)),Assumptions!$F$4:$F$44))/NETWORKDAYS($K245,$L245,Assumptions!$F$4:$F$44))</f>
        <v>0</v>
      </c>
      <c r="AQ245" s="21" t="n">
        <f aca="false">IF($J245=0,0,MAX(0,NETWORKDAYS(MAX($K245,AQ$4),MIN($L245,EOMONTH(AQ$4,0)),Assumptions!$F$4:$F$44))/NETWORKDAYS($K245,$L245,Assumptions!$F$4:$F$44))</f>
        <v>0</v>
      </c>
      <c r="AR245" s="21" t="n">
        <f aca="false">IF($J245=0,0,MAX(0,NETWORKDAYS(MAX($K245,AR$4),MIN($L245,EOMONTH(AR$4,0)),Assumptions!$F$4:$F$44))/NETWORKDAYS($K245,$L245,Assumptions!$F$4:$F$44))</f>
        <v>0</v>
      </c>
      <c r="AS245" s="21" t="n">
        <f aca="false">IF($J245=0,0,MAX(0,NETWORKDAYS(MAX($K245,AS$4),MIN($L245,EOMONTH(AS$4,0)),Assumptions!$F$4:$F$44))/NETWORKDAYS($K245,$L245,Assumptions!$F$4:$F$44))</f>
        <v>0</v>
      </c>
      <c r="AT245" s="21" t="n">
        <f aca="false">IF($J245=0,0,MAX(0,NETWORKDAYS(MAX($K245,AT$4),MIN($L245,EOMONTH(AT$4,0)),Assumptions!$F$4:$F$44))/NETWORKDAYS($K245,$L245,Assumptions!$F$4:$F$44))</f>
        <v>0</v>
      </c>
      <c r="AU245" s="21" t="n">
        <f aca="false">IF($J245=0,0,MAX(0,NETWORKDAYS(MAX($K245,AU$4),MIN($L245,EOMONTH(AU$4,0)),Assumptions!$F$4:$F$44))/NETWORKDAYS($K245,$L245,Assumptions!$F$4:$F$44))</f>
        <v>0</v>
      </c>
      <c r="AV245" s="21" t="n">
        <f aca="false">IF($J245=0,0,MAX(0,NETWORKDAYS(MAX($K245,AV$4),MIN($L245,EOMONTH(AV$4,0)),Assumptions!$F$4:$F$44))/NETWORKDAYS($K245,$L245,Assumptions!$F$4:$F$44))</f>
        <v>0</v>
      </c>
      <c r="AW245" s="21" t="n">
        <f aca="false">IF($J245=0,0,MAX(0,NETWORKDAYS(MAX($K245,AW$4),MIN($L245,EOMONTH(AW$4,0)),Assumptions!$F$4:$F$44))/NETWORKDAYS($K245,$L245,Assumptions!$F$4:$F$44))</f>
        <v>0</v>
      </c>
      <c r="AX245" s="21" t="n">
        <f aca="false">IF($J245=0,0,MAX(0,NETWORKDAYS(MAX($K245,AX$4),MIN($L245,EOMONTH(AX$4,0)),Assumptions!$F$4:$F$44))/NETWORKDAYS($K245,$L245,Assumptions!$F$4:$F$44))</f>
        <v>0</v>
      </c>
      <c r="AY245" s="21" t="n">
        <f aca="false">IF($J245=0,0,MAX(0,NETWORKDAYS(MAX($K245,AY$4),MIN($L245,EOMONTH(AY$4,0)),Assumptions!$F$4:$F$44))/NETWORKDAYS($K245,$L245,Assumptions!$F$4:$F$44))</f>
        <v>0</v>
      </c>
      <c r="AZ245" s="21" t="n">
        <f aca="false">IF($J245=0,0,MAX(0,NETWORKDAYS(MAX($K245,AZ$4),MIN($L245,EOMONTH(AZ$4,0)),Assumptions!$F$4:$F$44))/NETWORKDAYS($K245,$L245,Assumptions!$F$4:$F$44))</f>
        <v>0</v>
      </c>
      <c r="BA245" s="21" t="n">
        <f aca="false">IF($J245=0,0,MAX(0,NETWORKDAYS(MAX($K245,BA$4),MIN($L245,EOMONTH(BA$4,0)),Assumptions!$F$4:$F$44))/NETWORKDAYS($K245,$L245,Assumptions!$F$4:$F$44))</f>
        <v>0</v>
      </c>
      <c r="BB245" s="21" t="n">
        <f aca="false">IF($J245=0,0,MAX(0,NETWORKDAYS(MAX($K245,BB$4),MIN($L245,EOMONTH(BB$4,0)),Assumptions!$F$4:$F$44))/NETWORKDAYS($K245,$L245,Assumptions!$F$4:$F$44))</f>
        <v>0</v>
      </c>
      <c r="BC245" s="21" t="n">
        <f aca="false">IF($J245=0,0,MAX(0,NETWORKDAYS(MAX($K245,BC$4),MIN($L245,EOMONTH(BC$4,0)),Assumptions!$F$4:$F$44))/NETWORKDAYS($K245,$L245,Assumptions!$F$4:$F$44))</f>
        <v>0</v>
      </c>
    </row>
    <row r="246" customFormat="false" ht="15" hidden="false" customHeight="false" outlineLevel="2" collapsed="false">
      <c r="A246" s="27" t="n">
        <v>242</v>
      </c>
      <c r="B246" s="27" t="s">
        <v>581</v>
      </c>
      <c r="C246" s="27" t="n">
        <v>3</v>
      </c>
      <c r="D246" s="27" t="s">
        <v>92</v>
      </c>
      <c r="E246" s="28" t="s">
        <v>307</v>
      </c>
      <c r="F246" s="27" t="s">
        <v>502</v>
      </c>
      <c r="G246" s="27" t="s">
        <v>573</v>
      </c>
      <c r="H246" s="27" t="s">
        <v>47</v>
      </c>
      <c r="I246" s="29" t="n">
        <v>128</v>
      </c>
      <c r="J246" s="29" t="n">
        <v>40</v>
      </c>
      <c r="K246" s="30" t="n">
        <f aca="false">WORKDAY(Assumptions!$C$4,I246,Assumptions!$F$4:$F$44)</f>
        <v>46506</v>
      </c>
      <c r="L246" s="30" t="n">
        <f aca="false">IF(J246=0,K246,WORKDAY(K246,J246-1,Assumptions!$F$4:$F$44))</f>
        <v>46561</v>
      </c>
      <c r="M246" s="29" t="s">
        <v>580</v>
      </c>
      <c r="N246" s="31" t="n">
        <v>0</v>
      </c>
      <c r="O246" s="31" t="n">
        <v>5</v>
      </c>
      <c r="P246" s="31" t="n">
        <v>0</v>
      </c>
      <c r="Q246" s="31" t="n">
        <v>12</v>
      </c>
      <c r="R246" s="31" t="n">
        <v>0</v>
      </c>
      <c r="S246" s="31" t="n">
        <v>0</v>
      </c>
      <c r="T246" s="31" t="n">
        <v>0</v>
      </c>
      <c r="U246" s="31" t="n">
        <v>0</v>
      </c>
      <c r="V246" s="31" t="n">
        <v>0</v>
      </c>
      <c r="W246" s="31" t="n">
        <v>0</v>
      </c>
      <c r="X246" s="31" t="n">
        <v>0</v>
      </c>
      <c r="Y246" s="32" t="n">
        <f aca="false">SUM(N246:X246)</f>
        <v>17</v>
      </c>
      <c r="Z246" s="32" t="n">
        <f aca="false">Y246*(1+Assumptions!$C$5)</f>
        <v>19.55</v>
      </c>
      <c r="AA246" s="27" t="s">
        <v>308</v>
      </c>
      <c r="AB246" s="27" t="s">
        <v>95</v>
      </c>
      <c r="AC246" s="27"/>
      <c r="AD246" s="33" t="n">
        <v>0</v>
      </c>
      <c r="AF246" s="21" t="n">
        <f aca="false">IF($J246=0,0,MAX(0,NETWORKDAYS(MAX($K246,AF$4),MIN($L246,EOMONTH(AF$4,0)),Assumptions!$F$4:$F$44))/NETWORKDAYS($K246,$L246,Assumptions!$F$4:$F$44))</f>
        <v>0</v>
      </c>
      <c r="AG246" s="21" t="n">
        <f aca="false">IF($J246=0,0,MAX(0,NETWORKDAYS(MAX($K246,AG$4),MIN($L246,EOMONTH(AG$4,0)),Assumptions!$F$4:$F$44))/NETWORKDAYS($K246,$L246,Assumptions!$F$4:$F$44))</f>
        <v>0</v>
      </c>
      <c r="AH246" s="21" t="n">
        <f aca="false">IF($J246=0,0,MAX(0,NETWORKDAYS(MAX($K246,AH$4),MIN($L246,EOMONTH(AH$4,0)),Assumptions!$F$4:$F$44))/NETWORKDAYS($K246,$L246,Assumptions!$F$4:$F$44))</f>
        <v>0</v>
      </c>
      <c r="AI246" s="21" t="n">
        <f aca="false">IF($J246=0,0,MAX(0,NETWORKDAYS(MAX($K246,AI$4),MIN($L246,EOMONTH(AI$4,0)),Assumptions!$F$4:$F$44))/NETWORKDAYS($K246,$L246,Assumptions!$F$4:$F$44))</f>
        <v>0</v>
      </c>
      <c r="AJ246" s="21" t="n">
        <f aca="false">IF($J246=0,0,MAX(0,NETWORKDAYS(MAX($K246,AJ$4),MIN($L246,EOMONTH(AJ$4,0)),Assumptions!$F$4:$F$44))/NETWORKDAYS($K246,$L246,Assumptions!$F$4:$F$44))</f>
        <v>0</v>
      </c>
      <c r="AK246" s="21" t="n">
        <f aca="false">IF($J246=0,0,MAX(0,NETWORKDAYS(MAX($K246,AK$4),MIN($L246,EOMONTH(AK$4,0)),Assumptions!$F$4:$F$44))/NETWORKDAYS($K246,$L246,Assumptions!$F$4:$F$44))</f>
        <v>0.05</v>
      </c>
      <c r="AL246" s="21" t="n">
        <f aca="false">IF($J246=0,0,MAX(0,NETWORKDAYS(MAX($K246,AL$4),MIN($L246,EOMONTH(AL$4,0)),Assumptions!$F$4:$F$44))/NETWORKDAYS($K246,$L246,Assumptions!$F$4:$F$44))</f>
        <v>0.525</v>
      </c>
      <c r="AM246" s="21" t="n">
        <f aca="false">IF($J246=0,0,MAX(0,NETWORKDAYS(MAX($K246,AM$4),MIN($L246,EOMONTH(AM$4,0)),Assumptions!$F$4:$F$44))/NETWORKDAYS($K246,$L246,Assumptions!$F$4:$F$44))</f>
        <v>0.425</v>
      </c>
      <c r="AN246" s="21" t="n">
        <f aca="false">IF($J246=0,0,MAX(0,NETWORKDAYS(MAX($K246,AN$4),MIN($L246,EOMONTH(AN$4,0)),Assumptions!$F$4:$F$44))/NETWORKDAYS($K246,$L246,Assumptions!$F$4:$F$44))</f>
        <v>0</v>
      </c>
      <c r="AO246" s="21" t="n">
        <f aca="false">IF($J246=0,0,MAX(0,NETWORKDAYS(MAX($K246,AO$4),MIN($L246,EOMONTH(AO$4,0)),Assumptions!$F$4:$F$44))/NETWORKDAYS($K246,$L246,Assumptions!$F$4:$F$44))</f>
        <v>0</v>
      </c>
      <c r="AP246" s="21" t="n">
        <f aca="false">IF($J246=0,0,MAX(0,NETWORKDAYS(MAX($K246,AP$4),MIN($L246,EOMONTH(AP$4,0)),Assumptions!$F$4:$F$44))/NETWORKDAYS($K246,$L246,Assumptions!$F$4:$F$44))</f>
        <v>0</v>
      </c>
      <c r="AQ246" s="21" t="n">
        <f aca="false">IF($J246=0,0,MAX(0,NETWORKDAYS(MAX($K246,AQ$4),MIN($L246,EOMONTH(AQ$4,0)),Assumptions!$F$4:$F$44))/NETWORKDAYS($K246,$L246,Assumptions!$F$4:$F$44))</f>
        <v>0</v>
      </c>
      <c r="AR246" s="21" t="n">
        <f aca="false">IF($J246=0,0,MAX(0,NETWORKDAYS(MAX($K246,AR$4),MIN($L246,EOMONTH(AR$4,0)),Assumptions!$F$4:$F$44))/NETWORKDAYS($K246,$L246,Assumptions!$F$4:$F$44))</f>
        <v>0</v>
      </c>
      <c r="AS246" s="21" t="n">
        <f aca="false">IF($J246=0,0,MAX(0,NETWORKDAYS(MAX($K246,AS$4),MIN($L246,EOMONTH(AS$4,0)),Assumptions!$F$4:$F$44))/NETWORKDAYS($K246,$L246,Assumptions!$F$4:$F$44))</f>
        <v>0</v>
      </c>
      <c r="AT246" s="21" t="n">
        <f aca="false">IF($J246=0,0,MAX(0,NETWORKDAYS(MAX($K246,AT$4),MIN($L246,EOMONTH(AT$4,0)),Assumptions!$F$4:$F$44))/NETWORKDAYS($K246,$L246,Assumptions!$F$4:$F$44))</f>
        <v>0</v>
      </c>
      <c r="AU246" s="21" t="n">
        <f aca="false">IF($J246=0,0,MAX(0,NETWORKDAYS(MAX($K246,AU$4),MIN($L246,EOMONTH(AU$4,0)),Assumptions!$F$4:$F$44))/NETWORKDAYS($K246,$L246,Assumptions!$F$4:$F$44))</f>
        <v>0</v>
      </c>
      <c r="AV246" s="21" t="n">
        <f aca="false">IF($J246=0,0,MAX(0,NETWORKDAYS(MAX($K246,AV$4),MIN($L246,EOMONTH(AV$4,0)),Assumptions!$F$4:$F$44))/NETWORKDAYS($K246,$L246,Assumptions!$F$4:$F$44))</f>
        <v>0</v>
      </c>
      <c r="AW246" s="21" t="n">
        <f aca="false">IF($J246=0,0,MAX(0,NETWORKDAYS(MAX($K246,AW$4),MIN($L246,EOMONTH(AW$4,0)),Assumptions!$F$4:$F$44))/NETWORKDAYS($K246,$L246,Assumptions!$F$4:$F$44))</f>
        <v>0</v>
      </c>
      <c r="AX246" s="21" t="n">
        <f aca="false">IF($J246=0,0,MAX(0,NETWORKDAYS(MAX($K246,AX$4),MIN($L246,EOMONTH(AX$4,0)),Assumptions!$F$4:$F$44))/NETWORKDAYS($K246,$L246,Assumptions!$F$4:$F$44))</f>
        <v>0</v>
      </c>
      <c r="AY246" s="21" t="n">
        <f aca="false">IF($J246=0,0,MAX(0,NETWORKDAYS(MAX($K246,AY$4),MIN($L246,EOMONTH(AY$4,0)),Assumptions!$F$4:$F$44))/NETWORKDAYS($K246,$L246,Assumptions!$F$4:$F$44))</f>
        <v>0</v>
      </c>
      <c r="AZ246" s="21" t="n">
        <f aca="false">IF($J246=0,0,MAX(0,NETWORKDAYS(MAX($K246,AZ$4),MIN($L246,EOMONTH(AZ$4,0)),Assumptions!$F$4:$F$44))/NETWORKDAYS($K246,$L246,Assumptions!$F$4:$F$44))</f>
        <v>0</v>
      </c>
      <c r="BA246" s="21" t="n">
        <f aca="false">IF($J246=0,0,MAX(0,NETWORKDAYS(MAX($K246,BA$4),MIN($L246,EOMONTH(BA$4,0)),Assumptions!$F$4:$F$44))/NETWORKDAYS($K246,$L246,Assumptions!$F$4:$F$44))</f>
        <v>0</v>
      </c>
      <c r="BB246" s="21" t="n">
        <f aca="false">IF($J246=0,0,MAX(0,NETWORKDAYS(MAX($K246,BB$4),MIN($L246,EOMONTH(BB$4,0)),Assumptions!$F$4:$F$44))/NETWORKDAYS($K246,$L246,Assumptions!$F$4:$F$44))</f>
        <v>0</v>
      </c>
      <c r="BC246" s="21" t="n">
        <f aca="false">IF($J246=0,0,MAX(0,NETWORKDAYS(MAX($K246,BC$4),MIN($L246,EOMONTH(BC$4,0)),Assumptions!$F$4:$F$44))/NETWORKDAYS($K246,$L246,Assumptions!$F$4:$F$44))</f>
        <v>0</v>
      </c>
    </row>
    <row r="247" customFormat="false" ht="15" hidden="false" customHeight="false" outlineLevel="2" collapsed="false">
      <c r="A247" s="27" t="n">
        <v>243</v>
      </c>
      <c r="B247" s="27" t="s">
        <v>582</v>
      </c>
      <c r="C247" s="27" t="n">
        <v>3</v>
      </c>
      <c r="D247" s="27" t="s">
        <v>92</v>
      </c>
      <c r="E247" s="28" t="s">
        <v>310</v>
      </c>
      <c r="F247" s="27" t="s">
        <v>502</v>
      </c>
      <c r="G247" s="27" t="s">
        <v>573</v>
      </c>
      <c r="H247" s="27" t="s">
        <v>49</v>
      </c>
      <c r="I247" s="29" t="n">
        <v>121</v>
      </c>
      <c r="J247" s="29" t="n">
        <v>53</v>
      </c>
      <c r="K247" s="30" t="n">
        <f aca="false">WORKDAY(Assumptions!$C$4,I247,Assumptions!$F$4:$F$44)</f>
        <v>46497</v>
      </c>
      <c r="L247" s="30" t="n">
        <f aca="false">IF(J247=0,K247,WORKDAY(K247,J247-1,Assumptions!$F$4:$F$44))</f>
        <v>46569</v>
      </c>
      <c r="M247" s="29" t="s">
        <v>583</v>
      </c>
      <c r="N247" s="31" t="n">
        <v>0</v>
      </c>
      <c r="O247" s="31" t="n">
        <v>0</v>
      </c>
      <c r="P247" s="31" t="n">
        <v>0</v>
      </c>
      <c r="Q247" s="31" t="n">
        <v>0</v>
      </c>
      <c r="R247" s="31" t="n">
        <v>29</v>
      </c>
      <c r="S247" s="31" t="n">
        <v>0</v>
      </c>
      <c r="T247" s="31" t="n">
        <v>0</v>
      </c>
      <c r="U247" s="31" t="n">
        <v>0</v>
      </c>
      <c r="V247" s="31" t="n">
        <v>0</v>
      </c>
      <c r="W247" s="31" t="n">
        <v>0</v>
      </c>
      <c r="X247" s="31" t="n">
        <v>0</v>
      </c>
      <c r="Y247" s="32" t="n">
        <f aca="false">SUM(N247:X247)</f>
        <v>29</v>
      </c>
      <c r="Z247" s="32" t="n">
        <f aca="false">Y247*(1+Assumptions!$C$5)</f>
        <v>33.35</v>
      </c>
      <c r="AA247" s="27" t="s">
        <v>312</v>
      </c>
      <c r="AB247" s="27" t="s">
        <v>95</v>
      </c>
      <c r="AC247" s="27"/>
      <c r="AD247" s="33" t="n">
        <v>0</v>
      </c>
      <c r="AF247" s="21" t="n">
        <f aca="false">IF($J247=0,0,MAX(0,NETWORKDAYS(MAX($K247,AF$4),MIN($L247,EOMONTH(AF$4,0)),Assumptions!$F$4:$F$44))/NETWORKDAYS($K247,$L247,Assumptions!$F$4:$F$44))</f>
        <v>0</v>
      </c>
      <c r="AG247" s="21" t="n">
        <f aca="false">IF($J247=0,0,MAX(0,NETWORKDAYS(MAX($K247,AG$4),MIN($L247,EOMONTH(AG$4,0)),Assumptions!$F$4:$F$44))/NETWORKDAYS($K247,$L247,Assumptions!$F$4:$F$44))</f>
        <v>0</v>
      </c>
      <c r="AH247" s="21" t="n">
        <f aca="false">IF($J247=0,0,MAX(0,NETWORKDAYS(MAX($K247,AH$4),MIN($L247,EOMONTH(AH$4,0)),Assumptions!$F$4:$F$44))/NETWORKDAYS($K247,$L247,Assumptions!$F$4:$F$44))</f>
        <v>0</v>
      </c>
      <c r="AI247" s="21" t="n">
        <f aca="false">IF($J247=0,0,MAX(0,NETWORKDAYS(MAX($K247,AI$4),MIN($L247,EOMONTH(AI$4,0)),Assumptions!$F$4:$F$44))/NETWORKDAYS($K247,$L247,Assumptions!$F$4:$F$44))</f>
        <v>0</v>
      </c>
      <c r="AJ247" s="21" t="n">
        <f aca="false">IF($J247=0,0,MAX(0,NETWORKDAYS(MAX($K247,AJ$4),MIN($L247,EOMONTH(AJ$4,0)),Assumptions!$F$4:$F$44))/NETWORKDAYS($K247,$L247,Assumptions!$F$4:$F$44))</f>
        <v>0</v>
      </c>
      <c r="AK247" s="21" t="n">
        <f aca="false">IF($J247=0,0,MAX(0,NETWORKDAYS(MAX($K247,AK$4),MIN($L247,EOMONTH(AK$4,0)),Assumptions!$F$4:$F$44))/NETWORKDAYS($K247,$L247,Assumptions!$F$4:$F$44))</f>
        <v>0.169811320754717</v>
      </c>
      <c r="AL247" s="21" t="n">
        <f aca="false">IF($J247=0,0,MAX(0,NETWORKDAYS(MAX($K247,AL$4),MIN($L247,EOMONTH(AL$4,0)),Assumptions!$F$4:$F$44))/NETWORKDAYS($K247,$L247,Assumptions!$F$4:$F$44))</f>
        <v>0.39622641509434</v>
      </c>
      <c r="AM247" s="21" t="n">
        <f aca="false">IF($J247=0,0,MAX(0,NETWORKDAYS(MAX($K247,AM$4),MIN($L247,EOMONTH(AM$4,0)),Assumptions!$F$4:$F$44))/NETWORKDAYS($K247,$L247,Assumptions!$F$4:$F$44))</f>
        <v>0.415094339622642</v>
      </c>
      <c r="AN247" s="21" t="n">
        <f aca="false">IF($J247=0,0,MAX(0,NETWORKDAYS(MAX($K247,AN$4),MIN($L247,EOMONTH(AN$4,0)),Assumptions!$F$4:$F$44))/NETWORKDAYS($K247,$L247,Assumptions!$F$4:$F$44))</f>
        <v>0.0188679245283019</v>
      </c>
      <c r="AO247" s="21" t="n">
        <f aca="false">IF($J247=0,0,MAX(0,NETWORKDAYS(MAX($K247,AO$4),MIN($L247,EOMONTH(AO$4,0)),Assumptions!$F$4:$F$44))/NETWORKDAYS($K247,$L247,Assumptions!$F$4:$F$44))</f>
        <v>0</v>
      </c>
      <c r="AP247" s="21" t="n">
        <f aca="false">IF($J247=0,0,MAX(0,NETWORKDAYS(MAX($K247,AP$4),MIN($L247,EOMONTH(AP$4,0)),Assumptions!$F$4:$F$44))/NETWORKDAYS($K247,$L247,Assumptions!$F$4:$F$44))</f>
        <v>0</v>
      </c>
      <c r="AQ247" s="21" t="n">
        <f aca="false">IF($J247=0,0,MAX(0,NETWORKDAYS(MAX($K247,AQ$4),MIN($L247,EOMONTH(AQ$4,0)),Assumptions!$F$4:$F$44))/NETWORKDAYS($K247,$L247,Assumptions!$F$4:$F$44))</f>
        <v>0</v>
      </c>
      <c r="AR247" s="21" t="n">
        <f aca="false">IF($J247=0,0,MAX(0,NETWORKDAYS(MAX($K247,AR$4),MIN($L247,EOMONTH(AR$4,0)),Assumptions!$F$4:$F$44))/NETWORKDAYS($K247,$L247,Assumptions!$F$4:$F$44))</f>
        <v>0</v>
      </c>
      <c r="AS247" s="21" t="n">
        <f aca="false">IF($J247=0,0,MAX(0,NETWORKDAYS(MAX($K247,AS$4),MIN($L247,EOMONTH(AS$4,0)),Assumptions!$F$4:$F$44))/NETWORKDAYS($K247,$L247,Assumptions!$F$4:$F$44))</f>
        <v>0</v>
      </c>
      <c r="AT247" s="21" t="n">
        <f aca="false">IF($J247=0,0,MAX(0,NETWORKDAYS(MAX($K247,AT$4),MIN($L247,EOMONTH(AT$4,0)),Assumptions!$F$4:$F$44))/NETWORKDAYS($K247,$L247,Assumptions!$F$4:$F$44))</f>
        <v>0</v>
      </c>
      <c r="AU247" s="21" t="n">
        <f aca="false">IF($J247=0,0,MAX(0,NETWORKDAYS(MAX($K247,AU$4),MIN($L247,EOMONTH(AU$4,0)),Assumptions!$F$4:$F$44))/NETWORKDAYS($K247,$L247,Assumptions!$F$4:$F$44))</f>
        <v>0</v>
      </c>
      <c r="AV247" s="21" t="n">
        <f aca="false">IF($J247=0,0,MAX(0,NETWORKDAYS(MAX($K247,AV$4),MIN($L247,EOMONTH(AV$4,0)),Assumptions!$F$4:$F$44))/NETWORKDAYS($K247,$L247,Assumptions!$F$4:$F$44))</f>
        <v>0</v>
      </c>
      <c r="AW247" s="21" t="n">
        <f aca="false">IF($J247=0,0,MAX(0,NETWORKDAYS(MAX($K247,AW$4),MIN($L247,EOMONTH(AW$4,0)),Assumptions!$F$4:$F$44))/NETWORKDAYS($K247,$L247,Assumptions!$F$4:$F$44))</f>
        <v>0</v>
      </c>
      <c r="AX247" s="21" t="n">
        <f aca="false">IF($J247=0,0,MAX(0,NETWORKDAYS(MAX($K247,AX$4),MIN($L247,EOMONTH(AX$4,0)),Assumptions!$F$4:$F$44))/NETWORKDAYS($K247,$L247,Assumptions!$F$4:$F$44))</f>
        <v>0</v>
      </c>
      <c r="AY247" s="21" t="n">
        <f aca="false">IF($J247=0,0,MAX(0,NETWORKDAYS(MAX($K247,AY$4),MIN($L247,EOMONTH(AY$4,0)),Assumptions!$F$4:$F$44))/NETWORKDAYS($K247,$L247,Assumptions!$F$4:$F$44))</f>
        <v>0</v>
      </c>
      <c r="AZ247" s="21" t="n">
        <f aca="false">IF($J247=0,0,MAX(0,NETWORKDAYS(MAX($K247,AZ$4),MIN($L247,EOMONTH(AZ$4,0)),Assumptions!$F$4:$F$44))/NETWORKDAYS($K247,$L247,Assumptions!$F$4:$F$44))</f>
        <v>0</v>
      </c>
      <c r="BA247" s="21" t="n">
        <f aca="false">IF($J247=0,0,MAX(0,NETWORKDAYS(MAX($K247,BA$4),MIN($L247,EOMONTH(BA$4,0)),Assumptions!$F$4:$F$44))/NETWORKDAYS($K247,$L247,Assumptions!$F$4:$F$44))</f>
        <v>0</v>
      </c>
      <c r="BB247" s="21" t="n">
        <f aca="false">IF($J247=0,0,MAX(0,NETWORKDAYS(MAX($K247,BB$4),MIN($L247,EOMONTH(BB$4,0)),Assumptions!$F$4:$F$44))/NETWORKDAYS($K247,$L247,Assumptions!$F$4:$F$44))</f>
        <v>0</v>
      </c>
      <c r="BC247" s="21" t="n">
        <f aca="false">IF($J247=0,0,MAX(0,NETWORKDAYS(MAX($K247,BC$4),MIN($L247,EOMONTH(BC$4,0)),Assumptions!$F$4:$F$44))/NETWORKDAYS($K247,$L247,Assumptions!$F$4:$F$44))</f>
        <v>0</v>
      </c>
    </row>
    <row r="248" customFormat="false" ht="15" hidden="false" customHeight="false" outlineLevel="2" collapsed="false">
      <c r="A248" s="27" t="n">
        <v>244</v>
      </c>
      <c r="B248" s="27" t="s">
        <v>584</v>
      </c>
      <c r="C248" s="27" t="n">
        <v>3</v>
      </c>
      <c r="D248" s="27" t="s">
        <v>92</v>
      </c>
      <c r="E248" s="28" t="s">
        <v>314</v>
      </c>
      <c r="F248" s="27" t="s">
        <v>502</v>
      </c>
      <c r="G248" s="27" t="s">
        <v>573</v>
      </c>
      <c r="H248" s="27" t="s">
        <v>49</v>
      </c>
      <c r="I248" s="29" t="n">
        <v>134</v>
      </c>
      <c r="J248" s="29" t="n">
        <v>40</v>
      </c>
      <c r="K248" s="30" t="n">
        <f aca="false">WORKDAY(Assumptions!$C$4,I248,Assumptions!$F$4:$F$44)</f>
        <v>46514</v>
      </c>
      <c r="L248" s="30" t="n">
        <f aca="false">IF(J248=0,K248,WORKDAY(K248,J248-1,Assumptions!$F$4:$F$44))</f>
        <v>46569</v>
      </c>
      <c r="M248" s="29" t="s">
        <v>583</v>
      </c>
      <c r="N248" s="31" t="n">
        <v>0</v>
      </c>
      <c r="O248" s="31" t="n">
        <v>0</v>
      </c>
      <c r="P248" s="31" t="n">
        <v>0</v>
      </c>
      <c r="Q248" s="31" t="n">
        <v>0</v>
      </c>
      <c r="R248" s="31" t="n">
        <v>14</v>
      </c>
      <c r="S248" s="31" t="n">
        <v>7</v>
      </c>
      <c r="T248" s="31" t="n">
        <v>0</v>
      </c>
      <c r="U248" s="31" t="n">
        <v>0</v>
      </c>
      <c r="V248" s="31" t="n">
        <v>0</v>
      </c>
      <c r="W248" s="31" t="n">
        <v>0</v>
      </c>
      <c r="X248" s="31" t="n">
        <v>0</v>
      </c>
      <c r="Y248" s="32" t="n">
        <f aca="false">SUM(N248:X248)</f>
        <v>21</v>
      </c>
      <c r="Z248" s="32" t="n">
        <f aca="false">Y248*(1+Assumptions!$C$5)</f>
        <v>24.15</v>
      </c>
      <c r="AA248" s="27" t="s">
        <v>315</v>
      </c>
      <c r="AB248" s="27" t="s">
        <v>95</v>
      </c>
      <c r="AC248" s="27"/>
      <c r="AD248" s="33" t="n">
        <v>0</v>
      </c>
      <c r="AF248" s="21" t="n">
        <f aca="false">IF($J248=0,0,MAX(0,NETWORKDAYS(MAX($K248,AF$4),MIN($L248,EOMONTH(AF$4,0)),Assumptions!$F$4:$F$44))/NETWORKDAYS($K248,$L248,Assumptions!$F$4:$F$44))</f>
        <v>0</v>
      </c>
      <c r="AG248" s="21" t="n">
        <f aca="false">IF($J248=0,0,MAX(0,NETWORKDAYS(MAX($K248,AG$4),MIN($L248,EOMONTH(AG$4,0)),Assumptions!$F$4:$F$44))/NETWORKDAYS($K248,$L248,Assumptions!$F$4:$F$44))</f>
        <v>0</v>
      </c>
      <c r="AH248" s="21" t="n">
        <f aca="false">IF($J248=0,0,MAX(0,NETWORKDAYS(MAX($K248,AH$4),MIN($L248,EOMONTH(AH$4,0)),Assumptions!$F$4:$F$44))/NETWORKDAYS($K248,$L248,Assumptions!$F$4:$F$44))</f>
        <v>0</v>
      </c>
      <c r="AI248" s="21" t="n">
        <f aca="false">IF($J248=0,0,MAX(0,NETWORKDAYS(MAX($K248,AI$4),MIN($L248,EOMONTH(AI$4,0)),Assumptions!$F$4:$F$44))/NETWORKDAYS($K248,$L248,Assumptions!$F$4:$F$44))</f>
        <v>0</v>
      </c>
      <c r="AJ248" s="21" t="n">
        <f aca="false">IF($J248=0,0,MAX(0,NETWORKDAYS(MAX($K248,AJ$4),MIN($L248,EOMONTH(AJ$4,0)),Assumptions!$F$4:$F$44))/NETWORKDAYS($K248,$L248,Assumptions!$F$4:$F$44))</f>
        <v>0</v>
      </c>
      <c r="AK248" s="21" t="n">
        <f aca="false">IF($J248=0,0,MAX(0,NETWORKDAYS(MAX($K248,AK$4),MIN($L248,EOMONTH(AK$4,0)),Assumptions!$F$4:$F$44))/NETWORKDAYS($K248,$L248,Assumptions!$F$4:$F$44))</f>
        <v>0</v>
      </c>
      <c r="AL248" s="21" t="n">
        <f aca="false">IF($J248=0,0,MAX(0,NETWORKDAYS(MAX($K248,AL$4),MIN($L248,EOMONTH(AL$4,0)),Assumptions!$F$4:$F$44))/NETWORKDAYS($K248,$L248,Assumptions!$F$4:$F$44))</f>
        <v>0.425</v>
      </c>
      <c r="AM248" s="21" t="n">
        <f aca="false">IF($J248=0,0,MAX(0,NETWORKDAYS(MAX($K248,AM$4),MIN($L248,EOMONTH(AM$4,0)),Assumptions!$F$4:$F$44))/NETWORKDAYS($K248,$L248,Assumptions!$F$4:$F$44))</f>
        <v>0.55</v>
      </c>
      <c r="AN248" s="21" t="n">
        <f aca="false">IF($J248=0,0,MAX(0,NETWORKDAYS(MAX($K248,AN$4),MIN($L248,EOMONTH(AN$4,0)),Assumptions!$F$4:$F$44))/NETWORKDAYS($K248,$L248,Assumptions!$F$4:$F$44))</f>
        <v>0.025</v>
      </c>
      <c r="AO248" s="21" t="n">
        <f aca="false">IF($J248=0,0,MAX(0,NETWORKDAYS(MAX($K248,AO$4),MIN($L248,EOMONTH(AO$4,0)),Assumptions!$F$4:$F$44))/NETWORKDAYS($K248,$L248,Assumptions!$F$4:$F$44))</f>
        <v>0</v>
      </c>
      <c r="AP248" s="21" t="n">
        <f aca="false">IF($J248=0,0,MAX(0,NETWORKDAYS(MAX($K248,AP$4),MIN($L248,EOMONTH(AP$4,0)),Assumptions!$F$4:$F$44))/NETWORKDAYS($K248,$L248,Assumptions!$F$4:$F$44))</f>
        <v>0</v>
      </c>
      <c r="AQ248" s="21" t="n">
        <f aca="false">IF($J248=0,0,MAX(0,NETWORKDAYS(MAX($K248,AQ$4),MIN($L248,EOMONTH(AQ$4,0)),Assumptions!$F$4:$F$44))/NETWORKDAYS($K248,$L248,Assumptions!$F$4:$F$44))</f>
        <v>0</v>
      </c>
      <c r="AR248" s="21" t="n">
        <f aca="false">IF($J248=0,0,MAX(0,NETWORKDAYS(MAX($K248,AR$4),MIN($L248,EOMONTH(AR$4,0)),Assumptions!$F$4:$F$44))/NETWORKDAYS($K248,$L248,Assumptions!$F$4:$F$44))</f>
        <v>0</v>
      </c>
      <c r="AS248" s="21" t="n">
        <f aca="false">IF($J248=0,0,MAX(0,NETWORKDAYS(MAX($K248,AS$4),MIN($L248,EOMONTH(AS$4,0)),Assumptions!$F$4:$F$44))/NETWORKDAYS($K248,$L248,Assumptions!$F$4:$F$44))</f>
        <v>0</v>
      </c>
      <c r="AT248" s="21" t="n">
        <f aca="false">IF($J248=0,0,MAX(0,NETWORKDAYS(MAX($K248,AT$4),MIN($L248,EOMONTH(AT$4,0)),Assumptions!$F$4:$F$44))/NETWORKDAYS($K248,$L248,Assumptions!$F$4:$F$44))</f>
        <v>0</v>
      </c>
      <c r="AU248" s="21" t="n">
        <f aca="false">IF($J248=0,0,MAX(0,NETWORKDAYS(MAX($K248,AU$4),MIN($L248,EOMONTH(AU$4,0)),Assumptions!$F$4:$F$44))/NETWORKDAYS($K248,$L248,Assumptions!$F$4:$F$44))</f>
        <v>0</v>
      </c>
      <c r="AV248" s="21" t="n">
        <f aca="false">IF($J248=0,0,MAX(0,NETWORKDAYS(MAX($K248,AV$4),MIN($L248,EOMONTH(AV$4,0)),Assumptions!$F$4:$F$44))/NETWORKDAYS($K248,$L248,Assumptions!$F$4:$F$44))</f>
        <v>0</v>
      </c>
      <c r="AW248" s="21" t="n">
        <f aca="false">IF($J248=0,0,MAX(0,NETWORKDAYS(MAX($K248,AW$4),MIN($L248,EOMONTH(AW$4,0)),Assumptions!$F$4:$F$44))/NETWORKDAYS($K248,$L248,Assumptions!$F$4:$F$44))</f>
        <v>0</v>
      </c>
      <c r="AX248" s="21" t="n">
        <f aca="false">IF($J248=0,0,MAX(0,NETWORKDAYS(MAX($K248,AX$4),MIN($L248,EOMONTH(AX$4,0)),Assumptions!$F$4:$F$44))/NETWORKDAYS($K248,$L248,Assumptions!$F$4:$F$44))</f>
        <v>0</v>
      </c>
      <c r="AY248" s="21" t="n">
        <f aca="false">IF($J248=0,0,MAX(0,NETWORKDAYS(MAX($K248,AY$4),MIN($L248,EOMONTH(AY$4,0)),Assumptions!$F$4:$F$44))/NETWORKDAYS($K248,$L248,Assumptions!$F$4:$F$44))</f>
        <v>0</v>
      </c>
      <c r="AZ248" s="21" t="n">
        <f aca="false">IF($J248=0,0,MAX(0,NETWORKDAYS(MAX($K248,AZ$4),MIN($L248,EOMONTH(AZ$4,0)),Assumptions!$F$4:$F$44))/NETWORKDAYS($K248,$L248,Assumptions!$F$4:$F$44))</f>
        <v>0</v>
      </c>
      <c r="BA248" s="21" t="n">
        <f aca="false">IF($J248=0,0,MAX(0,NETWORKDAYS(MAX($K248,BA$4),MIN($L248,EOMONTH(BA$4,0)),Assumptions!$F$4:$F$44))/NETWORKDAYS($K248,$L248,Assumptions!$F$4:$F$44))</f>
        <v>0</v>
      </c>
      <c r="BB248" s="21" t="n">
        <f aca="false">IF($J248=0,0,MAX(0,NETWORKDAYS(MAX($K248,BB$4),MIN($L248,EOMONTH(BB$4,0)),Assumptions!$F$4:$F$44))/NETWORKDAYS($K248,$L248,Assumptions!$F$4:$F$44))</f>
        <v>0</v>
      </c>
      <c r="BC248" s="21" t="n">
        <f aca="false">IF($J248=0,0,MAX(0,NETWORKDAYS(MAX($K248,BC$4),MIN($L248,EOMONTH(BC$4,0)),Assumptions!$F$4:$F$44))/NETWORKDAYS($K248,$L248,Assumptions!$F$4:$F$44))</f>
        <v>0</v>
      </c>
    </row>
    <row r="249" customFormat="false" ht="15" hidden="false" customHeight="false" outlineLevel="2" collapsed="false">
      <c r="A249" s="27" t="n">
        <v>245</v>
      </c>
      <c r="B249" s="27" t="s">
        <v>585</v>
      </c>
      <c r="C249" s="27" t="n">
        <v>3</v>
      </c>
      <c r="D249" s="27" t="s">
        <v>92</v>
      </c>
      <c r="E249" s="28" t="s">
        <v>317</v>
      </c>
      <c r="F249" s="27" t="s">
        <v>502</v>
      </c>
      <c r="G249" s="27" t="s">
        <v>573</v>
      </c>
      <c r="H249" s="27" t="s">
        <v>51</v>
      </c>
      <c r="I249" s="29" t="n">
        <v>134</v>
      </c>
      <c r="J249" s="29" t="n">
        <v>40</v>
      </c>
      <c r="K249" s="30" t="n">
        <f aca="false">WORKDAY(Assumptions!$C$4,I249,Assumptions!$F$4:$F$44)</f>
        <v>46514</v>
      </c>
      <c r="L249" s="30" t="n">
        <f aca="false">IF(J249=0,K249,WORKDAY(K249,J249-1,Assumptions!$F$4:$F$44))</f>
        <v>46569</v>
      </c>
      <c r="M249" s="29" t="s">
        <v>583</v>
      </c>
      <c r="N249" s="31" t="n">
        <v>0</v>
      </c>
      <c r="O249" s="31" t="n">
        <v>0</v>
      </c>
      <c r="P249" s="31" t="n">
        <v>0</v>
      </c>
      <c r="Q249" s="31" t="n">
        <v>0</v>
      </c>
      <c r="R249" s="31" t="n">
        <v>0</v>
      </c>
      <c r="S249" s="31" t="n">
        <v>14</v>
      </c>
      <c r="T249" s="31" t="n">
        <v>0</v>
      </c>
      <c r="U249" s="31" t="n">
        <v>0</v>
      </c>
      <c r="V249" s="31" t="n">
        <v>0</v>
      </c>
      <c r="W249" s="31" t="n">
        <v>0</v>
      </c>
      <c r="X249" s="31" t="n">
        <v>0</v>
      </c>
      <c r="Y249" s="32" t="n">
        <f aca="false">SUM(N249:X249)</f>
        <v>14</v>
      </c>
      <c r="Z249" s="32" t="n">
        <f aca="false">Y249*(1+Assumptions!$C$5)</f>
        <v>16.1</v>
      </c>
      <c r="AA249" s="27" t="s">
        <v>318</v>
      </c>
      <c r="AB249" s="27" t="s">
        <v>95</v>
      </c>
      <c r="AC249" s="27"/>
      <c r="AD249" s="33" t="n">
        <v>0</v>
      </c>
      <c r="AF249" s="21" t="n">
        <f aca="false">IF($J249=0,0,MAX(0,NETWORKDAYS(MAX($K249,AF$4),MIN($L249,EOMONTH(AF$4,0)),Assumptions!$F$4:$F$44))/NETWORKDAYS($K249,$L249,Assumptions!$F$4:$F$44))</f>
        <v>0</v>
      </c>
      <c r="AG249" s="21" t="n">
        <f aca="false">IF($J249=0,0,MAX(0,NETWORKDAYS(MAX($K249,AG$4),MIN($L249,EOMONTH(AG$4,0)),Assumptions!$F$4:$F$44))/NETWORKDAYS($K249,$L249,Assumptions!$F$4:$F$44))</f>
        <v>0</v>
      </c>
      <c r="AH249" s="21" t="n">
        <f aca="false">IF($J249=0,0,MAX(0,NETWORKDAYS(MAX($K249,AH$4),MIN($L249,EOMONTH(AH$4,0)),Assumptions!$F$4:$F$44))/NETWORKDAYS($K249,$L249,Assumptions!$F$4:$F$44))</f>
        <v>0</v>
      </c>
      <c r="AI249" s="21" t="n">
        <f aca="false">IF($J249=0,0,MAX(0,NETWORKDAYS(MAX($K249,AI$4),MIN($L249,EOMONTH(AI$4,0)),Assumptions!$F$4:$F$44))/NETWORKDAYS($K249,$L249,Assumptions!$F$4:$F$44))</f>
        <v>0</v>
      </c>
      <c r="AJ249" s="21" t="n">
        <f aca="false">IF($J249=0,0,MAX(0,NETWORKDAYS(MAX($K249,AJ$4),MIN($L249,EOMONTH(AJ$4,0)),Assumptions!$F$4:$F$44))/NETWORKDAYS($K249,$L249,Assumptions!$F$4:$F$44))</f>
        <v>0</v>
      </c>
      <c r="AK249" s="21" t="n">
        <f aca="false">IF($J249=0,0,MAX(0,NETWORKDAYS(MAX($K249,AK$4),MIN($L249,EOMONTH(AK$4,0)),Assumptions!$F$4:$F$44))/NETWORKDAYS($K249,$L249,Assumptions!$F$4:$F$44))</f>
        <v>0</v>
      </c>
      <c r="AL249" s="21" t="n">
        <f aca="false">IF($J249=0,0,MAX(0,NETWORKDAYS(MAX($K249,AL$4),MIN($L249,EOMONTH(AL$4,0)),Assumptions!$F$4:$F$44))/NETWORKDAYS($K249,$L249,Assumptions!$F$4:$F$44))</f>
        <v>0.425</v>
      </c>
      <c r="AM249" s="21" t="n">
        <f aca="false">IF($J249=0,0,MAX(0,NETWORKDAYS(MAX($K249,AM$4),MIN($L249,EOMONTH(AM$4,0)),Assumptions!$F$4:$F$44))/NETWORKDAYS($K249,$L249,Assumptions!$F$4:$F$44))</f>
        <v>0.55</v>
      </c>
      <c r="AN249" s="21" t="n">
        <f aca="false">IF($J249=0,0,MAX(0,NETWORKDAYS(MAX($K249,AN$4),MIN($L249,EOMONTH(AN$4,0)),Assumptions!$F$4:$F$44))/NETWORKDAYS($K249,$L249,Assumptions!$F$4:$F$44))</f>
        <v>0.025</v>
      </c>
      <c r="AO249" s="21" t="n">
        <f aca="false">IF($J249=0,0,MAX(0,NETWORKDAYS(MAX($K249,AO$4),MIN($L249,EOMONTH(AO$4,0)),Assumptions!$F$4:$F$44))/NETWORKDAYS($K249,$L249,Assumptions!$F$4:$F$44))</f>
        <v>0</v>
      </c>
      <c r="AP249" s="21" t="n">
        <f aca="false">IF($J249=0,0,MAX(0,NETWORKDAYS(MAX($K249,AP$4),MIN($L249,EOMONTH(AP$4,0)),Assumptions!$F$4:$F$44))/NETWORKDAYS($K249,$L249,Assumptions!$F$4:$F$44))</f>
        <v>0</v>
      </c>
      <c r="AQ249" s="21" t="n">
        <f aca="false">IF($J249=0,0,MAX(0,NETWORKDAYS(MAX($K249,AQ$4),MIN($L249,EOMONTH(AQ$4,0)),Assumptions!$F$4:$F$44))/NETWORKDAYS($K249,$L249,Assumptions!$F$4:$F$44))</f>
        <v>0</v>
      </c>
      <c r="AR249" s="21" t="n">
        <f aca="false">IF($J249=0,0,MAX(0,NETWORKDAYS(MAX($K249,AR$4),MIN($L249,EOMONTH(AR$4,0)),Assumptions!$F$4:$F$44))/NETWORKDAYS($K249,$L249,Assumptions!$F$4:$F$44))</f>
        <v>0</v>
      </c>
      <c r="AS249" s="21" t="n">
        <f aca="false">IF($J249=0,0,MAX(0,NETWORKDAYS(MAX($K249,AS$4),MIN($L249,EOMONTH(AS$4,0)),Assumptions!$F$4:$F$44))/NETWORKDAYS($K249,$L249,Assumptions!$F$4:$F$44))</f>
        <v>0</v>
      </c>
      <c r="AT249" s="21" t="n">
        <f aca="false">IF($J249=0,0,MAX(0,NETWORKDAYS(MAX($K249,AT$4),MIN($L249,EOMONTH(AT$4,0)),Assumptions!$F$4:$F$44))/NETWORKDAYS($K249,$L249,Assumptions!$F$4:$F$44))</f>
        <v>0</v>
      </c>
      <c r="AU249" s="21" t="n">
        <f aca="false">IF($J249=0,0,MAX(0,NETWORKDAYS(MAX($K249,AU$4),MIN($L249,EOMONTH(AU$4,0)),Assumptions!$F$4:$F$44))/NETWORKDAYS($K249,$L249,Assumptions!$F$4:$F$44))</f>
        <v>0</v>
      </c>
      <c r="AV249" s="21" t="n">
        <f aca="false">IF($J249=0,0,MAX(0,NETWORKDAYS(MAX($K249,AV$4),MIN($L249,EOMONTH(AV$4,0)),Assumptions!$F$4:$F$44))/NETWORKDAYS($K249,$L249,Assumptions!$F$4:$F$44))</f>
        <v>0</v>
      </c>
      <c r="AW249" s="21" t="n">
        <f aca="false">IF($J249=0,0,MAX(0,NETWORKDAYS(MAX($K249,AW$4),MIN($L249,EOMONTH(AW$4,0)),Assumptions!$F$4:$F$44))/NETWORKDAYS($K249,$L249,Assumptions!$F$4:$F$44))</f>
        <v>0</v>
      </c>
      <c r="AX249" s="21" t="n">
        <f aca="false">IF($J249=0,0,MAX(0,NETWORKDAYS(MAX($K249,AX$4),MIN($L249,EOMONTH(AX$4,0)),Assumptions!$F$4:$F$44))/NETWORKDAYS($K249,$L249,Assumptions!$F$4:$F$44))</f>
        <v>0</v>
      </c>
      <c r="AY249" s="21" t="n">
        <f aca="false">IF($J249=0,0,MAX(0,NETWORKDAYS(MAX($K249,AY$4),MIN($L249,EOMONTH(AY$4,0)),Assumptions!$F$4:$F$44))/NETWORKDAYS($K249,$L249,Assumptions!$F$4:$F$44))</f>
        <v>0</v>
      </c>
      <c r="AZ249" s="21" t="n">
        <f aca="false">IF($J249=0,0,MAX(0,NETWORKDAYS(MAX($K249,AZ$4),MIN($L249,EOMONTH(AZ$4,0)),Assumptions!$F$4:$F$44))/NETWORKDAYS($K249,$L249,Assumptions!$F$4:$F$44))</f>
        <v>0</v>
      </c>
      <c r="BA249" s="21" t="n">
        <f aca="false">IF($J249=0,0,MAX(0,NETWORKDAYS(MAX($K249,BA$4),MIN($L249,EOMONTH(BA$4,0)),Assumptions!$F$4:$F$44))/NETWORKDAYS($K249,$L249,Assumptions!$F$4:$F$44))</f>
        <v>0</v>
      </c>
      <c r="BB249" s="21" t="n">
        <f aca="false">IF($J249=0,0,MAX(0,NETWORKDAYS(MAX($K249,BB$4),MIN($L249,EOMONTH(BB$4,0)),Assumptions!$F$4:$F$44))/NETWORKDAYS($K249,$L249,Assumptions!$F$4:$F$44))</f>
        <v>0</v>
      </c>
      <c r="BC249" s="21" t="n">
        <f aca="false">IF($J249=0,0,MAX(0,NETWORKDAYS(MAX($K249,BC$4),MIN($L249,EOMONTH(BC$4,0)),Assumptions!$F$4:$F$44))/NETWORKDAYS($K249,$L249,Assumptions!$F$4:$F$44))</f>
        <v>0</v>
      </c>
    </row>
    <row r="250" customFormat="false" ht="15" hidden="false" customHeight="false" outlineLevel="2" collapsed="false">
      <c r="A250" s="27" t="n">
        <v>246</v>
      </c>
      <c r="B250" s="27" t="s">
        <v>586</v>
      </c>
      <c r="C250" s="27" t="n">
        <v>3</v>
      </c>
      <c r="D250" s="27" t="s">
        <v>92</v>
      </c>
      <c r="E250" s="28" t="s">
        <v>320</v>
      </c>
      <c r="F250" s="27" t="s">
        <v>502</v>
      </c>
      <c r="G250" s="27" t="s">
        <v>573</v>
      </c>
      <c r="H250" s="27" t="s">
        <v>53</v>
      </c>
      <c r="I250" s="29" t="n">
        <v>121</v>
      </c>
      <c r="J250" s="29" t="n">
        <v>46</v>
      </c>
      <c r="K250" s="30" t="n">
        <f aca="false">WORKDAY(Assumptions!$C$4,I250,Assumptions!$F$4:$F$44)</f>
        <v>46497</v>
      </c>
      <c r="L250" s="30" t="n">
        <f aca="false">IF(J250=0,K250,WORKDAY(K250,J250-1,Assumptions!$F$4:$F$44))</f>
        <v>46560</v>
      </c>
      <c r="M250" s="29" t="s">
        <v>580</v>
      </c>
      <c r="N250" s="31" t="n">
        <v>0</v>
      </c>
      <c r="O250" s="31" t="n">
        <v>0</v>
      </c>
      <c r="P250" s="31" t="n">
        <v>0</v>
      </c>
      <c r="Q250" s="31" t="n">
        <v>0</v>
      </c>
      <c r="R250" s="31" t="n">
        <v>0</v>
      </c>
      <c r="S250" s="31" t="n">
        <v>0</v>
      </c>
      <c r="T250" s="31" t="n">
        <v>12</v>
      </c>
      <c r="U250" s="31" t="n">
        <v>0</v>
      </c>
      <c r="V250" s="31" t="n">
        <v>0</v>
      </c>
      <c r="W250" s="31" t="n">
        <v>0</v>
      </c>
      <c r="X250" s="31" t="n">
        <v>0</v>
      </c>
      <c r="Y250" s="32" t="n">
        <f aca="false">SUM(N250:X250)</f>
        <v>12</v>
      </c>
      <c r="Z250" s="32" t="n">
        <f aca="false">Y250*(1+Assumptions!$C$5)</f>
        <v>13.8</v>
      </c>
      <c r="AA250" s="27" t="s">
        <v>321</v>
      </c>
      <c r="AB250" s="27" t="s">
        <v>95</v>
      </c>
      <c r="AC250" s="27"/>
      <c r="AD250" s="33" t="n">
        <v>0</v>
      </c>
      <c r="AF250" s="21" t="n">
        <f aca="false">IF($J250=0,0,MAX(0,NETWORKDAYS(MAX($K250,AF$4),MIN($L250,EOMONTH(AF$4,0)),Assumptions!$F$4:$F$44))/NETWORKDAYS($K250,$L250,Assumptions!$F$4:$F$44))</f>
        <v>0</v>
      </c>
      <c r="AG250" s="21" t="n">
        <f aca="false">IF($J250=0,0,MAX(0,NETWORKDAYS(MAX($K250,AG$4),MIN($L250,EOMONTH(AG$4,0)),Assumptions!$F$4:$F$44))/NETWORKDAYS($K250,$L250,Assumptions!$F$4:$F$44))</f>
        <v>0</v>
      </c>
      <c r="AH250" s="21" t="n">
        <f aca="false">IF($J250=0,0,MAX(0,NETWORKDAYS(MAX($K250,AH$4),MIN($L250,EOMONTH(AH$4,0)),Assumptions!$F$4:$F$44))/NETWORKDAYS($K250,$L250,Assumptions!$F$4:$F$44))</f>
        <v>0</v>
      </c>
      <c r="AI250" s="21" t="n">
        <f aca="false">IF($J250=0,0,MAX(0,NETWORKDAYS(MAX($K250,AI$4),MIN($L250,EOMONTH(AI$4,0)),Assumptions!$F$4:$F$44))/NETWORKDAYS($K250,$L250,Assumptions!$F$4:$F$44))</f>
        <v>0</v>
      </c>
      <c r="AJ250" s="21" t="n">
        <f aca="false">IF($J250=0,0,MAX(0,NETWORKDAYS(MAX($K250,AJ$4),MIN($L250,EOMONTH(AJ$4,0)),Assumptions!$F$4:$F$44))/NETWORKDAYS($K250,$L250,Assumptions!$F$4:$F$44))</f>
        <v>0</v>
      </c>
      <c r="AK250" s="21" t="n">
        <f aca="false">IF($J250=0,0,MAX(0,NETWORKDAYS(MAX($K250,AK$4),MIN($L250,EOMONTH(AK$4,0)),Assumptions!$F$4:$F$44))/NETWORKDAYS($K250,$L250,Assumptions!$F$4:$F$44))</f>
        <v>0.195652173913044</v>
      </c>
      <c r="AL250" s="21" t="n">
        <f aca="false">IF($J250=0,0,MAX(0,NETWORKDAYS(MAX($K250,AL$4),MIN($L250,EOMONTH(AL$4,0)),Assumptions!$F$4:$F$44))/NETWORKDAYS($K250,$L250,Assumptions!$F$4:$F$44))</f>
        <v>0.456521739130435</v>
      </c>
      <c r="AM250" s="21" t="n">
        <f aca="false">IF($J250=0,0,MAX(0,NETWORKDAYS(MAX($K250,AM$4),MIN($L250,EOMONTH(AM$4,0)),Assumptions!$F$4:$F$44))/NETWORKDAYS($K250,$L250,Assumptions!$F$4:$F$44))</f>
        <v>0.347826086956522</v>
      </c>
      <c r="AN250" s="21" t="n">
        <f aca="false">IF($J250=0,0,MAX(0,NETWORKDAYS(MAX($K250,AN$4),MIN($L250,EOMONTH(AN$4,0)),Assumptions!$F$4:$F$44))/NETWORKDAYS($K250,$L250,Assumptions!$F$4:$F$44))</f>
        <v>0</v>
      </c>
      <c r="AO250" s="21" t="n">
        <f aca="false">IF($J250=0,0,MAX(0,NETWORKDAYS(MAX($K250,AO$4),MIN($L250,EOMONTH(AO$4,0)),Assumptions!$F$4:$F$44))/NETWORKDAYS($K250,$L250,Assumptions!$F$4:$F$44))</f>
        <v>0</v>
      </c>
      <c r="AP250" s="21" t="n">
        <f aca="false">IF($J250=0,0,MAX(0,NETWORKDAYS(MAX($K250,AP$4),MIN($L250,EOMONTH(AP$4,0)),Assumptions!$F$4:$F$44))/NETWORKDAYS($K250,$L250,Assumptions!$F$4:$F$44))</f>
        <v>0</v>
      </c>
      <c r="AQ250" s="21" t="n">
        <f aca="false">IF($J250=0,0,MAX(0,NETWORKDAYS(MAX($K250,AQ$4),MIN($L250,EOMONTH(AQ$4,0)),Assumptions!$F$4:$F$44))/NETWORKDAYS($K250,$L250,Assumptions!$F$4:$F$44))</f>
        <v>0</v>
      </c>
      <c r="AR250" s="21" t="n">
        <f aca="false">IF($J250=0,0,MAX(0,NETWORKDAYS(MAX($K250,AR$4),MIN($L250,EOMONTH(AR$4,0)),Assumptions!$F$4:$F$44))/NETWORKDAYS($K250,$L250,Assumptions!$F$4:$F$44))</f>
        <v>0</v>
      </c>
      <c r="AS250" s="21" t="n">
        <f aca="false">IF($J250=0,0,MAX(0,NETWORKDAYS(MAX($K250,AS$4),MIN($L250,EOMONTH(AS$4,0)),Assumptions!$F$4:$F$44))/NETWORKDAYS($K250,$L250,Assumptions!$F$4:$F$44))</f>
        <v>0</v>
      </c>
      <c r="AT250" s="21" t="n">
        <f aca="false">IF($J250=0,0,MAX(0,NETWORKDAYS(MAX($K250,AT$4),MIN($L250,EOMONTH(AT$4,0)),Assumptions!$F$4:$F$44))/NETWORKDAYS($K250,$L250,Assumptions!$F$4:$F$44))</f>
        <v>0</v>
      </c>
      <c r="AU250" s="21" t="n">
        <f aca="false">IF($J250=0,0,MAX(0,NETWORKDAYS(MAX($K250,AU$4),MIN($L250,EOMONTH(AU$4,0)),Assumptions!$F$4:$F$44))/NETWORKDAYS($K250,$L250,Assumptions!$F$4:$F$44))</f>
        <v>0</v>
      </c>
      <c r="AV250" s="21" t="n">
        <f aca="false">IF($J250=0,0,MAX(0,NETWORKDAYS(MAX($K250,AV$4),MIN($L250,EOMONTH(AV$4,0)),Assumptions!$F$4:$F$44))/NETWORKDAYS($K250,$L250,Assumptions!$F$4:$F$44))</f>
        <v>0</v>
      </c>
      <c r="AW250" s="21" t="n">
        <f aca="false">IF($J250=0,0,MAX(0,NETWORKDAYS(MAX($K250,AW$4),MIN($L250,EOMONTH(AW$4,0)),Assumptions!$F$4:$F$44))/NETWORKDAYS($K250,$L250,Assumptions!$F$4:$F$44))</f>
        <v>0</v>
      </c>
      <c r="AX250" s="21" t="n">
        <f aca="false">IF($J250=0,0,MAX(0,NETWORKDAYS(MAX($K250,AX$4),MIN($L250,EOMONTH(AX$4,0)),Assumptions!$F$4:$F$44))/NETWORKDAYS($K250,$L250,Assumptions!$F$4:$F$44))</f>
        <v>0</v>
      </c>
      <c r="AY250" s="21" t="n">
        <f aca="false">IF($J250=0,0,MAX(0,NETWORKDAYS(MAX($K250,AY$4),MIN($L250,EOMONTH(AY$4,0)),Assumptions!$F$4:$F$44))/NETWORKDAYS($K250,$L250,Assumptions!$F$4:$F$44))</f>
        <v>0</v>
      </c>
      <c r="AZ250" s="21" t="n">
        <f aca="false">IF($J250=0,0,MAX(0,NETWORKDAYS(MAX($K250,AZ$4),MIN($L250,EOMONTH(AZ$4,0)),Assumptions!$F$4:$F$44))/NETWORKDAYS($K250,$L250,Assumptions!$F$4:$F$44))</f>
        <v>0</v>
      </c>
      <c r="BA250" s="21" t="n">
        <f aca="false">IF($J250=0,0,MAX(0,NETWORKDAYS(MAX($K250,BA$4),MIN($L250,EOMONTH(BA$4,0)),Assumptions!$F$4:$F$44))/NETWORKDAYS($K250,$L250,Assumptions!$F$4:$F$44))</f>
        <v>0</v>
      </c>
      <c r="BB250" s="21" t="n">
        <f aca="false">IF($J250=0,0,MAX(0,NETWORKDAYS(MAX($K250,BB$4),MIN($L250,EOMONTH(BB$4,0)),Assumptions!$F$4:$F$44))/NETWORKDAYS($K250,$L250,Assumptions!$F$4:$F$44))</f>
        <v>0</v>
      </c>
      <c r="BC250" s="21" t="n">
        <f aca="false">IF($J250=0,0,MAX(0,NETWORKDAYS(MAX($K250,BC$4),MIN($L250,EOMONTH(BC$4,0)),Assumptions!$F$4:$F$44))/NETWORKDAYS($K250,$L250,Assumptions!$F$4:$F$44))</f>
        <v>0</v>
      </c>
    </row>
    <row r="251" customFormat="false" ht="15" hidden="false" customHeight="false" outlineLevel="2" collapsed="false">
      <c r="A251" s="27" t="n">
        <v>247</v>
      </c>
      <c r="B251" s="27" t="s">
        <v>587</v>
      </c>
      <c r="C251" s="27" t="n">
        <v>3</v>
      </c>
      <c r="D251" s="27" t="s">
        <v>92</v>
      </c>
      <c r="E251" s="28" t="s">
        <v>588</v>
      </c>
      <c r="F251" s="27" t="s">
        <v>502</v>
      </c>
      <c r="G251" s="27" t="s">
        <v>573</v>
      </c>
      <c r="H251" s="27" t="s">
        <v>47</v>
      </c>
      <c r="I251" s="29" t="n">
        <v>141</v>
      </c>
      <c r="J251" s="29" t="n">
        <v>37</v>
      </c>
      <c r="K251" s="30" t="n">
        <f aca="false">WORKDAY(Assumptions!$C$4,I251,Assumptions!$F$4:$F$44)</f>
        <v>46525</v>
      </c>
      <c r="L251" s="30" t="n">
        <f aca="false">IF(J251=0,K251,WORKDAY(K251,J251-1,Assumptions!$F$4:$F$44))</f>
        <v>46575</v>
      </c>
      <c r="M251" s="29" t="s">
        <v>589</v>
      </c>
      <c r="N251" s="31" t="n">
        <v>0</v>
      </c>
      <c r="O251" s="31" t="n">
        <v>0</v>
      </c>
      <c r="P251" s="31" t="n">
        <v>0</v>
      </c>
      <c r="Q251" s="31" t="n">
        <v>21</v>
      </c>
      <c r="R251" s="31" t="n">
        <v>0</v>
      </c>
      <c r="S251" s="31" t="n">
        <v>0</v>
      </c>
      <c r="T251" s="31" t="n">
        <v>0</v>
      </c>
      <c r="U251" s="31" t="n">
        <v>0</v>
      </c>
      <c r="V251" s="31" t="n">
        <v>0</v>
      </c>
      <c r="W251" s="31" t="n">
        <v>0</v>
      </c>
      <c r="X251" s="31" t="n">
        <v>0</v>
      </c>
      <c r="Y251" s="32" t="n">
        <f aca="false">SUM(N251:X251)</f>
        <v>21</v>
      </c>
      <c r="Z251" s="32" t="n">
        <f aca="false">Y251*(1+Assumptions!$C$5)</f>
        <v>24.15</v>
      </c>
      <c r="AA251" s="27" t="s">
        <v>325</v>
      </c>
      <c r="AB251" s="27" t="s">
        <v>95</v>
      </c>
      <c r="AC251" s="27"/>
      <c r="AD251" s="33" t="n">
        <v>0</v>
      </c>
      <c r="AF251" s="21" t="n">
        <f aca="false">IF($J251=0,0,MAX(0,NETWORKDAYS(MAX($K251,AF$4),MIN($L251,EOMONTH(AF$4,0)),Assumptions!$F$4:$F$44))/NETWORKDAYS($K251,$L251,Assumptions!$F$4:$F$44))</f>
        <v>0</v>
      </c>
      <c r="AG251" s="21" t="n">
        <f aca="false">IF($J251=0,0,MAX(0,NETWORKDAYS(MAX($K251,AG$4),MIN($L251,EOMONTH(AG$4,0)),Assumptions!$F$4:$F$44))/NETWORKDAYS($K251,$L251,Assumptions!$F$4:$F$44))</f>
        <v>0</v>
      </c>
      <c r="AH251" s="21" t="n">
        <f aca="false">IF($J251=0,0,MAX(0,NETWORKDAYS(MAX($K251,AH$4),MIN($L251,EOMONTH(AH$4,0)),Assumptions!$F$4:$F$44))/NETWORKDAYS($K251,$L251,Assumptions!$F$4:$F$44))</f>
        <v>0</v>
      </c>
      <c r="AI251" s="21" t="n">
        <f aca="false">IF($J251=0,0,MAX(0,NETWORKDAYS(MAX($K251,AI$4),MIN($L251,EOMONTH(AI$4,0)),Assumptions!$F$4:$F$44))/NETWORKDAYS($K251,$L251,Assumptions!$F$4:$F$44))</f>
        <v>0</v>
      </c>
      <c r="AJ251" s="21" t="n">
        <f aca="false">IF($J251=0,0,MAX(0,NETWORKDAYS(MAX($K251,AJ$4),MIN($L251,EOMONTH(AJ$4,0)),Assumptions!$F$4:$F$44))/NETWORKDAYS($K251,$L251,Assumptions!$F$4:$F$44))</f>
        <v>0</v>
      </c>
      <c r="AK251" s="21" t="n">
        <f aca="false">IF($J251=0,0,MAX(0,NETWORKDAYS(MAX($K251,AK$4),MIN($L251,EOMONTH(AK$4,0)),Assumptions!$F$4:$F$44))/NETWORKDAYS($K251,$L251,Assumptions!$F$4:$F$44))</f>
        <v>0</v>
      </c>
      <c r="AL251" s="21" t="n">
        <f aca="false">IF($J251=0,0,MAX(0,NETWORKDAYS(MAX($K251,AL$4),MIN($L251,EOMONTH(AL$4,0)),Assumptions!$F$4:$F$44))/NETWORKDAYS($K251,$L251,Assumptions!$F$4:$F$44))</f>
        <v>0.27027027027027</v>
      </c>
      <c r="AM251" s="21" t="n">
        <f aca="false">IF($J251=0,0,MAX(0,NETWORKDAYS(MAX($K251,AM$4),MIN($L251,EOMONTH(AM$4,0)),Assumptions!$F$4:$F$44))/NETWORKDAYS($K251,$L251,Assumptions!$F$4:$F$44))</f>
        <v>0.594594594594595</v>
      </c>
      <c r="AN251" s="21" t="n">
        <f aca="false">IF($J251=0,0,MAX(0,NETWORKDAYS(MAX($K251,AN$4),MIN($L251,EOMONTH(AN$4,0)),Assumptions!$F$4:$F$44))/NETWORKDAYS($K251,$L251,Assumptions!$F$4:$F$44))</f>
        <v>0.135135135135135</v>
      </c>
      <c r="AO251" s="21" t="n">
        <f aca="false">IF($J251=0,0,MAX(0,NETWORKDAYS(MAX($K251,AO$4),MIN($L251,EOMONTH(AO$4,0)),Assumptions!$F$4:$F$44))/NETWORKDAYS($K251,$L251,Assumptions!$F$4:$F$44))</f>
        <v>0</v>
      </c>
      <c r="AP251" s="21" t="n">
        <f aca="false">IF($J251=0,0,MAX(0,NETWORKDAYS(MAX($K251,AP$4),MIN($L251,EOMONTH(AP$4,0)),Assumptions!$F$4:$F$44))/NETWORKDAYS($K251,$L251,Assumptions!$F$4:$F$44))</f>
        <v>0</v>
      </c>
      <c r="AQ251" s="21" t="n">
        <f aca="false">IF($J251=0,0,MAX(0,NETWORKDAYS(MAX($K251,AQ$4),MIN($L251,EOMONTH(AQ$4,0)),Assumptions!$F$4:$F$44))/NETWORKDAYS($K251,$L251,Assumptions!$F$4:$F$44))</f>
        <v>0</v>
      </c>
      <c r="AR251" s="21" t="n">
        <f aca="false">IF($J251=0,0,MAX(0,NETWORKDAYS(MAX($K251,AR$4),MIN($L251,EOMONTH(AR$4,0)),Assumptions!$F$4:$F$44))/NETWORKDAYS($K251,$L251,Assumptions!$F$4:$F$44))</f>
        <v>0</v>
      </c>
      <c r="AS251" s="21" t="n">
        <f aca="false">IF($J251=0,0,MAX(0,NETWORKDAYS(MAX($K251,AS$4),MIN($L251,EOMONTH(AS$4,0)),Assumptions!$F$4:$F$44))/NETWORKDAYS($K251,$L251,Assumptions!$F$4:$F$44))</f>
        <v>0</v>
      </c>
      <c r="AT251" s="21" t="n">
        <f aca="false">IF($J251=0,0,MAX(0,NETWORKDAYS(MAX($K251,AT$4),MIN($L251,EOMONTH(AT$4,0)),Assumptions!$F$4:$F$44))/NETWORKDAYS($K251,$L251,Assumptions!$F$4:$F$44))</f>
        <v>0</v>
      </c>
      <c r="AU251" s="21" t="n">
        <f aca="false">IF($J251=0,0,MAX(0,NETWORKDAYS(MAX($K251,AU$4),MIN($L251,EOMONTH(AU$4,0)),Assumptions!$F$4:$F$44))/NETWORKDAYS($K251,$L251,Assumptions!$F$4:$F$44))</f>
        <v>0</v>
      </c>
      <c r="AV251" s="21" t="n">
        <f aca="false">IF($J251=0,0,MAX(0,NETWORKDAYS(MAX($K251,AV$4),MIN($L251,EOMONTH(AV$4,0)),Assumptions!$F$4:$F$44))/NETWORKDAYS($K251,$L251,Assumptions!$F$4:$F$44))</f>
        <v>0</v>
      </c>
      <c r="AW251" s="21" t="n">
        <f aca="false">IF($J251=0,0,MAX(0,NETWORKDAYS(MAX($K251,AW$4),MIN($L251,EOMONTH(AW$4,0)),Assumptions!$F$4:$F$44))/NETWORKDAYS($K251,$L251,Assumptions!$F$4:$F$44))</f>
        <v>0</v>
      </c>
      <c r="AX251" s="21" t="n">
        <f aca="false">IF($J251=0,0,MAX(0,NETWORKDAYS(MAX($K251,AX$4),MIN($L251,EOMONTH(AX$4,0)),Assumptions!$F$4:$F$44))/NETWORKDAYS($K251,$L251,Assumptions!$F$4:$F$44))</f>
        <v>0</v>
      </c>
      <c r="AY251" s="21" t="n">
        <f aca="false">IF($J251=0,0,MAX(0,NETWORKDAYS(MAX($K251,AY$4),MIN($L251,EOMONTH(AY$4,0)),Assumptions!$F$4:$F$44))/NETWORKDAYS($K251,$L251,Assumptions!$F$4:$F$44))</f>
        <v>0</v>
      </c>
      <c r="AZ251" s="21" t="n">
        <f aca="false">IF($J251=0,0,MAX(0,NETWORKDAYS(MAX($K251,AZ$4),MIN($L251,EOMONTH(AZ$4,0)),Assumptions!$F$4:$F$44))/NETWORKDAYS($K251,$L251,Assumptions!$F$4:$F$44))</f>
        <v>0</v>
      </c>
      <c r="BA251" s="21" t="n">
        <f aca="false">IF($J251=0,0,MAX(0,NETWORKDAYS(MAX($K251,BA$4),MIN($L251,EOMONTH(BA$4,0)),Assumptions!$F$4:$F$44))/NETWORKDAYS($K251,$L251,Assumptions!$F$4:$F$44))</f>
        <v>0</v>
      </c>
      <c r="BB251" s="21" t="n">
        <f aca="false">IF($J251=0,0,MAX(0,NETWORKDAYS(MAX($K251,BB$4),MIN($L251,EOMONTH(BB$4,0)),Assumptions!$F$4:$F$44))/NETWORKDAYS($K251,$L251,Assumptions!$F$4:$F$44))</f>
        <v>0</v>
      </c>
      <c r="BC251" s="21" t="n">
        <f aca="false">IF($J251=0,0,MAX(0,NETWORKDAYS(MAX($K251,BC$4),MIN($L251,EOMONTH(BC$4,0)),Assumptions!$F$4:$F$44))/NETWORKDAYS($K251,$L251,Assumptions!$F$4:$F$44))</f>
        <v>0</v>
      </c>
    </row>
    <row r="252" customFormat="false" ht="15" hidden="false" customHeight="false" outlineLevel="2" collapsed="false">
      <c r="A252" s="27" t="n">
        <v>248</v>
      </c>
      <c r="B252" s="27" t="s">
        <v>590</v>
      </c>
      <c r="C252" s="27" t="n">
        <v>3</v>
      </c>
      <c r="D252" s="27" t="s">
        <v>92</v>
      </c>
      <c r="E252" s="28" t="s">
        <v>591</v>
      </c>
      <c r="F252" s="27" t="s">
        <v>502</v>
      </c>
      <c r="G252" s="27" t="s">
        <v>573</v>
      </c>
      <c r="H252" s="27" t="s">
        <v>47</v>
      </c>
      <c r="I252" s="29" t="n">
        <v>134</v>
      </c>
      <c r="J252" s="29" t="n">
        <v>44</v>
      </c>
      <c r="K252" s="30" t="n">
        <f aca="false">WORKDAY(Assumptions!$C$4,I252,Assumptions!$F$4:$F$44)</f>
        <v>46514</v>
      </c>
      <c r="L252" s="30" t="n">
        <f aca="false">IF(J252=0,K252,WORKDAY(K252,J252-1,Assumptions!$F$4:$F$44))</f>
        <v>46575</v>
      </c>
      <c r="M252" s="29" t="s">
        <v>580</v>
      </c>
      <c r="N252" s="31" t="n">
        <v>0</v>
      </c>
      <c r="O252" s="31" t="n">
        <v>0</v>
      </c>
      <c r="P252" s="31" t="n">
        <v>0</v>
      </c>
      <c r="Q252" s="31" t="n">
        <v>50</v>
      </c>
      <c r="R252" s="31" t="n">
        <v>0</v>
      </c>
      <c r="S252" s="31" t="n">
        <v>0</v>
      </c>
      <c r="T252" s="31" t="n">
        <v>0</v>
      </c>
      <c r="U252" s="31" t="n">
        <v>0</v>
      </c>
      <c r="V252" s="31" t="n">
        <v>10</v>
      </c>
      <c r="W252" s="31" t="n">
        <v>0</v>
      </c>
      <c r="X252" s="31" t="n">
        <v>0</v>
      </c>
      <c r="Y252" s="32" t="n">
        <f aca="false">SUM(N252:X252)</f>
        <v>60</v>
      </c>
      <c r="Z252" s="32" t="n">
        <f aca="false">Y252*(1+Assumptions!$C$5)</f>
        <v>69</v>
      </c>
      <c r="AA252" s="27" t="s">
        <v>328</v>
      </c>
      <c r="AB252" s="27" t="s">
        <v>95</v>
      </c>
      <c r="AC252" s="27"/>
      <c r="AD252" s="33" t="n">
        <v>0</v>
      </c>
      <c r="AF252" s="21" t="n">
        <f aca="false">IF($J252=0,0,MAX(0,NETWORKDAYS(MAX($K252,AF$4),MIN($L252,EOMONTH(AF$4,0)),Assumptions!$F$4:$F$44))/NETWORKDAYS($K252,$L252,Assumptions!$F$4:$F$44))</f>
        <v>0</v>
      </c>
      <c r="AG252" s="21" t="n">
        <f aca="false">IF($J252=0,0,MAX(0,NETWORKDAYS(MAX($K252,AG$4),MIN($L252,EOMONTH(AG$4,0)),Assumptions!$F$4:$F$44))/NETWORKDAYS($K252,$L252,Assumptions!$F$4:$F$44))</f>
        <v>0</v>
      </c>
      <c r="AH252" s="21" t="n">
        <f aca="false">IF($J252=0,0,MAX(0,NETWORKDAYS(MAX($K252,AH$4),MIN($L252,EOMONTH(AH$4,0)),Assumptions!$F$4:$F$44))/NETWORKDAYS($K252,$L252,Assumptions!$F$4:$F$44))</f>
        <v>0</v>
      </c>
      <c r="AI252" s="21" t="n">
        <f aca="false">IF($J252=0,0,MAX(0,NETWORKDAYS(MAX($K252,AI$4),MIN($L252,EOMONTH(AI$4,0)),Assumptions!$F$4:$F$44))/NETWORKDAYS($K252,$L252,Assumptions!$F$4:$F$44))</f>
        <v>0</v>
      </c>
      <c r="AJ252" s="21" t="n">
        <f aca="false">IF($J252=0,0,MAX(0,NETWORKDAYS(MAX($K252,AJ$4),MIN($L252,EOMONTH(AJ$4,0)),Assumptions!$F$4:$F$44))/NETWORKDAYS($K252,$L252,Assumptions!$F$4:$F$44))</f>
        <v>0</v>
      </c>
      <c r="AK252" s="21" t="n">
        <f aca="false">IF($J252=0,0,MAX(0,NETWORKDAYS(MAX($K252,AK$4),MIN($L252,EOMONTH(AK$4,0)),Assumptions!$F$4:$F$44))/NETWORKDAYS($K252,$L252,Assumptions!$F$4:$F$44))</f>
        <v>0</v>
      </c>
      <c r="AL252" s="21" t="n">
        <f aca="false">IF($J252=0,0,MAX(0,NETWORKDAYS(MAX($K252,AL$4),MIN($L252,EOMONTH(AL$4,0)),Assumptions!$F$4:$F$44))/NETWORKDAYS($K252,$L252,Assumptions!$F$4:$F$44))</f>
        <v>0.386363636363636</v>
      </c>
      <c r="AM252" s="21" t="n">
        <f aca="false">IF($J252=0,0,MAX(0,NETWORKDAYS(MAX($K252,AM$4),MIN($L252,EOMONTH(AM$4,0)),Assumptions!$F$4:$F$44))/NETWORKDAYS($K252,$L252,Assumptions!$F$4:$F$44))</f>
        <v>0.5</v>
      </c>
      <c r="AN252" s="21" t="n">
        <f aca="false">IF($J252=0,0,MAX(0,NETWORKDAYS(MAX($K252,AN$4),MIN($L252,EOMONTH(AN$4,0)),Assumptions!$F$4:$F$44))/NETWORKDAYS($K252,$L252,Assumptions!$F$4:$F$44))</f>
        <v>0.113636363636364</v>
      </c>
      <c r="AO252" s="21" t="n">
        <f aca="false">IF($J252=0,0,MAX(0,NETWORKDAYS(MAX($K252,AO$4),MIN($L252,EOMONTH(AO$4,0)),Assumptions!$F$4:$F$44))/NETWORKDAYS($K252,$L252,Assumptions!$F$4:$F$44))</f>
        <v>0</v>
      </c>
      <c r="AP252" s="21" t="n">
        <f aca="false">IF($J252=0,0,MAX(0,NETWORKDAYS(MAX($K252,AP$4),MIN($L252,EOMONTH(AP$4,0)),Assumptions!$F$4:$F$44))/NETWORKDAYS($K252,$L252,Assumptions!$F$4:$F$44))</f>
        <v>0</v>
      </c>
      <c r="AQ252" s="21" t="n">
        <f aca="false">IF($J252=0,0,MAX(0,NETWORKDAYS(MAX($K252,AQ$4),MIN($L252,EOMONTH(AQ$4,0)),Assumptions!$F$4:$F$44))/NETWORKDAYS($K252,$L252,Assumptions!$F$4:$F$44))</f>
        <v>0</v>
      </c>
      <c r="AR252" s="21" t="n">
        <f aca="false">IF($J252=0,0,MAX(0,NETWORKDAYS(MAX($K252,AR$4),MIN($L252,EOMONTH(AR$4,0)),Assumptions!$F$4:$F$44))/NETWORKDAYS($K252,$L252,Assumptions!$F$4:$F$44))</f>
        <v>0</v>
      </c>
      <c r="AS252" s="21" t="n">
        <f aca="false">IF($J252=0,0,MAX(0,NETWORKDAYS(MAX($K252,AS$4),MIN($L252,EOMONTH(AS$4,0)),Assumptions!$F$4:$F$44))/NETWORKDAYS($K252,$L252,Assumptions!$F$4:$F$44))</f>
        <v>0</v>
      </c>
      <c r="AT252" s="21" t="n">
        <f aca="false">IF($J252=0,0,MAX(0,NETWORKDAYS(MAX($K252,AT$4),MIN($L252,EOMONTH(AT$4,0)),Assumptions!$F$4:$F$44))/NETWORKDAYS($K252,$L252,Assumptions!$F$4:$F$44))</f>
        <v>0</v>
      </c>
      <c r="AU252" s="21" t="n">
        <f aca="false">IF($J252=0,0,MAX(0,NETWORKDAYS(MAX($K252,AU$4),MIN($L252,EOMONTH(AU$4,0)),Assumptions!$F$4:$F$44))/NETWORKDAYS($K252,$L252,Assumptions!$F$4:$F$44))</f>
        <v>0</v>
      </c>
      <c r="AV252" s="21" t="n">
        <f aca="false">IF($J252=0,0,MAX(0,NETWORKDAYS(MAX($K252,AV$4),MIN($L252,EOMONTH(AV$4,0)),Assumptions!$F$4:$F$44))/NETWORKDAYS($K252,$L252,Assumptions!$F$4:$F$44))</f>
        <v>0</v>
      </c>
      <c r="AW252" s="21" t="n">
        <f aca="false">IF($J252=0,0,MAX(0,NETWORKDAYS(MAX($K252,AW$4),MIN($L252,EOMONTH(AW$4,0)),Assumptions!$F$4:$F$44))/NETWORKDAYS($K252,$L252,Assumptions!$F$4:$F$44))</f>
        <v>0</v>
      </c>
      <c r="AX252" s="21" t="n">
        <f aca="false">IF($J252=0,0,MAX(0,NETWORKDAYS(MAX($K252,AX$4),MIN($L252,EOMONTH(AX$4,0)),Assumptions!$F$4:$F$44))/NETWORKDAYS($K252,$L252,Assumptions!$F$4:$F$44))</f>
        <v>0</v>
      </c>
      <c r="AY252" s="21" t="n">
        <f aca="false">IF($J252=0,0,MAX(0,NETWORKDAYS(MAX($K252,AY$4),MIN($L252,EOMONTH(AY$4,0)),Assumptions!$F$4:$F$44))/NETWORKDAYS($K252,$L252,Assumptions!$F$4:$F$44))</f>
        <v>0</v>
      </c>
      <c r="AZ252" s="21" t="n">
        <f aca="false">IF($J252=0,0,MAX(0,NETWORKDAYS(MAX($K252,AZ$4),MIN($L252,EOMONTH(AZ$4,0)),Assumptions!$F$4:$F$44))/NETWORKDAYS($K252,$L252,Assumptions!$F$4:$F$44))</f>
        <v>0</v>
      </c>
      <c r="BA252" s="21" t="n">
        <f aca="false">IF($J252=0,0,MAX(0,NETWORKDAYS(MAX($K252,BA$4),MIN($L252,EOMONTH(BA$4,0)),Assumptions!$F$4:$F$44))/NETWORKDAYS($K252,$L252,Assumptions!$F$4:$F$44))</f>
        <v>0</v>
      </c>
      <c r="BB252" s="21" t="n">
        <f aca="false">IF($J252=0,0,MAX(0,NETWORKDAYS(MAX($K252,BB$4),MIN($L252,EOMONTH(BB$4,0)),Assumptions!$F$4:$F$44))/NETWORKDAYS($K252,$L252,Assumptions!$F$4:$F$44))</f>
        <v>0</v>
      </c>
      <c r="BC252" s="21" t="n">
        <f aca="false">IF($J252=0,0,MAX(0,NETWORKDAYS(MAX($K252,BC$4),MIN($L252,EOMONTH(BC$4,0)),Assumptions!$F$4:$F$44))/NETWORKDAYS($K252,$L252,Assumptions!$F$4:$F$44))</f>
        <v>0</v>
      </c>
    </row>
    <row r="253" customFormat="false" ht="15" hidden="false" customHeight="false" outlineLevel="2" collapsed="false">
      <c r="A253" s="27" t="n">
        <v>249</v>
      </c>
      <c r="B253" s="27" t="s">
        <v>592</v>
      </c>
      <c r="C253" s="27" t="n">
        <v>3</v>
      </c>
      <c r="D253" s="27" t="s">
        <v>92</v>
      </c>
      <c r="E253" s="28" t="s">
        <v>330</v>
      </c>
      <c r="F253" s="27" t="s">
        <v>502</v>
      </c>
      <c r="G253" s="27" t="s">
        <v>573</v>
      </c>
      <c r="H253" s="27" t="s">
        <v>47</v>
      </c>
      <c r="I253" s="29" t="n">
        <v>154</v>
      </c>
      <c r="J253" s="29" t="n">
        <v>26</v>
      </c>
      <c r="K253" s="30" t="n">
        <f aca="false">WORKDAY(Assumptions!$C$4,I253,Assumptions!$F$4:$F$44)</f>
        <v>46542</v>
      </c>
      <c r="L253" s="30" t="n">
        <f aca="false">IF(J253=0,K253,WORKDAY(K253,J253-1,Assumptions!$F$4:$F$44))</f>
        <v>46577</v>
      </c>
      <c r="M253" s="29" t="s">
        <v>589</v>
      </c>
      <c r="N253" s="31" t="n">
        <v>0</v>
      </c>
      <c r="O253" s="31" t="n">
        <v>2</v>
      </c>
      <c r="P253" s="31" t="n">
        <v>0</v>
      </c>
      <c r="Q253" s="31" t="n">
        <v>5</v>
      </c>
      <c r="R253" s="31" t="n">
        <v>5</v>
      </c>
      <c r="S253" s="31" t="n">
        <v>0</v>
      </c>
      <c r="T253" s="31" t="n">
        <v>0</v>
      </c>
      <c r="U253" s="31" t="n">
        <v>0</v>
      </c>
      <c r="V253" s="31" t="n">
        <v>0</v>
      </c>
      <c r="W253" s="31" t="n">
        <v>0</v>
      </c>
      <c r="X253" s="31" t="n">
        <v>0</v>
      </c>
      <c r="Y253" s="32" t="n">
        <f aca="false">SUM(N253:X253)</f>
        <v>12</v>
      </c>
      <c r="Z253" s="32" t="n">
        <f aca="false">Y253*(1+Assumptions!$C$5)</f>
        <v>13.8</v>
      </c>
      <c r="AA253" s="27" t="s">
        <v>331</v>
      </c>
      <c r="AB253" s="27" t="s">
        <v>95</v>
      </c>
      <c r="AC253" s="27"/>
      <c r="AD253" s="33" t="n">
        <v>0</v>
      </c>
      <c r="AF253" s="21" t="n">
        <f aca="false">IF($J253=0,0,MAX(0,NETWORKDAYS(MAX($K253,AF$4),MIN($L253,EOMONTH(AF$4,0)),Assumptions!$F$4:$F$44))/NETWORKDAYS($K253,$L253,Assumptions!$F$4:$F$44))</f>
        <v>0</v>
      </c>
      <c r="AG253" s="21" t="n">
        <f aca="false">IF($J253=0,0,MAX(0,NETWORKDAYS(MAX($K253,AG$4),MIN($L253,EOMONTH(AG$4,0)),Assumptions!$F$4:$F$44))/NETWORKDAYS($K253,$L253,Assumptions!$F$4:$F$44))</f>
        <v>0</v>
      </c>
      <c r="AH253" s="21" t="n">
        <f aca="false">IF($J253=0,0,MAX(0,NETWORKDAYS(MAX($K253,AH$4),MIN($L253,EOMONTH(AH$4,0)),Assumptions!$F$4:$F$44))/NETWORKDAYS($K253,$L253,Assumptions!$F$4:$F$44))</f>
        <v>0</v>
      </c>
      <c r="AI253" s="21" t="n">
        <f aca="false">IF($J253=0,0,MAX(0,NETWORKDAYS(MAX($K253,AI$4),MIN($L253,EOMONTH(AI$4,0)),Assumptions!$F$4:$F$44))/NETWORKDAYS($K253,$L253,Assumptions!$F$4:$F$44))</f>
        <v>0</v>
      </c>
      <c r="AJ253" s="21" t="n">
        <f aca="false">IF($J253=0,0,MAX(0,NETWORKDAYS(MAX($K253,AJ$4),MIN($L253,EOMONTH(AJ$4,0)),Assumptions!$F$4:$F$44))/NETWORKDAYS($K253,$L253,Assumptions!$F$4:$F$44))</f>
        <v>0</v>
      </c>
      <c r="AK253" s="21" t="n">
        <f aca="false">IF($J253=0,0,MAX(0,NETWORKDAYS(MAX($K253,AK$4),MIN($L253,EOMONTH(AK$4,0)),Assumptions!$F$4:$F$44))/NETWORKDAYS($K253,$L253,Assumptions!$F$4:$F$44))</f>
        <v>0</v>
      </c>
      <c r="AL253" s="21" t="n">
        <f aca="false">IF($J253=0,0,MAX(0,NETWORKDAYS(MAX($K253,AL$4),MIN($L253,EOMONTH(AL$4,0)),Assumptions!$F$4:$F$44))/NETWORKDAYS($K253,$L253,Assumptions!$F$4:$F$44))</f>
        <v>0</v>
      </c>
      <c r="AM253" s="21" t="n">
        <f aca="false">IF($J253=0,0,MAX(0,NETWORKDAYS(MAX($K253,AM$4),MIN($L253,EOMONTH(AM$4,0)),Assumptions!$F$4:$F$44))/NETWORKDAYS($K253,$L253,Assumptions!$F$4:$F$44))</f>
        <v>0.730769230769231</v>
      </c>
      <c r="AN253" s="21" t="n">
        <f aca="false">IF($J253=0,0,MAX(0,NETWORKDAYS(MAX($K253,AN$4),MIN($L253,EOMONTH(AN$4,0)),Assumptions!$F$4:$F$44))/NETWORKDAYS($K253,$L253,Assumptions!$F$4:$F$44))</f>
        <v>0.269230769230769</v>
      </c>
      <c r="AO253" s="21" t="n">
        <f aca="false">IF($J253=0,0,MAX(0,NETWORKDAYS(MAX($K253,AO$4),MIN($L253,EOMONTH(AO$4,0)),Assumptions!$F$4:$F$44))/NETWORKDAYS($K253,$L253,Assumptions!$F$4:$F$44))</f>
        <v>0</v>
      </c>
      <c r="AP253" s="21" t="n">
        <f aca="false">IF($J253=0,0,MAX(0,NETWORKDAYS(MAX($K253,AP$4),MIN($L253,EOMONTH(AP$4,0)),Assumptions!$F$4:$F$44))/NETWORKDAYS($K253,$L253,Assumptions!$F$4:$F$44))</f>
        <v>0</v>
      </c>
      <c r="AQ253" s="21" t="n">
        <f aca="false">IF($J253=0,0,MAX(0,NETWORKDAYS(MAX($K253,AQ$4),MIN($L253,EOMONTH(AQ$4,0)),Assumptions!$F$4:$F$44))/NETWORKDAYS($K253,$L253,Assumptions!$F$4:$F$44))</f>
        <v>0</v>
      </c>
      <c r="AR253" s="21" t="n">
        <f aca="false">IF($J253=0,0,MAX(0,NETWORKDAYS(MAX($K253,AR$4),MIN($L253,EOMONTH(AR$4,0)),Assumptions!$F$4:$F$44))/NETWORKDAYS($K253,$L253,Assumptions!$F$4:$F$44))</f>
        <v>0</v>
      </c>
      <c r="AS253" s="21" t="n">
        <f aca="false">IF($J253=0,0,MAX(0,NETWORKDAYS(MAX($K253,AS$4),MIN($L253,EOMONTH(AS$4,0)),Assumptions!$F$4:$F$44))/NETWORKDAYS($K253,$L253,Assumptions!$F$4:$F$44))</f>
        <v>0</v>
      </c>
      <c r="AT253" s="21" t="n">
        <f aca="false">IF($J253=0,0,MAX(0,NETWORKDAYS(MAX($K253,AT$4),MIN($L253,EOMONTH(AT$4,0)),Assumptions!$F$4:$F$44))/NETWORKDAYS($K253,$L253,Assumptions!$F$4:$F$44))</f>
        <v>0</v>
      </c>
      <c r="AU253" s="21" t="n">
        <f aca="false">IF($J253=0,0,MAX(0,NETWORKDAYS(MAX($K253,AU$4),MIN($L253,EOMONTH(AU$4,0)),Assumptions!$F$4:$F$44))/NETWORKDAYS($K253,$L253,Assumptions!$F$4:$F$44))</f>
        <v>0</v>
      </c>
      <c r="AV253" s="21" t="n">
        <f aca="false">IF($J253=0,0,MAX(0,NETWORKDAYS(MAX($K253,AV$4),MIN($L253,EOMONTH(AV$4,0)),Assumptions!$F$4:$F$44))/NETWORKDAYS($K253,$L253,Assumptions!$F$4:$F$44))</f>
        <v>0</v>
      </c>
      <c r="AW253" s="21" t="n">
        <f aca="false">IF($J253=0,0,MAX(0,NETWORKDAYS(MAX($K253,AW$4),MIN($L253,EOMONTH(AW$4,0)),Assumptions!$F$4:$F$44))/NETWORKDAYS($K253,$L253,Assumptions!$F$4:$F$44))</f>
        <v>0</v>
      </c>
      <c r="AX253" s="21" t="n">
        <f aca="false">IF($J253=0,0,MAX(0,NETWORKDAYS(MAX($K253,AX$4),MIN($L253,EOMONTH(AX$4,0)),Assumptions!$F$4:$F$44))/NETWORKDAYS($K253,$L253,Assumptions!$F$4:$F$44))</f>
        <v>0</v>
      </c>
      <c r="AY253" s="21" t="n">
        <f aca="false">IF($J253=0,0,MAX(0,NETWORKDAYS(MAX($K253,AY$4),MIN($L253,EOMONTH(AY$4,0)),Assumptions!$F$4:$F$44))/NETWORKDAYS($K253,$L253,Assumptions!$F$4:$F$44))</f>
        <v>0</v>
      </c>
      <c r="AZ253" s="21" t="n">
        <f aca="false">IF($J253=0,0,MAX(0,NETWORKDAYS(MAX($K253,AZ$4),MIN($L253,EOMONTH(AZ$4,0)),Assumptions!$F$4:$F$44))/NETWORKDAYS($K253,$L253,Assumptions!$F$4:$F$44))</f>
        <v>0</v>
      </c>
      <c r="BA253" s="21" t="n">
        <f aca="false">IF($J253=0,0,MAX(0,NETWORKDAYS(MAX($K253,BA$4),MIN($L253,EOMONTH(BA$4,0)),Assumptions!$F$4:$F$44))/NETWORKDAYS($K253,$L253,Assumptions!$F$4:$F$44))</f>
        <v>0</v>
      </c>
      <c r="BB253" s="21" t="n">
        <f aca="false">IF($J253=0,0,MAX(0,NETWORKDAYS(MAX($K253,BB$4),MIN($L253,EOMONTH(BB$4,0)),Assumptions!$F$4:$F$44))/NETWORKDAYS($K253,$L253,Assumptions!$F$4:$F$44))</f>
        <v>0</v>
      </c>
      <c r="BC253" s="21" t="n">
        <f aca="false">IF($J253=0,0,MAX(0,NETWORKDAYS(MAX($K253,BC$4),MIN($L253,EOMONTH(BC$4,0)),Assumptions!$F$4:$F$44))/NETWORKDAYS($K253,$L253,Assumptions!$F$4:$F$44))</f>
        <v>0</v>
      </c>
    </row>
    <row r="254" customFormat="false" ht="15" hidden="false" customHeight="false" outlineLevel="2" collapsed="false">
      <c r="A254" s="27" t="n">
        <v>250</v>
      </c>
      <c r="B254" s="27" t="s">
        <v>593</v>
      </c>
      <c r="C254" s="27" t="n">
        <v>3</v>
      </c>
      <c r="D254" s="27" t="s">
        <v>92</v>
      </c>
      <c r="E254" s="28" t="s">
        <v>594</v>
      </c>
      <c r="F254" s="27" t="s">
        <v>502</v>
      </c>
      <c r="G254" s="27" t="s">
        <v>573</v>
      </c>
      <c r="H254" s="27" t="s">
        <v>59</v>
      </c>
      <c r="I254" s="29" t="n">
        <v>128</v>
      </c>
      <c r="J254" s="29" t="n">
        <v>59</v>
      </c>
      <c r="K254" s="30" t="n">
        <f aca="false">WORKDAY(Assumptions!$C$4,I254,Assumptions!$F$4:$F$44)</f>
        <v>46506</v>
      </c>
      <c r="L254" s="30" t="n">
        <f aca="false">IF(J254=0,K254,WORKDAY(K254,J254-1,Assumptions!$F$4:$F$44))</f>
        <v>46588</v>
      </c>
      <c r="M254" s="29" t="s">
        <v>580</v>
      </c>
      <c r="N254" s="31" t="n">
        <v>0</v>
      </c>
      <c r="O254" s="31" t="n">
        <v>2</v>
      </c>
      <c r="P254" s="31" t="n">
        <v>0</v>
      </c>
      <c r="Q254" s="31" t="n">
        <v>0</v>
      </c>
      <c r="R254" s="31" t="n">
        <v>0</v>
      </c>
      <c r="S254" s="31" t="n">
        <v>0</v>
      </c>
      <c r="T254" s="31" t="n">
        <v>0</v>
      </c>
      <c r="U254" s="31" t="n">
        <v>0</v>
      </c>
      <c r="V254" s="31" t="n">
        <v>0</v>
      </c>
      <c r="W254" s="31" t="n">
        <v>14</v>
      </c>
      <c r="X254" s="31" t="n">
        <v>0</v>
      </c>
      <c r="Y254" s="32" t="n">
        <f aca="false">SUM(N254:X254)</f>
        <v>16</v>
      </c>
      <c r="Z254" s="32" t="n">
        <f aca="false">Y254*(1+Assumptions!$C$5)</f>
        <v>18.4</v>
      </c>
      <c r="AA254" s="27" t="s">
        <v>334</v>
      </c>
      <c r="AB254" s="27" t="s">
        <v>95</v>
      </c>
      <c r="AC254" s="27"/>
      <c r="AD254" s="33" t="n">
        <v>0</v>
      </c>
      <c r="AF254" s="21" t="n">
        <f aca="false">IF($J254=0,0,MAX(0,NETWORKDAYS(MAX($K254,AF$4),MIN($L254,EOMONTH(AF$4,0)),Assumptions!$F$4:$F$44))/NETWORKDAYS($K254,$L254,Assumptions!$F$4:$F$44))</f>
        <v>0</v>
      </c>
      <c r="AG254" s="21" t="n">
        <f aca="false">IF($J254=0,0,MAX(0,NETWORKDAYS(MAX($K254,AG$4),MIN($L254,EOMONTH(AG$4,0)),Assumptions!$F$4:$F$44))/NETWORKDAYS($K254,$L254,Assumptions!$F$4:$F$44))</f>
        <v>0</v>
      </c>
      <c r="AH254" s="21" t="n">
        <f aca="false">IF($J254=0,0,MAX(0,NETWORKDAYS(MAX($K254,AH$4),MIN($L254,EOMONTH(AH$4,0)),Assumptions!$F$4:$F$44))/NETWORKDAYS($K254,$L254,Assumptions!$F$4:$F$44))</f>
        <v>0</v>
      </c>
      <c r="AI254" s="21" t="n">
        <f aca="false">IF($J254=0,0,MAX(0,NETWORKDAYS(MAX($K254,AI$4),MIN($L254,EOMONTH(AI$4,0)),Assumptions!$F$4:$F$44))/NETWORKDAYS($K254,$L254,Assumptions!$F$4:$F$44))</f>
        <v>0</v>
      </c>
      <c r="AJ254" s="21" t="n">
        <f aca="false">IF($J254=0,0,MAX(0,NETWORKDAYS(MAX($K254,AJ$4),MIN($L254,EOMONTH(AJ$4,0)),Assumptions!$F$4:$F$44))/NETWORKDAYS($K254,$L254,Assumptions!$F$4:$F$44))</f>
        <v>0</v>
      </c>
      <c r="AK254" s="21" t="n">
        <f aca="false">IF($J254=0,0,MAX(0,NETWORKDAYS(MAX($K254,AK$4),MIN($L254,EOMONTH(AK$4,0)),Assumptions!$F$4:$F$44))/NETWORKDAYS($K254,$L254,Assumptions!$F$4:$F$44))</f>
        <v>0.0338983050847458</v>
      </c>
      <c r="AL254" s="21" t="n">
        <f aca="false">IF($J254=0,0,MAX(0,NETWORKDAYS(MAX($K254,AL$4),MIN($L254,EOMONTH(AL$4,0)),Assumptions!$F$4:$F$44))/NETWORKDAYS($K254,$L254,Assumptions!$F$4:$F$44))</f>
        <v>0.355932203389831</v>
      </c>
      <c r="AM254" s="21" t="n">
        <f aca="false">IF($J254=0,0,MAX(0,NETWORKDAYS(MAX($K254,AM$4),MIN($L254,EOMONTH(AM$4,0)),Assumptions!$F$4:$F$44))/NETWORKDAYS($K254,$L254,Assumptions!$F$4:$F$44))</f>
        <v>0.372881355932203</v>
      </c>
      <c r="AN254" s="21" t="n">
        <f aca="false">IF($J254=0,0,MAX(0,NETWORKDAYS(MAX($K254,AN$4),MIN($L254,EOMONTH(AN$4,0)),Assumptions!$F$4:$F$44))/NETWORKDAYS($K254,$L254,Assumptions!$F$4:$F$44))</f>
        <v>0.23728813559322</v>
      </c>
      <c r="AO254" s="21" t="n">
        <f aca="false">IF($J254=0,0,MAX(0,NETWORKDAYS(MAX($K254,AO$4),MIN($L254,EOMONTH(AO$4,0)),Assumptions!$F$4:$F$44))/NETWORKDAYS($K254,$L254,Assumptions!$F$4:$F$44))</f>
        <v>0</v>
      </c>
      <c r="AP254" s="21" t="n">
        <f aca="false">IF($J254=0,0,MAX(0,NETWORKDAYS(MAX($K254,AP$4),MIN($L254,EOMONTH(AP$4,0)),Assumptions!$F$4:$F$44))/NETWORKDAYS($K254,$L254,Assumptions!$F$4:$F$44))</f>
        <v>0</v>
      </c>
      <c r="AQ254" s="21" t="n">
        <f aca="false">IF($J254=0,0,MAX(0,NETWORKDAYS(MAX($K254,AQ$4),MIN($L254,EOMONTH(AQ$4,0)),Assumptions!$F$4:$F$44))/NETWORKDAYS($K254,$L254,Assumptions!$F$4:$F$44))</f>
        <v>0</v>
      </c>
      <c r="AR254" s="21" t="n">
        <f aca="false">IF($J254=0,0,MAX(0,NETWORKDAYS(MAX($K254,AR$4),MIN($L254,EOMONTH(AR$4,0)),Assumptions!$F$4:$F$44))/NETWORKDAYS($K254,$L254,Assumptions!$F$4:$F$44))</f>
        <v>0</v>
      </c>
      <c r="AS254" s="21" t="n">
        <f aca="false">IF($J254=0,0,MAX(0,NETWORKDAYS(MAX($K254,AS$4),MIN($L254,EOMONTH(AS$4,0)),Assumptions!$F$4:$F$44))/NETWORKDAYS($K254,$L254,Assumptions!$F$4:$F$44))</f>
        <v>0</v>
      </c>
      <c r="AT254" s="21" t="n">
        <f aca="false">IF($J254=0,0,MAX(0,NETWORKDAYS(MAX($K254,AT$4),MIN($L254,EOMONTH(AT$4,0)),Assumptions!$F$4:$F$44))/NETWORKDAYS($K254,$L254,Assumptions!$F$4:$F$44))</f>
        <v>0</v>
      </c>
      <c r="AU254" s="21" t="n">
        <f aca="false">IF($J254=0,0,MAX(0,NETWORKDAYS(MAX($K254,AU$4),MIN($L254,EOMONTH(AU$4,0)),Assumptions!$F$4:$F$44))/NETWORKDAYS($K254,$L254,Assumptions!$F$4:$F$44))</f>
        <v>0</v>
      </c>
      <c r="AV254" s="21" t="n">
        <f aca="false">IF($J254=0,0,MAX(0,NETWORKDAYS(MAX($K254,AV$4),MIN($L254,EOMONTH(AV$4,0)),Assumptions!$F$4:$F$44))/NETWORKDAYS($K254,$L254,Assumptions!$F$4:$F$44))</f>
        <v>0</v>
      </c>
      <c r="AW254" s="21" t="n">
        <f aca="false">IF($J254=0,0,MAX(0,NETWORKDAYS(MAX($K254,AW$4),MIN($L254,EOMONTH(AW$4,0)),Assumptions!$F$4:$F$44))/NETWORKDAYS($K254,$L254,Assumptions!$F$4:$F$44))</f>
        <v>0</v>
      </c>
      <c r="AX254" s="21" t="n">
        <f aca="false">IF($J254=0,0,MAX(0,NETWORKDAYS(MAX($K254,AX$4),MIN($L254,EOMONTH(AX$4,0)),Assumptions!$F$4:$F$44))/NETWORKDAYS($K254,$L254,Assumptions!$F$4:$F$44))</f>
        <v>0</v>
      </c>
      <c r="AY254" s="21" t="n">
        <f aca="false">IF($J254=0,0,MAX(0,NETWORKDAYS(MAX($K254,AY$4),MIN($L254,EOMONTH(AY$4,0)),Assumptions!$F$4:$F$44))/NETWORKDAYS($K254,$L254,Assumptions!$F$4:$F$44))</f>
        <v>0</v>
      </c>
      <c r="AZ254" s="21" t="n">
        <f aca="false">IF($J254=0,0,MAX(0,NETWORKDAYS(MAX($K254,AZ$4),MIN($L254,EOMONTH(AZ$4,0)),Assumptions!$F$4:$F$44))/NETWORKDAYS($K254,$L254,Assumptions!$F$4:$F$44))</f>
        <v>0</v>
      </c>
      <c r="BA254" s="21" t="n">
        <f aca="false">IF($J254=0,0,MAX(0,NETWORKDAYS(MAX($K254,BA$4),MIN($L254,EOMONTH(BA$4,0)),Assumptions!$F$4:$F$44))/NETWORKDAYS($K254,$L254,Assumptions!$F$4:$F$44))</f>
        <v>0</v>
      </c>
      <c r="BB254" s="21" t="n">
        <f aca="false">IF($J254=0,0,MAX(0,NETWORKDAYS(MAX($K254,BB$4),MIN($L254,EOMONTH(BB$4,0)),Assumptions!$F$4:$F$44))/NETWORKDAYS($K254,$L254,Assumptions!$F$4:$F$44))</f>
        <v>0</v>
      </c>
      <c r="BC254" s="21" t="n">
        <f aca="false">IF($J254=0,0,MAX(0,NETWORKDAYS(MAX($K254,BC$4),MIN($L254,EOMONTH(BC$4,0)),Assumptions!$F$4:$F$44))/NETWORKDAYS($K254,$L254,Assumptions!$F$4:$F$44))</f>
        <v>0</v>
      </c>
    </row>
    <row r="255" customFormat="false" ht="15" hidden="false" customHeight="false" outlineLevel="2" collapsed="false">
      <c r="A255" s="27" t="n">
        <v>251</v>
      </c>
      <c r="B255" s="27" t="s">
        <v>595</v>
      </c>
      <c r="C255" s="27" t="n">
        <v>3</v>
      </c>
      <c r="D255" s="27" t="s">
        <v>92</v>
      </c>
      <c r="E255" s="28" t="s">
        <v>336</v>
      </c>
      <c r="F255" s="27" t="s">
        <v>502</v>
      </c>
      <c r="G255" s="27" t="s">
        <v>573</v>
      </c>
      <c r="H255" s="27" t="s">
        <v>57</v>
      </c>
      <c r="I255" s="29" t="n">
        <v>170</v>
      </c>
      <c r="J255" s="29" t="n">
        <v>21</v>
      </c>
      <c r="K255" s="30" t="n">
        <f aca="false">WORKDAY(Assumptions!$C$4,I255,Assumptions!$F$4:$F$44)</f>
        <v>46566</v>
      </c>
      <c r="L255" s="30" t="n">
        <f aca="false">IF(J255=0,K255,WORKDAY(K255,J255-1,Assumptions!$F$4:$F$44))</f>
        <v>46594</v>
      </c>
      <c r="M255" s="29" t="s">
        <v>596</v>
      </c>
      <c r="N255" s="31" t="n">
        <v>0</v>
      </c>
      <c r="O255" s="31" t="n">
        <v>0</v>
      </c>
      <c r="P255" s="31" t="n">
        <v>0</v>
      </c>
      <c r="Q255" s="31" t="n">
        <v>0</v>
      </c>
      <c r="R255" s="31" t="n">
        <v>0</v>
      </c>
      <c r="S255" s="31" t="n">
        <v>0</v>
      </c>
      <c r="T255" s="31" t="n">
        <v>0</v>
      </c>
      <c r="U255" s="31" t="n">
        <v>0</v>
      </c>
      <c r="V255" s="31" t="n">
        <v>24</v>
      </c>
      <c r="W255" s="31" t="n">
        <v>0</v>
      </c>
      <c r="X255" s="31" t="n">
        <v>0</v>
      </c>
      <c r="Y255" s="32" t="n">
        <f aca="false">SUM(N255:X255)</f>
        <v>24</v>
      </c>
      <c r="Z255" s="32" t="n">
        <f aca="false">Y255*(1+Assumptions!$C$5)</f>
        <v>27.6</v>
      </c>
      <c r="AA255" s="27" t="s">
        <v>338</v>
      </c>
      <c r="AB255" s="27" t="s">
        <v>95</v>
      </c>
      <c r="AC255" s="27"/>
      <c r="AD255" s="33" t="n">
        <v>0</v>
      </c>
      <c r="AF255" s="21" t="n">
        <f aca="false">IF($J255=0,0,MAX(0,NETWORKDAYS(MAX($K255,AF$4),MIN($L255,EOMONTH(AF$4,0)),Assumptions!$F$4:$F$44))/NETWORKDAYS($K255,$L255,Assumptions!$F$4:$F$44))</f>
        <v>0</v>
      </c>
      <c r="AG255" s="21" t="n">
        <f aca="false">IF($J255=0,0,MAX(0,NETWORKDAYS(MAX($K255,AG$4),MIN($L255,EOMONTH(AG$4,0)),Assumptions!$F$4:$F$44))/NETWORKDAYS($K255,$L255,Assumptions!$F$4:$F$44))</f>
        <v>0</v>
      </c>
      <c r="AH255" s="21" t="n">
        <f aca="false">IF($J255=0,0,MAX(0,NETWORKDAYS(MAX($K255,AH$4),MIN($L255,EOMONTH(AH$4,0)),Assumptions!$F$4:$F$44))/NETWORKDAYS($K255,$L255,Assumptions!$F$4:$F$44))</f>
        <v>0</v>
      </c>
      <c r="AI255" s="21" t="n">
        <f aca="false">IF($J255=0,0,MAX(0,NETWORKDAYS(MAX($K255,AI$4),MIN($L255,EOMONTH(AI$4,0)),Assumptions!$F$4:$F$44))/NETWORKDAYS($K255,$L255,Assumptions!$F$4:$F$44))</f>
        <v>0</v>
      </c>
      <c r="AJ255" s="21" t="n">
        <f aca="false">IF($J255=0,0,MAX(0,NETWORKDAYS(MAX($K255,AJ$4),MIN($L255,EOMONTH(AJ$4,0)),Assumptions!$F$4:$F$44))/NETWORKDAYS($K255,$L255,Assumptions!$F$4:$F$44))</f>
        <v>0</v>
      </c>
      <c r="AK255" s="21" t="n">
        <f aca="false">IF($J255=0,0,MAX(0,NETWORKDAYS(MAX($K255,AK$4),MIN($L255,EOMONTH(AK$4,0)),Assumptions!$F$4:$F$44))/NETWORKDAYS($K255,$L255,Assumptions!$F$4:$F$44))</f>
        <v>0</v>
      </c>
      <c r="AL255" s="21" t="n">
        <f aca="false">IF($J255=0,0,MAX(0,NETWORKDAYS(MAX($K255,AL$4),MIN($L255,EOMONTH(AL$4,0)),Assumptions!$F$4:$F$44))/NETWORKDAYS($K255,$L255,Assumptions!$F$4:$F$44))</f>
        <v>0</v>
      </c>
      <c r="AM255" s="21" t="n">
        <f aca="false">IF($J255=0,0,MAX(0,NETWORKDAYS(MAX($K255,AM$4),MIN($L255,EOMONTH(AM$4,0)),Assumptions!$F$4:$F$44))/NETWORKDAYS($K255,$L255,Assumptions!$F$4:$F$44))</f>
        <v>0.142857142857143</v>
      </c>
      <c r="AN255" s="21" t="n">
        <f aca="false">IF($J255=0,0,MAX(0,NETWORKDAYS(MAX($K255,AN$4),MIN($L255,EOMONTH(AN$4,0)),Assumptions!$F$4:$F$44))/NETWORKDAYS($K255,$L255,Assumptions!$F$4:$F$44))</f>
        <v>0.857142857142857</v>
      </c>
      <c r="AO255" s="21" t="n">
        <f aca="false">IF($J255=0,0,MAX(0,NETWORKDAYS(MAX($K255,AO$4),MIN($L255,EOMONTH(AO$4,0)),Assumptions!$F$4:$F$44))/NETWORKDAYS($K255,$L255,Assumptions!$F$4:$F$44))</f>
        <v>0</v>
      </c>
      <c r="AP255" s="21" t="n">
        <f aca="false">IF($J255=0,0,MAX(0,NETWORKDAYS(MAX($K255,AP$4),MIN($L255,EOMONTH(AP$4,0)),Assumptions!$F$4:$F$44))/NETWORKDAYS($K255,$L255,Assumptions!$F$4:$F$44))</f>
        <v>0</v>
      </c>
      <c r="AQ255" s="21" t="n">
        <f aca="false">IF($J255=0,0,MAX(0,NETWORKDAYS(MAX($K255,AQ$4),MIN($L255,EOMONTH(AQ$4,0)),Assumptions!$F$4:$F$44))/NETWORKDAYS($K255,$L255,Assumptions!$F$4:$F$44))</f>
        <v>0</v>
      </c>
      <c r="AR255" s="21" t="n">
        <f aca="false">IF($J255=0,0,MAX(0,NETWORKDAYS(MAX($K255,AR$4),MIN($L255,EOMONTH(AR$4,0)),Assumptions!$F$4:$F$44))/NETWORKDAYS($K255,$L255,Assumptions!$F$4:$F$44))</f>
        <v>0</v>
      </c>
      <c r="AS255" s="21" t="n">
        <f aca="false">IF($J255=0,0,MAX(0,NETWORKDAYS(MAX($K255,AS$4),MIN($L255,EOMONTH(AS$4,0)),Assumptions!$F$4:$F$44))/NETWORKDAYS($K255,$L255,Assumptions!$F$4:$F$44))</f>
        <v>0</v>
      </c>
      <c r="AT255" s="21" t="n">
        <f aca="false">IF($J255=0,0,MAX(0,NETWORKDAYS(MAX($K255,AT$4),MIN($L255,EOMONTH(AT$4,0)),Assumptions!$F$4:$F$44))/NETWORKDAYS($K255,$L255,Assumptions!$F$4:$F$44))</f>
        <v>0</v>
      </c>
      <c r="AU255" s="21" t="n">
        <f aca="false">IF($J255=0,0,MAX(0,NETWORKDAYS(MAX($K255,AU$4),MIN($L255,EOMONTH(AU$4,0)),Assumptions!$F$4:$F$44))/NETWORKDAYS($K255,$L255,Assumptions!$F$4:$F$44))</f>
        <v>0</v>
      </c>
      <c r="AV255" s="21" t="n">
        <f aca="false">IF($J255=0,0,MAX(0,NETWORKDAYS(MAX($K255,AV$4),MIN($L255,EOMONTH(AV$4,0)),Assumptions!$F$4:$F$44))/NETWORKDAYS($K255,$L255,Assumptions!$F$4:$F$44))</f>
        <v>0</v>
      </c>
      <c r="AW255" s="21" t="n">
        <f aca="false">IF($J255=0,0,MAX(0,NETWORKDAYS(MAX($K255,AW$4),MIN($L255,EOMONTH(AW$4,0)),Assumptions!$F$4:$F$44))/NETWORKDAYS($K255,$L255,Assumptions!$F$4:$F$44))</f>
        <v>0</v>
      </c>
      <c r="AX255" s="21" t="n">
        <f aca="false">IF($J255=0,0,MAX(0,NETWORKDAYS(MAX($K255,AX$4),MIN($L255,EOMONTH(AX$4,0)),Assumptions!$F$4:$F$44))/NETWORKDAYS($K255,$L255,Assumptions!$F$4:$F$44))</f>
        <v>0</v>
      </c>
      <c r="AY255" s="21" t="n">
        <f aca="false">IF($J255=0,0,MAX(0,NETWORKDAYS(MAX($K255,AY$4),MIN($L255,EOMONTH(AY$4,0)),Assumptions!$F$4:$F$44))/NETWORKDAYS($K255,$L255,Assumptions!$F$4:$F$44))</f>
        <v>0</v>
      </c>
      <c r="AZ255" s="21" t="n">
        <f aca="false">IF($J255=0,0,MAX(0,NETWORKDAYS(MAX($K255,AZ$4),MIN($L255,EOMONTH(AZ$4,0)),Assumptions!$F$4:$F$44))/NETWORKDAYS($K255,$L255,Assumptions!$F$4:$F$44))</f>
        <v>0</v>
      </c>
      <c r="BA255" s="21" t="n">
        <f aca="false">IF($J255=0,0,MAX(0,NETWORKDAYS(MAX($K255,BA$4),MIN($L255,EOMONTH(BA$4,0)),Assumptions!$F$4:$F$44))/NETWORKDAYS($K255,$L255,Assumptions!$F$4:$F$44))</f>
        <v>0</v>
      </c>
      <c r="BB255" s="21" t="n">
        <f aca="false">IF($J255=0,0,MAX(0,NETWORKDAYS(MAX($K255,BB$4),MIN($L255,EOMONTH(BB$4,0)),Assumptions!$F$4:$F$44))/NETWORKDAYS($K255,$L255,Assumptions!$F$4:$F$44))</f>
        <v>0</v>
      </c>
      <c r="BC255" s="21" t="n">
        <f aca="false">IF($J255=0,0,MAX(0,NETWORKDAYS(MAX($K255,BC$4),MIN($L255,EOMONTH(BC$4,0)),Assumptions!$F$4:$F$44))/NETWORKDAYS($K255,$L255,Assumptions!$F$4:$F$44))</f>
        <v>0</v>
      </c>
    </row>
    <row r="256" customFormat="false" ht="15" hidden="false" customHeight="false" outlineLevel="2" collapsed="false">
      <c r="A256" s="27" t="n">
        <v>252</v>
      </c>
      <c r="B256" s="27" t="s">
        <v>597</v>
      </c>
      <c r="C256" s="27" t="n">
        <v>3</v>
      </c>
      <c r="D256" s="27" t="s">
        <v>92</v>
      </c>
      <c r="E256" s="28" t="s">
        <v>340</v>
      </c>
      <c r="F256" s="27" t="s">
        <v>502</v>
      </c>
      <c r="G256" s="27" t="s">
        <v>573</v>
      </c>
      <c r="H256" s="27" t="s">
        <v>47</v>
      </c>
      <c r="I256" s="29" t="n">
        <v>174</v>
      </c>
      <c r="J256" s="29" t="n">
        <v>26</v>
      </c>
      <c r="K256" s="30" t="n">
        <f aca="false">WORKDAY(Assumptions!$C$4,I256,Assumptions!$F$4:$F$44)</f>
        <v>46570</v>
      </c>
      <c r="L256" s="30" t="n">
        <f aca="false">IF(J256=0,K256,WORKDAY(K256,J256-1,Assumptions!$F$4:$F$44))</f>
        <v>46605</v>
      </c>
      <c r="M256" s="29" t="s">
        <v>598</v>
      </c>
      <c r="N256" s="31" t="n">
        <v>0</v>
      </c>
      <c r="O256" s="31" t="n">
        <v>0</v>
      </c>
      <c r="P256" s="31" t="n">
        <v>0</v>
      </c>
      <c r="Q256" s="31" t="n">
        <v>9</v>
      </c>
      <c r="R256" s="31" t="n">
        <v>6</v>
      </c>
      <c r="S256" s="31" t="n">
        <v>0</v>
      </c>
      <c r="T256" s="31" t="n">
        <v>0</v>
      </c>
      <c r="U256" s="31" t="n">
        <v>0</v>
      </c>
      <c r="V256" s="31" t="n">
        <v>5</v>
      </c>
      <c r="W256" s="31" t="n">
        <v>0</v>
      </c>
      <c r="X256" s="31" t="n">
        <v>0</v>
      </c>
      <c r="Y256" s="32" t="n">
        <f aca="false">SUM(N256:X256)</f>
        <v>20</v>
      </c>
      <c r="Z256" s="32" t="n">
        <f aca="false">Y256*(1+Assumptions!$C$5)</f>
        <v>23</v>
      </c>
      <c r="AA256" s="27" t="s">
        <v>342</v>
      </c>
      <c r="AB256" s="27" t="s">
        <v>95</v>
      </c>
      <c r="AC256" s="27"/>
      <c r="AD256" s="33" t="n">
        <v>0</v>
      </c>
      <c r="AF256" s="21" t="n">
        <f aca="false">IF($J256=0,0,MAX(0,NETWORKDAYS(MAX($K256,AF$4),MIN($L256,EOMONTH(AF$4,0)),Assumptions!$F$4:$F$44))/NETWORKDAYS($K256,$L256,Assumptions!$F$4:$F$44))</f>
        <v>0</v>
      </c>
      <c r="AG256" s="21" t="n">
        <f aca="false">IF($J256=0,0,MAX(0,NETWORKDAYS(MAX($K256,AG$4),MIN($L256,EOMONTH(AG$4,0)),Assumptions!$F$4:$F$44))/NETWORKDAYS($K256,$L256,Assumptions!$F$4:$F$44))</f>
        <v>0</v>
      </c>
      <c r="AH256" s="21" t="n">
        <f aca="false">IF($J256=0,0,MAX(0,NETWORKDAYS(MAX($K256,AH$4),MIN($L256,EOMONTH(AH$4,0)),Assumptions!$F$4:$F$44))/NETWORKDAYS($K256,$L256,Assumptions!$F$4:$F$44))</f>
        <v>0</v>
      </c>
      <c r="AI256" s="21" t="n">
        <f aca="false">IF($J256=0,0,MAX(0,NETWORKDAYS(MAX($K256,AI$4),MIN($L256,EOMONTH(AI$4,0)),Assumptions!$F$4:$F$44))/NETWORKDAYS($K256,$L256,Assumptions!$F$4:$F$44))</f>
        <v>0</v>
      </c>
      <c r="AJ256" s="21" t="n">
        <f aca="false">IF($J256=0,0,MAX(0,NETWORKDAYS(MAX($K256,AJ$4),MIN($L256,EOMONTH(AJ$4,0)),Assumptions!$F$4:$F$44))/NETWORKDAYS($K256,$L256,Assumptions!$F$4:$F$44))</f>
        <v>0</v>
      </c>
      <c r="AK256" s="21" t="n">
        <f aca="false">IF($J256=0,0,MAX(0,NETWORKDAYS(MAX($K256,AK$4),MIN($L256,EOMONTH(AK$4,0)),Assumptions!$F$4:$F$44))/NETWORKDAYS($K256,$L256,Assumptions!$F$4:$F$44))</f>
        <v>0</v>
      </c>
      <c r="AL256" s="21" t="n">
        <f aca="false">IF($J256=0,0,MAX(0,NETWORKDAYS(MAX($K256,AL$4),MIN($L256,EOMONTH(AL$4,0)),Assumptions!$F$4:$F$44))/NETWORKDAYS($K256,$L256,Assumptions!$F$4:$F$44))</f>
        <v>0</v>
      </c>
      <c r="AM256" s="21" t="n">
        <f aca="false">IF($J256=0,0,MAX(0,NETWORKDAYS(MAX($K256,AM$4),MIN($L256,EOMONTH(AM$4,0)),Assumptions!$F$4:$F$44))/NETWORKDAYS($K256,$L256,Assumptions!$F$4:$F$44))</f>
        <v>0</v>
      </c>
      <c r="AN256" s="21" t="n">
        <f aca="false">IF($J256=0,0,MAX(0,NETWORKDAYS(MAX($K256,AN$4),MIN($L256,EOMONTH(AN$4,0)),Assumptions!$F$4:$F$44))/NETWORKDAYS($K256,$L256,Assumptions!$F$4:$F$44))</f>
        <v>0.807692307692308</v>
      </c>
      <c r="AO256" s="21" t="n">
        <f aca="false">IF($J256=0,0,MAX(0,NETWORKDAYS(MAX($K256,AO$4),MIN($L256,EOMONTH(AO$4,0)),Assumptions!$F$4:$F$44))/NETWORKDAYS($K256,$L256,Assumptions!$F$4:$F$44))</f>
        <v>0.192307692307692</v>
      </c>
      <c r="AP256" s="21" t="n">
        <f aca="false">IF($J256=0,0,MAX(0,NETWORKDAYS(MAX($K256,AP$4),MIN($L256,EOMONTH(AP$4,0)),Assumptions!$F$4:$F$44))/NETWORKDAYS($K256,$L256,Assumptions!$F$4:$F$44))</f>
        <v>0</v>
      </c>
      <c r="AQ256" s="21" t="n">
        <f aca="false">IF($J256=0,0,MAX(0,NETWORKDAYS(MAX($K256,AQ$4),MIN($L256,EOMONTH(AQ$4,0)),Assumptions!$F$4:$F$44))/NETWORKDAYS($K256,$L256,Assumptions!$F$4:$F$44))</f>
        <v>0</v>
      </c>
      <c r="AR256" s="21" t="n">
        <f aca="false">IF($J256=0,0,MAX(0,NETWORKDAYS(MAX($K256,AR$4),MIN($L256,EOMONTH(AR$4,0)),Assumptions!$F$4:$F$44))/NETWORKDAYS($K256,$L256,Assumptions!$F$4:$F$44))</f>
        <v>0</v>
      </c>
      <c r="AS256" s="21" t="n">
        <f aca="false">IF($J256=0,0,MAX(0,NETWORKDAYS(MAX($K256,AS$4),MIN($L256,EOMONTH(AS$4,0)),Assumptions!$F$4:$F$44))/NETWORKDAYS($K256,$L256,Assumptions!$F$4:$F$44))</f>
        <v>0</v>
      </c>
      <c r="AT256" s="21" t="n">
        <f aca="false">IF($J256=0,0,MAX(0,NETWORKDAYS(MAX($K256,AT$4),MIN($L256,EOMONTH(AT$4,0)),Assumptions!$F$4:$F$44))/NETWORKDAYS($K256,$L256,Assumptions!$F$4:$F$44))</f>
        <v>0</v>
      </c>
      <c r="AU256" s="21" t="n">
        <f aca="false">IF($J256=0,0,MAX(0,NETWORKDAYS(MAX($K256,AU$4),MIN($L256,EOMONTH(AU$4,0)),Assumptions!$F$4:$F$44))/NETWORKDAYS($K256,$L256,Assumptions!$F$4:$F$44))</f>
        <v>0</v>
      </c>
      <c r="AV256" s="21" t="n">
        <f aca="false">IF($J256=0,0,MAX(0,NETWORKDAYS(MAX($K256,AV$4),MIN($L256,EOMONTH(AV$4,0)),Assumptions!$F$4:$F$44))/NETWORKDAYS($K256,$L256,Assumptions!$F$4:$F$44))</f>
        <v>0</v>
      </c>
      <c r="AW256" s="21" t="n">
        <f aca="false">IF($J256=0,0,MAX(0,NETWORKDAYS(MAX($K256,AW$4),MIN($L256,EOMONTH(AW$4,0)),Assumptions!$F$4:$F$44))/NETWORKDAYS($K256,$L256,Assumptions!$F$4:$F$44))</f>
        <v>0</v>
      </c>
      <c r="AX256" s="21" t="n">
        <f aca="false">IF($J256=0,0,MAX(0,NETWORKDAYS(MAX($K256,AX$4),MIN($L256,EOMONTH(AX$4,0)),Assumptions!$F$4:$F$44))/NETWORKDAYS($K256,$L256,Assumptions!$F$4:$F$44))</f>
        <v>0</v>
      </c>
      <c r="AY256" s="21" t="n">
        <f aca="false">IF($J256=0,0,MAX(0,NETWORKDAYS(MAX($K256,AY$4),MIN($L256,EOMONTH(AY$4,0)),Assumptions!$F$4:$F$44))/NETWORKDAYS($K256,$L256,Assumptions!$F$4:$F$44))</f>
        <v>0</v>
      </c>
      <c r="AZ256" s="21" t="n">
        <f aca="false">IF($J256=0,0,MAX(0,NETWORKDAYS(MAX($K256,AZ$4),MIN($L256,EOMONTH(AZ$4,0)),Assumptions!$F$4:$F$44))/NETWORKDAYS($K256,$L256,Assumptions!$F$4:$F$44))</f>
        <v>0</v>
      </c>
      <c r="BA256" s="21" t="n">
        <f aca="false">IF($J256=0,0,MAX(0,NETWORKDAYS(MAX($K256,BA$4),MIN($L256,EOMONTH(BA$4,0)),Assumptions!$F$4:$F$44))/NETWORKDAYS($K256,$L256,Assumptions!$F$4:$F$44))</f>
        <v>0</v>
      </c>
      <c r="BB256" s="21" t="n">
        <f aca="false">IF($J256=0,0,MAX(0,NETWORKDAYS(MAX($K256,BB$4),MIN($L256,EOMONTH(BB$4,0)),Assumptions!$F$4:$F$44))/NETWORKDAYS($K256,$L256,Assumptions!$F$4:$F$44))</f>
        <v>0</v>
      </c>
      <c r="BC256" s="21" t="n">
        <f aca="false">IF($J256=0,0,MAX(0,NETWORKDAYS(MAX($K256,BC$4),MIN($L256,EOMONTH(BC$4,0)),Assumptions!$F$4:$F$44))/NETWORKDAYS($K256,$L256,Assumptions!$F$4:$F$44))</f>
        <v>0</v>
      </c>
    </row>
    <row r="257" customFormat="false" ht="15" hidden="false" customHeight="false" outlineLevel="2" collapsed="false">
      <c r="A257" s="27" t="n">
        <v>253</v>
      </c>
      <c r="B257" s="27" t="s">
        <v>599</v>
      </c>
      <c r="C257" s="27" t="n">
        <v>3</v>
      </c>
      <c r="D257" s="27" t="s">
        <v>92</v>
      </c>
      <c r="E257" s="28" t="s">
        <v>344</v>
      </c>
      <c r="F257" s="27" t="s">
        <v>502</v>
      </c>
      <c r="G257" s="27" t="s">
        <v>573</v>
      </c>
      <c r="H257" s="27" t="s">
        <v>43</v>
      </c>
      <c r="I257" s="29" t="n">
        <v>191</v>
      </c>
      <c r="J257" s="29" t="n">
        <v>13</v>
      </c>
      <c r="K257" s="30" t="n">
        <f aca="false">WORKDAY(Assumptions!$C$4,I257,Assumptions!$F$4:$F$44)</f>
        <v>46595</v>
      </c>
      <c r="L257" s="30" t="n">
        <f aca="false">IF(J257=0,K257,WORKDAY(K257,J257-1,Assumptions!$F$4:$F$44))</f>
        <v>46611</v>
      </c>
      <c r="M257" s="29" t="s">
        <v>598</v>
      </c>
      <c r="N257" s="31" t="n">
        <v>0</v>
      </c>
      <c r="O257" s="31" t="n">
        <v>6</v>
      </c>
      <c r="P257" s="31" t="n">
        <v>0</v>
      </c>
      <c r="Q257" s="31" t="n">
        <v>0</v>
      </c>
      <c r="R257" s="31" t="n">
        <v>0</v>
      </c>
      <c r="S257" s="31" t="n">
        <v>0</v>
      </c>
      <c r="T257" s="31" t="n">
        <v>0</v>
      </c>
      <c r="U257" s="31" t="n">
        <v>0</v>
      </c>
      <c r="V257" s="31" t="n">
        <v>6</v>
      </c>
      <c r="W257" s="31" t="n">
        <v>0</v>
      </c>
      <c r="X257" s="31" t="n">
        <v>0</v>
      </c>
      <c r="Y257" s="32" t="n">
        <f aca="false">SUM(N257:X257)</f>
        <v>12</v>
      </c>
      <c r="Z257" s="32" t="n">
        <f aca="false">Y257*(1+Assumptions!$C$5)</f>
        <v>13.8</v>
      </c>
      <c r="AA257" s="27" t="s">
        <v>345</v>
      </c>
      <c r="AB257" s="27" t="s">
        <v>95</v>
      </c>
      <c r="AC257" s="27"/>
      <c r="AD257" s="33" t="n">
        <v>0</v>
      </c>
      <c r="AF257" s="21" t="n">
        <f aca="false">IF($J257=0,0,MAX(0,NETWORKDAYS(MAX($K257,AF$4),MIN($L257,EOMONTH(AF$4,0)),Assumptions!$F$4:$F$44))/NETWORKDAYS($K257,$L257,Assumptions!$F$4:$F$44))</f>
        <v>0</v>
      </c>
      <c r="AG257" s="21" t="n">
        <f aca="false">IF($J257=0,0,MAX(0,NETWORKDAYS(MAX($K257,AG$4),MIN($L257,EOMONTH(AG$4,0)),Assumptions!$F$4:$F$44))/NETWORKDAYS($K257,$L257,Assumptions!$F$4:$F$44))</f>
        <v>0</v>
      </c>
      <c r="AH257" s="21" t="n">
        <f aca="false">IF($J257=0,0,MAX(0,NETWORKDAYS(MAX($K257,AH$4),MIN($L257,EOMONTH(AH$4,0)),Assumptions!$F$4:$F$44))/NETWORKDAYS($K257,$L257,Assumptions!$F$4:$F$44))</f>
        <v>0</v>
      </c>
      <c r="AI257" s="21" t="n">
        <f aca="false">IF($J257=0,0,MAX(0,NETWORKDAYS(MAX($K257,AI$4),MIN($L257,EOMONTH(AI$4,0)),Assumptions!$F$4:$F$44))/NETWORKDAYS($K257,$L257,Assumptions!$F$4:$F$44))</f>
        <v>0</v>
      </c>
      <c r="AJ257" s="21" t="n">
        <f aca="false">IF($J257=0,0,MAX(0,NETWORKDAYS(MAX($K257,AJ$4),MIN($L257,EOMONTH(AJ$4,0)),Assumptions!$F$4:$F$44))/NETWORKDAYS($K257,$L257,Assumptions!$F$4:$F$44))</f>
        <v>0</v>
      </c>
      <c r="AK257" s="21" t="n">
        <f aca="false">IF($J257=0,0,MAX(0,NETWORKDAYS(MAX($K257,AK$4),MIN($L257,EOMONTH(AK$4,0)),Assumptions!$F$4:$F$44))/NETWORKDAYS($K257,$L257,Assumptions!$F$4:$F$44))</f>
        <v>0</v>
      </c>
      <c r="AL257" s="21" t="n">
        <f aca="false">IF($J257=0,0,MAX(0,NETWORKDAYS(MAX($K257,AL$4),MIN($L257,EOMONTH(AL$4,0)),Assumptions!$F$4:$F$44))/NETWORKDAYS($K257,$L257,Assumptions!$F$4:$F$44))</f>
        <v>0</v>
      </c>
      <c r="AM257" s="21" t="n">
        <f aca="false">IF($J257=0,0,MAX(0,NETWORKDAYS(MAX($K257,AM$4),MIN($L257,EOMONTH(AM$4,0)),Assumptions!$F$4:$F$44))/NETWORKDAYS($K257,$L257,Assumptions!$F$4:$F$44))</f>
        <v>0</v>
      </c>
      <c r="AN257" s="21" t="n">
        <f aca="false">IF($J257=0,0,MAX(0,NETWORKDAYS(MAX($K257,AN$4),MIN($L257,EOMONTH(AN$4,0)),Assumptions!$F$4:$F$44))/NETWORKDAYS($K257,$L257,Assumptions!$F$4:$F$44))</f>
        <v>0.307692307692308</v>
      </c>
      <c r="AO257" s="21" t="n">
        <f aca="false">IF($J257=0,0,MAX(0,NETWORKDAYS(MAX($K257,AO$4),MIN($L257,EOMONTH(AO$4,0)),Assumptions!$F$4:$F$44))/NETWORKDAYS($K257,$L257,Assumptions!$F$4:$F$44))</f>
        <v>0.692307692307692</v>
      </c>
      <c r="AP257" s="21" t="n">
        <f aca="false">IF($J257=0,0,MAX(0,NETWORKDAYS(MAX($K257,AP$4),MIN($L257,EOMONTH(AP$4,0)),Assumptions!$F$4:$F$44))/NETWORKDAYS($K257,$L257,Assumptions!$F$4:$F$44))</f>
        <v>0</v>
      </c>
      <c r="AQ257" s="21" t="n">
        <f aca="false">IF($J257=0,0,MAX(0,NETWORKDAYS(MAX($K257,AQ$4),MIN($L257,EOMONTH(AQ$4,0)),Assumptions!$F$4:$F$44))/NETWORKDAYS($K257,$L257,Assumptions!$F$4:$F$44))</f>
        <v>0</v>
      </c>
      <c r="AR257" s="21" t="n">
        <f aca="false">IF($J257=0,0,MAX(0,NETWORKDAYS(MAX($K257,AR$4),MIN($L257,EOMONTH(AR$4,0)),Assumptions!$F$4:$F$44))/NETWORKDAYS($K257,$L257,Assumptions!$F$4:$F$44))</f>
        <v>0</v>
      </c>
      <c r="AS257" s="21" t="n">
        <f aca="false">IF($J257=0,0,MAX(0,NETWORKDAYS(MAX($K257,AS$4),MIN($L257,EOMONTH(AS$4,0)),Assumptions!$F$4:$F$44))/NETWORKDAYS($K257,$L257,Assumptions!$F$4:$F$44))</f>
        <v>0</v>
      </c>
      <c r="AT257" s="21" t="n">
        <f aca="false">IF($J257=0,0,MAX(0,NETWORKDAYS(MAX($K257,AT$4),MIN($L257,EOMONTH(AT$4,0)),Assumptions!$F$4:$F$44))/NETWORKDAYS($K257,$L257,Assumptions!$F$4:$F$44))</f>
        <v>0</v>
      </c>
      <c r="AU257" s="21" t="n">
        <f aca="false">IF($J257=0,0,MAX(0,NETWORKDAYS(MAX($K257,AU$4),MIN($L257,EOMONTH(AU$4,0)),Assumptions!$F$4:$F$44))/NETWORKDAYS($K257,$L257,Assumptions!$F$4:$F$44))</f>
        <v>0</v>
      </c>
      <c r="AV257" s="21" t="n">
        <f aca="false">IF($J257=0,0,MAX(0,NETWORKDAYS(MAX($K257,AV$4),MIN($L257,EOMONTH(AV$4,0)),Assumptions!$F$4:$F$44))/NETWORKDAYS($K257,$L257,Assumptions!$F$4:$F$44))</f>
        <v>0</v>
      </c>
      <c r="AW257" s="21" t="n">
        <f aca="false">IF($J257=0,0,MAX(0,NETWORKDAYS(MAX($K257,AW$4),MIN($L257,EOMONTH(AW$4,0)),Assumptions!$F$4:$F$44))/NETWORKDAYS($K257,$L257,Assumptions!$F$4:$F$44))</f>
        <v>0</v>
      </c>
      <c r="AX257" s="21" t="n">
        <f aca="false">IF($J257=0,0,MAX(0,NETWORKDAYS(MAX($K257,AX$4),MIN($L257,EOMONTH(AX$4,0)),Assumptions!$F$4:$F$44))/NETWORKDAYS($K257,$L257,Assumptions!$F$4:$F$44))</f>
        <v>0</v>
      </c>
      <c r="AY257" s="21" t="n">
        <f aca="false">IF($J257=0,0,MAX(0,NETWORKDAYS(MAX($K257,AY$4),MIN($L257,EOMONTH(AY$4,0)),Assumptions!$F$4:$F$44))/NETWORKDAYS($K257,$L257,Assumptions!$F$4:$F$44))</f>
        <v>0</v>
      </c>
      <c r="AZ257" s="21" t="n">
        <f aca="false">IF($J257=0,0,MAX(0,NETWORKDAYS(MAX($K257,AZ$4),MIN($L257,EOMONTH(AZ$4,0)),Assumptions!$F$4:$F$44))/NETWORKDAYS($K257,$L257,Assumptions!$F$4:$F$44))</f>
        <v>0</v>
      </c>
      <c r="BA257" s="21" t="n">
        <f aca="false">IF($J257=0,0,MAX(0,NETWORKDAYS(MAX($K257,BA$4),MIN($L257,EOMONTH(BA$4,0)),Assumptions!$F$4:$F$44))/NETWORKDAYS($K257,$L257,Assumptions!$F$4:$F$44))</f>
        <v>0</v>
      </c>
      <c r="BB257" s="21" t="n">
        <f aca="false">IF($J257=0,0,MAX(0,NETWORKDAYS(MAX($K257,BB$4),MIN($L257,EOMONTH(BB$4,0)),Assumptions!$F$4:$F$44))/NETWORKDAYS($K257,$L257,Assumptions!$F$4:$F$44))</f>
        <v>0</v>
      </c>
      <c r="BC257" s="21" t="n">
        <f aca="false">IF($J257=0,0,MAX(0,NETWORKDAYS(MAX($K257,BC$4),MIN($L257,EOMONTH(BC$4,0)),Assumptions!$F$4:$F$44))/NETWORKDAYS($K257,$L257,Assumptions!$F$4:$F$44))</f>
        <v>0</v>
      </c>
    </row>
    <row r="258" customFormat="false" ht="15" hidden="false" customHeight="false" outlineLevel="2" collapsed="false">
      <c r="A258" s="27" t="n">
        <v>254</v>
      </c>
      <c r="B258" s="27" t="s">
        <v>600</v>
      </c>
      <c r="C258" s="27" t="n">
        <v>3</v>
      </c>
      <c r="D258" s="27" t="s">
        <v>92</v>
      </c>
      <c r="E258" s="28" t="s">
        <v>347</v>
      </c>
      <c r="F258" s="27" t="s">
        <v>502</v>
      </c>
      <c r="G258" s="27" t="s">
        <v>573</v>
      </c>
      <c r="H258" s="27" t="s">
        <v>61</v>
      </c>
      <c r="I258" s="29" t="n">
        <v>194</v>
      </c>
      <c r="J258" s="29" t="n">
        <v>13</v>
      </c>
      <c r="K258" s="30" t="n">
        <f aca="false">WORKDAY(Assumptions!$C$4,I258,Assumptions!$F$4:$F$44)</f>
        <v>46598</v>
      </c>
      <c r="L258" s="30" t="n">
        <f aca="false">IF(J258=0,K258,WORKDAY(K258,J258-1,Assumptions!$F$4:$F$44))</f>
        <v>46616</v>
      </c>
      <c r="M258" s="29" t="s">
        <v>601</v>
      </c>
      <c r="N258" s="31" t="n">
        <v>0</v>
      </c>
      <c r="O258" s="31" t="n">
        <v>2</v>
      </c>
      <c r="P258" s="31" t="n">
        <v>0</v>
      </c>
      <c r="Q258" s="31" t="n">
        <v>0</v>
      </c>
      <c r="R258" s="31" t="n">
        <v>0</v>
      </c>
      <c r="S258" s="31" t="n">
        <v>0</v>
      </c>
      <c r="T258" s="31" t="n">
        <v>0</v>
      </c>
      <c r="U258" s="31" t="n">
        <v>0</v>
      </c>
      <c r="V258" s="31" t="n">
        <v>0</v>
      </c>
      <c r="W258" s="31" t="n">
        <v>0</v>
      </c>
      <c r="X258" s="31" t="n">
        <v>7</v>
      </c>
      <c r="Y258" s="32" t="n">
        <f aca="false">SUM(N258:X258)</f>
        <v>9</v>
      </c>
      <c r="Z258" s="32" t="n">
        <f aca="false">Y258*(1+Assumptions!$C$5)</f>
        <v>10.35</v>
      </c>
      <c r="AA258" s="27" t="s">
        <v>349</v>
      </c>
      <c r="AB258" s="27" t="s">
        <v>95</v>
      </c>
      <c r="AC258" s="27"/>
      <c r="AD258" s="33" t="n">
        <v>0</v>
      </c>
      <c r="AF258" s="21" t="n">
        <f aca="false">IF($J258=0,0,MAX(0,NETWORKDAYS(MAX($K258,AF$4),MIN($L258,EOMONTH(AF$4,0)),Assumptions!$F$4:$F$44))/NETWORKDAYS($K258,$L258,Assumptions!$F$4:$F$44))</f>
        <v>0</v>
      </c>
      <c r="AG258" s="21" t="n">
        <f aca="false">IF($J258=0,0,MAX(0,NETWORKDAYS(MAX($K258,AG$4),MIN($L258,EOMONTH(AG$4,0)),Assumptions!$F$4:$F$44))/NETWORKDAYS($K258,$L258,Assumptions!$F$4:$F$44))</f>
        <v>0</v>
      </c>
      <c r="AH258" s="21" t="n">
        <f aca="false">IF($J258=0,0,MAX(0,NETWORKDAYS(MAX($K258,AH$4),MIN($L258,EOMONTH(AH$4,0)),Assumptions!$F$4:$F$44))/NETWORKDAYS($K258,$L258,Assumptions!$F$4:$F$44))</f>
        <v>0</v>
      </c>
      <c r="AI258" s="21" t="n">
        <f aca="false">IF($J258=0,0,MAX(0,NETWORKDAYS(MAX($K258,AI$4),MIN($L258,EOMONTH(AI$4,0)),Assumptions!$F$4:$F$44))/NETWORKDAYS($K258,$L258,Assumptions!$F$4:$F$44))</f>
        <v>0</v>
      </c>
      <c r="AJ258" s="21" t="n">
        <f aca="false">IF($J258=0,0,MAX(0,NETWORKDAYS(MAX($K258,AJ$4),MIN($L258,EOMONTH(AJ$4,0)),Assumptions!$F$4:$F$44))/NETWORKDAYS($K258,$L258,Assumptions!$F$4:$F$44))</f>
        <v>0</v>
      </c>
      <c r="AK258" s="21" t="n">
        <f aca="false">IF($J258=0,0,MAX(0,NETWORKDAYS(MAX($K258,AK$4),MIN($L258,EOMONTH(AK$4,0)),Assumptions!$F$4:$F$44))/NETWORKDAYS($K258,$L258,Assumptions!$F$4:$F$44))</f>
        <v>0</v>
      </c>
      <c r="AL258" s="21" t="n">
        <f aca="false">IF($J258=0,0,MAX(0,NETWORKDAYS(MAX($K258,AL$4),MIN($L258,EOMONTH(AL$4,0)),Assumptions!$F$4:$F$44))/NETWORKDAYS($K258,$L258,Assumptions!$F$4:$F$44))</f>
        <v>0</v>
      </c>
      <c r="AM258" s="21" t="n">
        <f aca="false">IF($J258=0,0,MAX(0,NETWORKDAYS(MAX($K258,AM$4),MIN($L258,EOMONTH(AM$4,0)),Assumptions!$F$4:$F$44))/NETWORKDAYS($K258,$L258,Assumptions!$F$4:$F$44))</f>
        <v>0</v>
      </c>
      <c r="AN258" s="21" t="n">
        <f aca="false">IF($J258=0,0,MAX(0,NETWORKDAYS(MAX($K258,AN$4),MIN($L258,EOMONTH(AN$4,0)),Assumptions!$F$4:$F$44))/NETWORKDAYS($K258,$L258,Assumptions!$F$4:$F$44))</f>
        <v>0.0769230769230769</v>
      </c>
      <c r="AO258" s="21" t="n">
        <f aca="false">IF($J258=0,0,MAX(0,NETWORKDAYS(MAX($K258,AO$4),MIN($L258,EOMONTH(AO$4,0)),Assumptions!$F$4:$F$44))/NETWORKDAYS($K258,$L258,Assumptions!$F$4:$F$44))</f>
        <v>0.923076923076923</v>
      </c>
      <c r="AP258" s="21" t="n">
        <f aca="false">IF($J258=0,0,MAX(0,NETWORKDAYS(MAX($K258,AP$4),MIN($L258,EOMONTH(AP$4,0)),Assumptions!$F$4:$F$44))/NETWORKDAYS($K258,$L258,Assumptions!$F$4:$F$44))</f>
        <v>0</v>
      </c>
      <c r="AQ258" s="21" t="n">
        <f aca="false">IF($J258=0,0,MAX(0,NETWORKDAYS(MAX($K258,AQ$4),MIN($L258,EOMONTH(AQ$4,0)),Assumptions!$F$4:$F$44))/NETWORKDAYS($K258,$L258,Assumptions!$F$4:$F$44))</f>
        <v>0</v>
      </c>
      <c r="AR258" s="21" t="n">
        <f aca="false">IF($J258=0,0,MAX(0,NETWORKDAYS(MAX($K258,AR$4),MIN($L258,EOMONTH(AR$4,0)),Assumptions!$F$4:$F$44))/NETWORKDAYS($K258,$L258,Assumptions!$F$4:$F$44))</f>
        <v>0</v>
      </c>
      <c r="AS258" s="21" t="n">
        <f aca="false">IF($J258=0,0,MAX(0,NETWORKDAYS(MAX($K258,AS$4),MIN($L258,EOMONTH(AS$4,0)),Assumptions!$F$4:$F$44))/NETWORKDAYS($K258,$L258,Assumptions!$F$4:$F$44))</f>
        <v>0</v>
      </c>
      <c r="AT258" s="21" t="n">
        <f aca="false">IF($J258=0,0,MAX(0,NETWORKDAYS(MAX($K258,AT$4),MIN($L258,EOMONTH(AT$4,0)),Assumptions!$F$4:$F$44))/NETWORKDAYS($K258,$L258,Assumptions!$F$4:$F$44))</f>
        <v>0</v>
      </c>
      <c r="AU258" s="21" t="n">
        <f aca="false">IF($J258=0,0,MAX(0,NETWORKDAYS(MAX($K258,AU$4),MIN($L258,EOMONTH(AU$4,0)),Assumptions!$F$4:$F$44))/NETWORKDAYS($K258,$L258,Assumptions!$F$4:$F$44))</f>
        <v>0</v>
      </c>
      <c r="AV258" s="21" t="n">
        <f aca="false">IF($J258=0,0,MAX(0,NETWORKDAYS(MAX($K258,AV$4),MIN($L258,EOMONTH(AV$4,0)),Assumptions!$F$4:$F$44))/NETWORKDAYS($K258,$L258,Assumptions!$F$4:$F$44))</f>
        <v>0</v>
      </c>
      <c r="AW258" s="21" t="n">
        <f aca="false">IF($J258=0,0,MAX(0,NETWORKDAYS(MAX($K258,AW$4),MIN($L258,EOMONTH(AW$4,0)),Assumptions!$F$4:$F$44))/NETWORKDAYS($K258,$L258,Assumptions!$F$4:$F$44))</f>
        <v>0</v>
      </c>
      <c r="AX258" s="21" t="n">
        <f aca="false">IF($J258=0,0,MAX(0,NETWORKDAYS(MAX($K258,AX$4),MIN($L258,EOMONTH(AX$4,0)),Assumptions!$F$4:$F$44))/NETWORKDAYS($K258,$L258,Assumptions!$F$4:$F$44))</f>
        <v>0</v>
      </c>
      <c r="AY258" s="21" t="n">
        <f aca="false">IF($J258=0,0,MAX(0,NETWORKDAYS(MAX($K258,AY$4),MIN($L258,EOMONTH(AY$4,0)),Assumptions!$F$4:$F$44))/NETWORKDAYS($K258,$L258,Assumptions!$F$4:$F$44))</f>
        <v>0</v>
      </c>
      <c r="AZ258" s="21" t="n">
        <f aca="false">IF($J258=0,0,MAX(0,NETWORKDAYS(MAX($K258,AZ$4),MIN($L258,EOMONTH(AZ$4,0)),Assumptions!$F$4:$F$44))/NETWORKDAYS($K258,$L258,Assumptions!$F$4:$F$44))</f>
        <v>0</v>
      </c>
      <c r="BA258" s="21" t="n">
        <f aca="false">IF($J258=0,0,MAX(0,NETWORKDAYS(MAX($K258,BA$4),MIN($L258,EOMONTH(BA$4,0)),Assumptions!$F$4:$F$44))/NETWORKDAYS($K258,$L258,Assumptions!$F$4:$F$44))</f>
        <v>0</v>
      </c>
      <c r="BB258" s="21" t="n">
        <f aca="false">IF($J258=0,0,MAX(0,NETWORKDAYS(MAX($K258,BB$4),MIN($L258,EOMONTH(BB$4,0)),Assumptions!$F$4:$F$44))/NETWORKDAYS($K258,$L258,Assumptions!$F$4:$F$44))</f>
        <v>0</v>
      </c>
      <c r="BC258" s="21" t="n">
        <f aca="false">IF($J258=0,0,MAX(0,NETWORKDAYS(MAX($K258,BC$4),MIN($L258,EOMONTH(BC$4,0)),Assumptions!$F$4:$F$44))/NETWORKDAYS($K258,$L258,Assumptions!$F$4:$F$44))</f>
        <v>0</v>
      </c>
    </row>
    <row r="259" customFormat="false" ht="15" hidden="false" customHeight="false" outlineLevel="1" collapsed="false">
      <c r="A259" s="22" t="n">
        <v>255</v>
      </c>
      <c r="B259" s="22" t="s">
        <v>602</v>
      </c>
      <c r="C259" s="22" t="n">
        <v>2</v>
      </c>
      <c r="D259" s="22" t="s">
        <v>89</v>
      </c>
      <c r="E259" s="23" t="s">
        <v>603</v>
      </c>
      <c r="F259" s="22" t="s">
        <v>502</v>
      </c>
      <c r="G259" s="22" t="s">
        <v>604</v>
      </c>
      <c r="H259" s="22"/>
      <c r="I259" s="22"/>
      <c r="J259" s="22" t="n">
        <f aca="false">NETWORKDAYS(K259,L259,Assumptions!$F$4:$F$44)</f>
        <v>119</v>
      </c>
      <c r="K259" s="24" t="n">
        <f aca="false">MIN(K260:K276)</f>
        <v>46450</v>
      </c>
      <c r="L259" s="24" t="n">
        <f aca="false">MAX(L260:L276)</f>
        <v>46616</v>
      </c>
      <c r="M259" s="22"/>
      <c r="N259" s="25" t="n">
        <f aca="false">SUMPRODUCT(($C$260:$C$276=3)*(N260:N276))</f>
        <v>1</v>
      </c>
      <c r="O259" s="25" t="n">
        <f aca="false">SUMPRODUCT(($C$260:$C$276=3)*(O260:O276))</f>
        <v>28</v>
      </c>
      <c r="P259" s="25" t="n">
        <f aca="false">SUMPRODUCT(($C$260:$C$276=3)*(P260:P276))</f>
        <v>8</v>
      </c>
      <c r="Q259" s="25" t="n">
        <f aca="false">SUMPRODUCT(($C$260:$C$276=3)*(Q260:Q276))</f>
        <v>98</v>
      </c>
      <c r="R259" s="25" t="n">
        <f aca="false">SUMPRODUCT(($C$260:$C$276=3)*(R260:R276))</f>
        <v>61</v>
      </c>
      <c r="S259" s="25" t="n">
        <f aca="false">SUMPRODUCT(($C$260:$C$276=3)*(S260:S276))</f>
        <v>21</v>
      </c>
      <c r="T259" s="25" t="n">
        <f aca="false">SUMPRODUCT(($C$260:$C$276=3)*(T260:T276))</f>
        <v>12</v>
      </c>
      <c r="U259" s="25" t="n">
        <f aca="false">SUMPRODUCT(($C$260:$C$276=3)*(U260:U276))</f>
        <v>0</v>
      </c>
      <c r="V259" s="25" t="n">
        <f aca="false">SUMPRODUCT(($C$260:$C$276=3)*(V260:V276))</f>
        <v>38</v>
      </c>
      <c r="W259" s="25" t="n">
        <f aca="false">SUMPRODUCT(($C$260:$C$276=3)*(W260:W276))</f>
        <v>14</v>
      </c>
      <c r="X259" s="25" t="n">
        <f aca="false">SUMPRODUCT(($C$260:$C$276=3)*(X260:X276))</f>
        <v>7</v>
      </c>
      <c r="Y259" s="25" t="n">
        <f aca="false">SUM(N259:X259)</f>
        <v>288</v>
      </c>
      <c r="Z259" s="25" t="n">
        <f aca="false">Y259*(1+Assumptions!$C$5)</f>
        <v>331.2</v>
      </c>
      <c r="AA259" s="22" t="s">
        <v>605</v>
      </c>
      <c r="AB259" s="22"/>
      <c r="AC259" s="22"/>
      <c r="AD259" s="26"/>
      <c r="AF259" s="21" t="n">
        <v>0</v>
      </c>
      <c r="AG259" s="21" t="n">
        <v>0</v>
      </c>
      <c r="AH259" s="21" t="n">
        <v>0</v>
      </c>
      <c r="AI259" s="21" t="n">
        <v>0</v>
      </c>
      <c r="AJ259" s="21" t="n">
        <v>0</v>
      </c>
      <c r="AK259" s="21" t="n">
        <v>0</v>
      </c>
      <c r="AL259" s="21" t="n">
        <v>0</v>
      </c>
      <c r="AM259" s="21" t="n">
        <v>0</v>
      </c>
      <c r="AN259" s="21" t="n">
        <v>0</v>
      </c>
      <c r="AO259" s="21" t="n">
        <v>0</v>
      </c>
      <c r="AP259" s="21" t="n">
        <v>0</v>
      </c>
      <c r="AQ259" s="21" t="n">
        <v>0</v>
      </c>
      <c r="AR259" s="21" t="n">
        <v>0</v>
      </c>
      <c r="AS259" s="21" t="n">
        <v>0</v>
      </c>
      <c r="AT259" s="21" t="n">
        <v>0</v>
      </c>
      <c r="AU259" s="21" t="n">
        <v>0</v>
      </c>
      <c r="AV259" s="21" t="n">
        <v>0</v>
      </c>
      <c r="AW259" s="21" t="n">
        <v>0</v>
      </c>
      <c r="AX259" s="21" t="n">
        <v>0</v>
      </c>
      <c r="AY259" s="21" t="n">
        <v>0</v>
      </c>
      <c r="AZ259" s="21" t="n">
        <v>0</v>
      </c>
      <c r="BA259" s="21" t="n">
        <v>0</v>
      </c>
      <c r="BB259" s="21" t="n">
        <v>0</v>
      </c>
      <c r="BC259" s="21" t="n">
        <v>0</v>
      </c>
    </row>
    <row r="260" customFormat="false" ht="15" hidden="false" customHeight="false" outlineLevel="2" collapsed="false">
      <c r="A260" s="27" t="n">
        <v>256</v>
      </c>
      <c r="B260" s="27" t="s">
        <v>606</v>
      </c>
      <c r="C260" s="27" t="n">
        <v>3</v>
      </c>
      <c r="D260" s="27" t="s">
        <v>92</v>
      </c>
      <c r="E260" s="28" t="s">
        <v>292</v>
      </c>
      <c r="F260" s="27" t="s">
        <v>502</v>
      </c>
      <c r="G260" s="27" t="s">
        <v>604</v>
      </c>
      <c r="H260" s="27" t="s">
        <v>43</v>
      </c>
      <c r="I260" s="29" t="n">
        <v>88</v>
      </c>
      <c r="J260" s="29" t="n">
        <v>16</v>
      </c>
      <c r="K260" s="30" t="n">
        <f aca="false">WORKDAY(Assumptions!$C$4,I260,Assumptions!$F$4:$F$44)</f>
        <v>46450</v>
      </c>
      <c r="L260" s="30" t="n">
        <f aca="false">IF(J260=0,K260,WORKDAY(K260,J260-1,Assumptions!$F$4:$F$44))</f>
        <v>46471</v>
      </c>
      <c r="M260" s="29" t="s">
        <v>515</v>
      </c>
      <c r="N260" s="31" t="n">
        <v>1</v>
      </c>
      <c r="O260" s="31" t="n">
        <v>9</v>
      </c>
      <c r="P260" s="31" t="n">
        <v>2</v>
      </c>
      <c r="Q260" s="31" t="n">
        <v>0</v>
      </c>
      <c r="R260" s="31" t="n">
        <v>0</v>
      </c>
      <c r="S260" s="31" t="n">
        <v>0</v>
      </c>
      <c r="T260" s="31" t="n">
        <v>0</v>
      </c>
      <c r="U260" s="31" t="n">
        <v>0</v>
      </c>
      <c r="V260" s="31" t="n">
        <v>0</v>
      </c>
      <c r="W260" s="31" t="n">
        <v>0</v>
      </c>
      <c r="X260" s="31" t="n">
        <v>0</v>
      </c>
      <c r="Y260" s="32" t="n">
        <f aca="false">SUM(N260:X260)</f>
        <v>12</v>
      </c>
      <c r="Z260" s="32" t="n">
        <f aca="false">Y260*(1+Assumptions!$C$5)</f>
        <v>13.8</v>
      </c>
      <c r="AA260" s="27" t="s">
        <v>294</v>
      </c>
      <c r="AB260" s="27" t="s">
        <v>95</v>
      </c>
      <c r="AC260" s="27"/>
      <c r="AD260" s="33" t="n">
        <v>0</v>
      </c>
      <c r="AF260" s="21" t="n">
        <f aca="false">IF($J260=0,0,MAX(0,NETWORKDAYS(MAX($K260,AF$4),MIN($L260,EOMONTH(AF$4,0)),Assumptions!$F$4:$F$44))/NETWORKDAYS($K260,$L260,Assumptions!$F$4:$F$44))</f>
        <v>0</v>
      </c>
      <c r="AG260" s="21" t="n">
        <f aca="false">IF($J260=0,0,MAX(0,NETWORKDAYS(MAX($K260,AG$4),MIN($L260,EOMONTH(AG$4,0)),Assumptions!$F$4:$F$44))/NETWORKDAYS($K260,$L260,Assumptions!$F$4:$F$44))</f>
        <v>0</v>
      </c>
      <c r="AH260" s="21" t="n">
        <f aca="false">IF($J260=0,0,MAX(0,NETWORKDAYS(MAX($K260,AH$4),MIN($L260,EOMONTH(AH$4,0)),Assumptions!$F$4:$F$44))/NETWORKDAYS($K260,$L260,Assumptions!$F$4:$F$44))</f>
        <v>0</v>
      </c>
      <c r="AI260" s="21" t="n">
        <f aca="false">IF($J260=0,0,MAX(0,NETWORKDAYS(MAX($K260,AI$4),MIN($L260,EOMONTH(AI$4,0)),Assumptions!$F$4:$F$44))/NETWORKDAYS($K260,$L260,Assumptions!$F$4:$F$44))</f>
        <v>0</v>
      </c>
      <c r="AJ260" s="21" t="n">
        <f aca="false">IF($J260=0,0,MAX(0,NETWORKDAYS(MAX($K260,AJ$4),MIN($L260,EOMONTH(AJ$4,0)),Assumptions!$F$4:$F$44))/NETWORKDAYS($K260,$L260,Assumptions!$F$4:$F$44))</f>
        <v>1</v>
      </c>
      <c r="AK260" s="21" t="n">
        <f aca="false">IF($J260=0,0,MAX(0,NETWORKDAYS(MAX($K260,AK$4),MIN($L260,EOMONTH(AK$4,0)),Assumptions!$F$4:$F$44))/NETWORKDAYS($K260,$L260,Assumptions!$F$4:$F$44))</f>
        <v>0</v>
      </c>
      <c r="AL260" s="21" t="n">
        <f aca="false">IF($J260=0,0,MAX(0,NETWORKDAYS(MAX($K260,AL$4),MIN($L260,EOMONTH(AL$4,0)),Assumptions!$F$4:$F$44))/NETWORKDAYS($K260,$L260,Assumptions!$F$4:$F$44))</f>
        <v>0</v>
      </c>
      <c r="AM260" s="21" t="n">
        <f aca="false">IF($J260=0,0,MAX(0,NETWORKDAYS(MAX($K260,AM$4),MIN($L260,EOMONTH(AM$4,0)),Assumptions!$F$4:$F$44))/NETWORKDAYS($K260,$L260,Assumptions!$F$4:$F$44))</f>
        <v>0</v>
      </c>
      <c r="AN260" s="21" t="n">
        <f aca="false">IF($J260=0,0,MAX(0,NETWORKDAYS(MAX($K260,AN$4),MIN($L260,EOMONTH(AN$4,0)),Assumptions!$F$4:$F$44))/NETWORKDAYS($K260,$L260,Assumptions!$F$4:$F$44))</f>
        <v>0</v>
      </c>
      <c r="AO260" s="21" t="n">
        <f aca="false">IF($J260=0,0,MAX(0,NETWORKDAYS(MAX($K260,AO$4),MIN($L260,EOMONTH(AO$4,0)),Assumptions!$F$4:$F$44))/NETWORKDAYS($K260,$L260,Assumptions!$F$4:$F$44))</f>
        <v>0</v>
      </c>
      <c r="AP260" s="21" t="n">
        <f aca="false">IF($J260=0,0,MAX(0,NETWORKDAYS(MAX($K260,AP$4),MIN($L260,EOMONTH(AP$4,0)),Assumptions!$F$4:$F$44))/NETWORKDAYS($K260,$L260,Assumptions!$F$4:$F$44))</f>
        <v>0</v>
      </c>
      <c r="AQ260" s="21" t="n">
        <f aca="false">IF($J260=0,0,MAX(0,NETWORKDAYS(MAX($K260,AQ$4),MIN($L260,EOMONTH(AQ$4,0)),Assumptions!$F$4:$F$44))/NETWORKDAYS($K260,$L260,Assumptions!$F$4:$F$44))</f>
        <v>0</v>
      </c>
      <c r="AR260" s="21" t="n">
        <f aca="false">IF($J260=0,0,MAX(0,NETWORKDAYS(MAX($K260,AR$4),MIN($L260,EOMONTH(AR$4,0)),Assumptions!$F$4:$F$44))/NETWORKDAYS($K260,$L260,Assumptions!$F$4:$F$44))</f>
        <v>0</v>
      </c>
      <c r="AS260" s="21" t="n">
        <f aca="false">IF($J260=0,0,MAX(0,NETWORKDAYS(MAX($K260,AS$4),MIN($L260,EOMONTH(AS$4,0)),Assumptions!$F$4:$F$44))/NETWORKDAYS($K260,$L260,Assumptions!$F$4:$F$44))</f>
        <v>0</v>
      </c>
      <c r="AT260" s="21" t="n">
        <f aca="false">IF($J260=0,0,MAX(0,NETWORKDAYS(MAX($K260,AT$4),MIN($L260,EOMONTH(AT$4,0)),Assumptions!$F$4:$F$44))/NETWORKDAYS($K260,$L260,Assumptions!$F$4:$F$44))</f>
        <v>0</v>
      </c>
      <c r="AU260" s="21" t="n">
        <f aca="false">IF($J260=0,0,MAX(0,NETWORKDAYS(MAX($K260,AU$4),MIN($L260,EOMONTH(AU$4,0)),Assumptions!$F$4:$F$44))/NETWORKDAYS($K260,$L260,Assumptions!$F$4:$F$44))</f>
        <v>0</v>
      </c>
      <c r="AV260" s="21" t="n">
        <f aca="false">IF($J260=0,0,MAX(0,NETWORKDAYS(MAX($K260,AV$4),MIN($L260,EOMONTH(AV$4,0)),Assumptions!$F$4:$F$44))/NETWORKDAYS($K260,$L260,Assumptions!$F$4:$F$44))</f>
        <v>0</v>
      </c>
      <c r="AW260" s="21" t="n">
        <f aca="false">IF($J260=0,0,MAX(0,NETWORKDAYS(MAX($K260,AW$4),MIN($L260,EOMONTH(AW$4,0)),Assumptions!$F$4:$F$44))/NETWORKDAYS($K260,$L260,Assumptions!$F$4:$F$44))</f>
        <v>0</v>
      </c>
      <c r="AX260" s="21" t="n">
        <f aca="false">IF($J260=0,0,MAX(0,NETWORKDAYS(MAX($K260,AX$4),MIN($L260,EOMONTH(AX$4,0)),Assumptions!$F$4:$F$44))/NETWORKDAYS($K260,$L260,Assumptions!$F$4:$F$44))</f>
        <v>0</v>
      </c>
      <c r="AY260" s="21" t="n">
        <f aca="false">IF($J260=0,0,MAX(0,NETWORKDAYS(MAX($K260,AY$4),MIN($L260,EOMONTH(AY$4,0)),Assumptions!$F$4:$F$44))/NETWORKDAYS($K260,$L260,Assumptions!$F$4:$F$44))</f>
        <v>0</v>
      </c>
      <c r="AZ260" s="21" t="n">
        <f aca="false">IF($J260=0,0,MAX(0,NETWORKDAYS(MAX($K260,AZ$4),MIN($L260,EOMONTH(AZ$4,0)),Assumptions!$F$4:$F$44))/NETWORKDAYS($K260,$L260,Assumptions!$F$4:$F$44))</f>
        <v>0</v>
      </c>
      <c r="BA260" s="21" t="n">
        <f aca="false">IF($J260=0,0,MAX(0,NETWORKDAYS(MAX($K260,BA$4),MIN($L260,EOMONTH(BA$4,0)),Assumptions!$F$4:$F$44))/NETWORKDAYS($K260,$L260,Assumptions!$F$4:$F$44))</f>
        <v>0</v>
      </c>
      <c r="BB260" s="21" t="n">
        <f aca="false">IF($J260=0,0,MAX(0,NETWORKDAYS(MAX($K260,BB$4),MIN($L260,EOMONTH(BB$4,0)),Assumptions!$F$4:$F$44))/NETWORKDAYS($K260,$L260,Assumptions!$F$4:$F$44))</f>
        <v>0</v>
      </c>
      <c r="BC260" s="21" t="n">
        <f aca="false">IF($J260=0,0,MAX(0,NETWORKDAYS(MAX($K260,BC$4),MIN($L260,EOMONTH(BC$4,0)),Assumptions!$F$4:$F$44))/NETWORKDAYS($K260,$L260,Assumptions!$F$4:$F$44))</f>
        <v>0</v>
      </c>
    </row>
    <row r="261" customFormat="false" ht="15" hidden="false" customHeight="false" outlineLevel="2" collapsed="false">
      <c r="A261" s="27" t="n">
        <v>257</v>
      </c>
      <c r="B261" s="27" t="s">
        <v>607</v>
      </c>
      <c r="C261" s="27" t="n">
        <v>3</v>
      </c>
      <c r="D261" s="27" t="s">
        <v>92</v>
      </c>
      <c r="E261" s="28" t="s">
        <v>296</v>
      </c>
      <c r="F261" s="27" t="s">
        <v>502</v>
      </c>
      <c r="G261" s="27" t="s">
        <v>604</v>
      </c>
      <c r="H261" s="27" t="s">
        <v>45</v>
      </c>
      <c r="I261" s="29" t="n">
        <v>99</v>
      </c>
      <c r="J261" s="29" t="n">
        <v>16</v>
      </c>
      <c r="K261" s="30" t="n">
        <f aca="false">WORKDAY(Assumptions!$C$4,I261,Assumptions!$F$4:$F$44)</f>
        <v>46465</v>
      </c>
      <c r="L261" s="30" t="n">
        <f aca="false">IF(J261=0,K261,WORKDAY(K261,J261-1,Assumptions!$F$4:$F$44))</f>
        <v>46486</v>
      </c>
      <c r="M261" s="29" t="s">
        <v>608</v>
      </c>
      <c r="N261" s="31" t="n">
        <v>0</v>
      </c>
      <c r="O261" s="31" t="n">
        <v>0</v>
      </c>
      <c r="P261" s="31" t="n">
        <v>6</v>
      </c>
      <c r="Q261" s="31" t="n">
        <v>6</v>
      </c>
      <c r="R261" s="31" t="n">
        <v>0</v>
      </c>
      <c r="S261" s="31" t="n">
        <v>0</v>
      </c>
      <c r="T261" s="31" t="n">
        <v>0</v>
      </c>
      <c r="U261" s="31" t="n">
        <v>0</v>
      </c>
      <c r="V261" s="31" t="n">
        <v>0</v>
      </c>
      <c r="W261" s="31" t="n">
        <v>0</v>
      </c>
      <c r="X261" s="31" t="n">
        <v>0</v>
      </c>
      <c r="Y261" s="32" t="n">
        <f aca="false">SUM(N261:X261)</f>
        <v>12</v>
      </c>
      <c r="Z261" s="32" t="n">
        <f aca="false">Y261*(1+Assumptions!$C$5)</f>
        <v>13.8</v>
      </c>
      <c r="AA261" s="27" t="s">
        <v>298</v>
      </c>
      <c r="AB261" s="27" t="s">
        <v>95</v>
      </c>
      <c r="AC261" s="27"/>
      <c r="AD261" s="33" t="n">
        <v>0</v>
      </c>
      <c r="AF261" s="21" t="n">
        <f aca="false">IF($J261=0,0,MAX(0,NETWORKDAYS(MAX($K261,AF$4),MIN($L261,EOMONTH(AF$4,0)),Assumptions!$F$4:$F$44))/NETWORKDAYS($K261,$L261,Assumptions!$F$4:$F$44))</f>
        <v>0</v>
      </c>
      <c r="AG261" s="21" t="n">
        <f aca="false">IF($J261=0,0,MAX(0,NETWORKDAYS(MAX($K261,AG$4),MIN($L261,EOMONTH(AG$4,0)),Assumptions!$F$4:$F$44))/NETWORKDAYS($K261,$L261,Assumptions!$F$4:$F$44))</f>
        <v>0</v>
      </c>
      <c r="AH261" s="21" t="n">
        <f aca="false">IF($J261=0,0,MAX(0,NETWORKDAYS(MAX($K261,AH$4),MIN($L261,EOMONTH(AH$4,0)),Assumptions!$F$4:$F$44))/NETWORKDAYS($K261,$L261,Assumptions!$F$4:$F$44))</f>
        <v>0</v>
      </c>
      <c r="AI261" s="21" t="n">
        <f aca="false">IF($J261=0,0,MAX(0,NETWORKDAYS(MAX($K261,AI$4),MIN($L261,EOMONTH(AI$4,0)),Assumptions!$F$4:$F$44))/NETWORKDAYS($K261,$L261,Assumptions!$F$4:$F$44))</f>
        <v>0</v>
      </c>
      <c r="AJ261" s="21" t="n">
        <f aca="false">IF($J261=0,0,MAX(0,NETWORKDAYS(MAX($K261,AJ$4),MIN($L261,EOMONTH(AJ$4,0)),Assumptions!$F$4:$F$44))/NETWORKDAYS($K261,$L261,Assumptions!$F$4:$F$44))</f>
        <v>0.5625</v>
      </c>
      <c r="AK261" s="21" t="n">
        <f aca="false">IF($J261=0,0,MAX(0,NETWORKDAYS(MAX($K261,AK$4),MIN($L261,EOMONTH(AK$4,0)),Assumptions!$F$4:$F$44))/NETWORKDAYS($K261,$L261,Assumptions!$F$4:$F$44))</f>
        <v>0.4375</v>
      </c>
      <c r="AL261" s="21" t="n">
        <f aca="false">IF($J261=0,0,MAX(0,NETWORKDAYS(MAX($K261,AL$4),MIN($L261,EOMONTH(AL$4,0)),Assumptions!$F$4:$F$44))/NETWORKDAYS($K261,$L261,Assumptions!$F$4:$F$44))</f>
        <v>0</v>
      </c>
      <c r="AM261" s="21" t="n">
        <f aca="false">IF($J261=0,0,MAX(0,NETWORKDAYS(MAX($K261,AM$4),MIN($L261,EOMONTH(AM$4,0)),Assumptions!$F$4:$F$44))/NETWORKDAYS($K261,$L261,Assumptions!$F$4:$F$44))</f>
        <v>0</v>
      </c>
      <c r="AN261" s="21" t="n">
        <f aca="false">IF($J261=0,0,MAX(0,NETWORKDAYS(MAX($K261,AN$4),MIN($L261,EOMONTH(AN$4,0)),Assumptions!$F$4:$F$44))/NETWORKDAYS($K261,$L261,Assumptions!$F$4:$F$44))</f>
        <v>0</v>
      </c>
      <c r="AO261" s="21" t="n">
        <f aca="false">IF($J261=0,0,MAX(0,NETWORKDAYS(MAX($K261,AO$4),MIN($L261,EOMONTH(AO$4,0)),Assumptions!$F$4:$F$44))/NETWORKDAYS($K261,$L261,Assumptions!$F$4:$F$44))</f>
        <v>0</v>
      </c>
      <c r="AP261" s="21" t="n">
        <f aca="false">IF($J261=0,0,MAX(0,NETWORKDAYS(MAX($K261,AP$4),MIN($L261,EOMONTH(AP$4,0)),Assumptions!$F$4:$F$44))/NETWORKDAYS($K261,$L261,Assumptions!$F$4:$F$44))</f>
        <v>0</v>
      </c>
      <c r="AQ261" s="21" t="n">
        <f aca="false">IF($J261=0,0,MAX(0,NETWORKDAYS(MAX($K261,AQ$4),MIN($L261,EOMONTH(AQ$4,0)),Assumptions!$F$4:$F$44))/NETWORKDAYS($K261,$L261,Assumptions!$F$4:$F$44))</f>
        <v>0</v>
      </c>
      <c r="AR261" s="21" t="n">
        <f aca="false">IF($J261=0,0,MAX(0,NETWORKDAYS(MAX($K261,AR$4),MIN($L261,EOMONTH(AR$4,0)),Assumptions!$F$4:$F$44))/NETWORKDAYS($K261,$L261,Assumptions!$F$4:$F$44))</f>
        <v>0</v>
      </c>
      <c r="AS261" s="21" t="n">
        <f aca="false">IF($J261=0,0,MAX(0,NETWORKDAYS(MAX($K261,AS$4),MIN($L261,EOMONTH(AS$4,0)),Assumptions!$F$4:$F$44))/NETWORKDAYS($K261,$L261,Assumptions!$F$4:$F$44))</f>
        <v>0</v>
      </c>
      <c r="AT261" s="21" t="n">
        <f aca="false">IF($J261=0,0,MAX(0,NETWORKDAYS(MAX($K261,AT$4),MIN($L261,EOMONTH(AT$4,0)),Assumptions!$F$4:$F$44))/NETWORKDAYS($K261,$L261,Assumptions!$F$4:$F$44))</f>
        <v>0</v>
      </c>
      <c r="AU261" s="21" t="n">
        <f aca="false">IF($J261=0,0,MAX(0,NETWORKDAYS(MAX($K261,AU$4),MIN($L261,EOMONTH(AU$4,0)),Assumptions!$F$4:$F$44))/NETWORKDAYS($K261,$L261,Assumptions!$F$4:$F$44))</f>
        <v>0</v>
      </c>
      <c r="AV261" s="21" t="n">
        <f aca="false">IF($J261=0,0,MAX(0,NETWORKDAYS(MAX($K261,AV$4),MIN($L261,EOMONTH(AV$4,0)),Assumptions!$F$4:$F$44))/NETWORKDAYS($K261,$L261,Assumptions!$F$4:$F$44))</f>
        <v>0</v>
      </c>
      <c r="AW261" s="21" t="n">
        <f aca="false">IF($J261=0,0,MAX(0,NETWORKDAYS(MAX($K261,AW$4),MIN($L261,EOMONTH(AW$4,0)),Assumptions!$F$4:$F$44))/NETWORKDAYS($K261,$L261,Assumptions!$F$4:$F$44))</f>
        <v>0</v>
      </c>
      <c r="AX261" s="21" t="n">
        <f aca="false">IF($J261=0,0,MAX(0,NETWORKDAYS(MAX($K261,AX$4),MIN($L261,EOMONTH(AX$4,0)),Assumptions!$F$4:$F$44))/NETWORKDAYS($K261,$L261,Assumptions!$F$4:$F$44))</f>
        <v>0</v>
      </c>
      <c r="AY261" s="21" t="n">
        <f aca="false">IF($J261=0,0,MAX(0,NETWORKDAYS(MAX($K261,AY$4),MIN($L261,EOMONTH(AY$4,0)),Assumptions!$F$4:$F$44))/NETWORKDAYS($K261,$L261,Assumptions!$F$4:$F$44))</f>
        <v>0</v>
      </c>
      <c r="AZ261" s="21" t="n">
        <f aca="false">IF($J261=0,0,MAX(0,NETWORKDAYS(MAX($K261,AZ$4),MIN($L261,EOMONTH(AZ$4,0)),Assumptions!$F$4:$F$44))/NETWORKDAYS($K261,$L261,Assumptions!$F$4:$F$44))</f>
        <v>0</v>
      </c>
      <c r="BA261" s="21" t="n">
        <f aca="false">IF($J261=0,0,MAX(0,NETWORKDAYS(MAX($K261,BA$4),MIN($L261,EOMONTH(BA$4,0)),Assumptions!$F$4:$F$44))/NETWORKDAYS($K261,$L261,Assumptions!$F$4:$F$44))</f>
        <v>0</v>
      </c>
      <c r="BB261" s="21" t="n">
        <f aca="false">IF($J261=0,0,MAX(0,NETWORKDAYS(MAX($K261,BB$4),MIN($L261,EOMONTH(BB$4,0)),Assumptions!$F$4:$F$44))/NETWORKDAYS($K261,$L261,Assumptions!$F$4:$F$44))</f>
        <v>0</v>
      </c>
      <c r="BC261" s="21" t="n">
        <f aca="false">IF($J261=0,0,MAX(0,NETWORKDAYS(MAX($K261,BC$4),MIN($L261,EOMONTH(BC$4,0)),Assumptions!$F$4:$F$44))/NETWORKDAYS($K261,$L261,Assumptions!$F$4:$F$44))</f>
        <v>0</v>
      </c>
    </row>
    <row r="262" customFormat="false" ht="15" hidden="false" customHeight="false" outlineLevel="2" collapsed="false">
      <c r="A262" s="27" t="n">
        <v>258</v>
      </c>
      <c r="B262" s="27" t="s">
        <v>609</v>
      </c>
      <c r="C262" s="27" t="n">
        <v>3</v>
      </c>
      <c r="D262" s="27" t="s">
        <v>92</v>
      </c>
      <c r="E262" s="28" t="s">
        <v>300</v>
      </c>
      <c r="F262" s="27" t="s">
        <v>502</v>
      </c>
      <c r="G262" s="27" t="s">
        <v>604</v>
      </c>
      <c r="H262" s="27" t="s">
        <v>49</v>
      </c>
      <c r="I262" s="29" t="n">
        <v>99</v>
      </c>
      <c r="J262" s="29" t="n">
        <v>16</v>
      </c>
      <c r="K262" s="30" t="n">
        <f aca="false">WORKDAY(Assumptions!$C$4,I262,Assumptions!$F$4:$F$44)</f>
        <v>46465</v>
      </c>
      <c r="L262" s="30" t="n">
        <f aca="false">IF(J262=0,K262,WORKDAY(K262,J262-1,Assumptions!$F$4:$F$44))</f>
        <v>46486</v>
      </c>
      <c r="M262" s="29" t="s">
        <v>608</v>
      </c>
      <c r="N262" s="31" t="n">
        <v>0</v>
      </c>
      <c r="O262" s="31" t="n">
        <v>2</v>
      </c>
      <c r="P262" s="31" t="n">
        <v>0</v>
      </c>
      <c r="Q262" s="31" t="n">
        <v>0</v>
      </c>
      <c r="R262" s="31" t="n">
        <v>7</v>
      </c>
      <c r="S262" s="31" t="n">
        <v>0</v>
      </c>
      <c r="T262" s="31" t="n">
        <v>0</v>
      </c>
      <c r="U262" s="31" t="n">
        <v>0</v>
      </c>
      <c r="V262" s="31" t="n">
        <v>0</v>
      </c>
      <c r="W262" s="31" t="n">
        <v>0</v>
      </c>
      <c r="X262" s="31" t="n">
        <v>0</v>
      </c>
      <c r="Y262" s="32" t="n">
        <f aca="false">SUM(N262:X262)</f>
        <v>9</v>
      </c>
      <c r="Z262" s="32" t="n">
        <f aca="false">Y262*(1+Assumptions!$C$5)</f>
        <v>10.35</v>
      </c>
      <c r="AA262" s="27" t="s">
        <v>301</v>
      </c>
      <c r="AB262" s="27" t="s">
        <v>95</v>
      </c>
      <c r="AC262" s="27"/>
      <c r="AD262" s="33" t="n">
        <v>0</v>
      </c>
      <c r="AF262" s="21" t="n">
        <f aca="false">IF($J262=0,0,MAX(0,NETWORKDAYS(MAX($K262,AF$4),MIN($L262,EOMONTH(AF$4,0)),Assumptions!$F$4:$F$44))/NETWORKDAYS($K262,$L262,Assumptions!$F$4:$F$44))</f>
        <v>0</v>
      </c>
      <c r="AG262" s="21" t="n">
        <f aca="false">IF($J262=0,0,MAX(0,NETWORKDAYS(MAX($K262,AG$4),MIN($L262,EOMONTH(AG$4,0)),Assumptions!$F$4:$F$44))/NETWORKDAYS($K262,$L262,Assumptions!$F$4:$F$44))</f>
        <v>0</v>
      </c>
      <c r="AH262" s="21" t="n">
        <f aca="false">IF($J262=0,0,MAX(0,NETWORKDAYS(MAX($K262,AH$4),MIN($L262,EOMONTH(AH$4,0)),Assumptions!$F$4:$F$44))/NETWORKDAYS($K262,$L262,Assumptions!$F$4:$F$44))</f>
        <v>0</v>
      </c>
      <c r="AI262" s="21" t="n">
        <f aca="false">IF($J262=0,0,MAX(0,NETWORKDAYS(MAX($K262,AI$4),MIN($L262,EOMONTH(AI$4,0)),Assumptions!$F$4:$F$44))/NETWORKDAYS($K262,$L262,Assumptions!$F$4:$F$44))</f>
        <v>0</v>
      </c>
      <c r="AJ262" s="21" t="n">
        <f aca="false">IF($J262=0,0,MAX(0,NETWORKDAYS(MAX($K262,AJ$4),MIN($L262,EOMONTH(AJ$4,0)),Assumptions!$F$4:$F$44))/NETWORKDAYS($K262,$L262,Assumptions!$F$4:$F$44))</f>
        <v>0.5625</v>
      </c>
      <c r="AK262" s="21" t="n">
        <f aca="false">IF($J262=0,0,MAX(0,NETWORKDAYS(MAX($K262,AK$4),MIN($L262,EOMONTH(AK$4,0)),Assumptions!$F$4:$F$44))/NETWORKDAYS($K262,$L262,Assumptions!$F$4:$F$44))</f>
        <v>0.4375</v>
      </c>
      <c r="AL262" s="21" t="n">
        <f aca="false">IF($J262=0,0,MAX(0,NETWORKDAYS(MAX($K262,AL$4),MIN($L262,EOMONTH(AL$4,0)),Assumptions!$F$4:$F$44))/NETWORKDAYS($K262,$L262,Assumptions!$F$4:$F$44))</f>
        <v>0</v>
      </c>
      <c r="AM262" s="21" t="n">
        <f aca="false">IF($J262=0,0,MAX(0,NETWORKDAYS(MAX($K262,AM$4),MIN($L262,EOMONTH(AM$4,0)),Assumptions!$F$4:$F$44))/NETWORKDAYS($K262,$L262,Assumptions!$F$4:$F$44))</f>
        <v>0</v>
      </c>
      <c r="AN262" s="21" t="n">
        <f aca="false">IF($J262=0,0,MAX(0,NETWORKDAYS(MAX($K262,AN$4),MIN($L262,EOMONTH(AN$4,0)),Assumptions!$F$4:$F$44))/NETWORKDAYS($K262,$L262,Assumptions!$F$4:$F$44))</f>
        <v>0</v>
      </c>
      <c r="AO262" s="21" t="n">
        <f aca="false">IF($J262=0,0,MAX(0,NETWORKDAYS(MAX($K262,AO$4),MIN($L262,EOMONTH(AO$4,0)),Assumptions!$F$4:$F$44))/NETWORKDAYS($K262,$L262,Assumptions!$F$4:$F$44))</f>
        <v>0</v>
      </c>
      <c r="AP262" s="21" t="n">
        <f aca="false">IF($J262=0,0,MAX(0,NETWORKDAYS(MAX($K262,AP$4),MIN($L262,EOMONTH(AP$4,0)),Assumptions!$F$4:$F$44))/NETWORKDAYS($K262,$L262,Assumptions!$F$4:$F$44))</f>
        <v>0</v>
      </c>
      <c r="AQ262" s="21" t="n">
        <f aca="false">IF($J262=0,0,MAX(0,NETWORKDAYS(MAX($K262,AQ$4),MIN($L262,EOMONTH(AQ$4,0)),Assumptions!$F$4:$F$44))/NETWORKDAYS($K262,$L262,Assumptions!$F$4:$F$44))</f>
        <v>0</v>
      </c>
      <c r="AR262" s="21" t="n">
        <f aca="false">IF($J262=0,0,MAX(0,NETWORKDAYS(MAX($K262,AR$4),MIN($L262,EOMONTH(AR$4,0)),Assumptions!$F$4:$F$44))/NETWORKDAYS($K262,$L262,Assumptions!$F$4:$F$44))</f>
        <v>0</v>
      </c>
      <c r="AS262" s="21" t="n">
        <f aca="false">IF($J262=0,0,MAX(0,NETWORKDAYS(MAX($K262,AS$4),MIN($L262,EOMONTH(AS$4,0)),Assumptions!$F$4:$F$44))/NETWORKDAYS($K262,$L262,Assumptions!$F$4:$F$44))</f>
        <v>0</v>
      </c>
      <c r="AT262" s="21" t="n">
        <f aca="false">IF($J262=0,0,MAX(0,NETWORKDAYS(MAX($K262,AT$4),MIN($L262,EOMONTH(AT$4,0)),Assumptions!$F$4:$F$44))/NETWORKDAYS($K262,$L262,Assumptions!$F$4:$F$44))</f>
        <v>0</v>
      </c>
      <c r="AU262" s="21" t="n">
        <f aca="false">IF($J262=0,0,MAX(0,NETWORKDAYS(MAX($K262,AU$4),MIN($L262,EOMONTH(AU$4,0)),Assumptions!$F$4:$F$44))/NETWORKDAYS($K262,$L262,Assumptions!$F$4:$F$44))</f>
        <v>0</v>
      </c>
      <c r="AV262" s="21" t="n">
        <f aca="false">IF($J262=0,0,MAX(0,NETWORKDAYS(MAX($K262,AV$4),MIN($L262,EOMONTH(AV$4,0)),Assumptions!$F$4:$F$44))/NETWORKDAYS($K262,$L262,Assumptions!$F$4:$F$44))</f>
        <v>0</v>
      </c>
      <c r="AW262" s="21" t="n">
        <f aca="false">IF($J262=0,0,MAX(0,NETWORKDAYS(MAX($K262,AW$4),MIN($L262,EOMONTH(AW$4,0)),Assumptions!$F$4:$F$44))/NETWORKDAYS($K262,$L262,Assumptions!$F$4:$F$44))</f>
        <v>0</v>
      </c>
      <c r="AX262" s="21" t="n">
        <f aca="false">IF($J262=0,0,MAX(0,NETWORKDAYS(MAX($K262,AX$4),MIN($L262,EOMONTH(AX$4,0)),Assumptions!$F$4:$F$44))/NETWORKDAYS($K262,$L262,Assumptions!$F$4:$F$44))</f>
        <v>0</v>
      </c>
      <c r="AY262" s="21" t="n">
        <f aca="false">IF($J262=0,0,MAX(0,NETWORKDAYS(MAX($K262,AY$4),MIN($L262,EOMONTH(AY$4,0)),Assumptions!$F$4:$F$44))/NETWORKDAYS($K262,$L262,Assumptions!$F$4:$F$44))</f>
        <v>0</v>
      </c>
      <c r="AZ262" s="21" t="n">
        <f aca="false">IF($J262=0,0,MAX(0,NETWORKDAYS(MAX($K262,AZ$4),MIN($L262,EOMONTH(AZ$4,0)),Assumptions!$F$4:$F$44))/NETWORKDAYS($K262,$L262,Assumptions!$F$4:$F$44))</f>
        <v>0</v>
      </c>
      <c r="BA262" s="21" t="n">
        <f aca="false">IF($J262=0,0,MAX(0,NETWORKDAYS(MAX($K262,BA$4),MIN($L262,EOMONTH(BA$4,0)),Assumptions!$F$4:$F$44))/NETWORKDAYS($K262,$L262,Assumptions!$F$4:$F$44))</f>
        <v>0</v>
      </c>
      <c r="BB262" s="21" t="n">
        <f aca="false">IF($J262=0,0,MAX(0,NETWORKDAYS(MAX($K262,BB$4),MIN($L262,EOMONTH(BB$4,0)),Assumptions!$F$4:$F$44))/NETWORKDAYS($K262,$L262,Assumptions!$F$4:$F$44))</f>
        <v>0</v>
      </c>
      <c r="BC262" s="21" t="n">
        <f aca="false">IF($J262=0,0,MAX(0,NETWORKDAYS(MAX($K262,BC$4),MIN($L262,EOMONTH(BC$4,0)),Assumptions!$F$4:$F$44))/NETWORKDAYS($K262,$L262,Assumptions!$F$4:$F$44))</f>
        <v>0</v>
      </c>
    </row>
    <row r="263" customFormat="false" ht="15" hidden="false" customHeight="false" outlineLevel="2" collapsed="false">
      <c r="A263" s="27" t="n">
        <v>259</v>
      </c>
      <c r="B263" s="27" t="s">
        <v>610</v>
      </c>
      <c r="C263" s="27" t="n">
        <v>3</v>
      </c>
      <c r="D263" s="27" t="s">
        <v>92</v>
      </c>
      <c r="E263" s="28" t="s">
        <v>303</v>
      </c>
      <c r="F263" s="27" t="s">
        <v>502</v>
      </c>
      <c r="G263" s="27" t="s">
        <v>604</v>
      </c>
      <c r="H263" s="27" t="s">
        <v>47</v>
      </c>
      <c r="I263" s="29" t="n">
        <v>112</v>
      </c>
      <c r="J263" s="29" t="n">
        <v>55</v>
      </c>
      <c r="K263" s="30" t="n">
        <f aca="false">WORKDAY(Assumptions!$C$4,I263,Assumptions!$F$4:$F$44)</f>
        <v>46484</v>
      </c>
      <c r="L263" s="30" t="n">
        <f aca="false">IF(J263=0,K263,WORKDAY(K263,J263-1,Assumptions!$F$4:$F$44))</f>
        <v>46560</v>
      </c>
      <c r="M263" s="29" t="s">
        <v>611</v>
      </c>
      <c r="N263" s="31" t="n">
        <v>0</v>
      </c>
      <c r="O263" s="31" t="n">
        <v>0</v>
      </c>
      <c r="P263" s="31" t="n">
        <v>0</v>
      </c>
      <c r="Q263" s="31" t="n">
        <v>35</v>
      </c>
      <c r="R263" s="31" t="n">
        <v>0</v>
      </c>
      <c r="S263" s="31" t="n">
        <v>0</v>
      </c>
      <c r="T263" s="31" t="n">
        <v>0</v>
      </c>
      <c r="U263" s="31" t="n">
        <v>0</v>
      </c>
      <c r="V263" s="31" t="n">
        <v>0</v>
      </c>
      <c r="W263" s="31" t="n">
        <v>0</v>
      </c>
      <c r="X263" s="31" t="n">
        <v>0</v>
      </c>
      <c r="Y263" s="32" t="n">
        <f aca="false">SUM(N263:X263)</f>
        <v>35</v>
      </c>
      <c r="Z263" s="32" t="n">
        <f aca="false">Y263*(1+Assumptions!$C$5)</f>
        <v>40.25</v>
      </c>
      <c r="AA263" s="27" t="s">
        <v>305</v>
      </c>
      <c r="AB263" s="27" t="s">
        <v>95</v>
      </c>
      <c r="AC263" s="27"/>
      <c r="AD263" s="33" t="n">
        <v>0</v>
      </c>
      <c r="AF263" s="21" t="n">
        <f aca="false">IF($J263=0,0,MAX(0,NETWORKDAYS(MAX($K263,AF$4),MIN($L263,EOMONTH(AF$4,0)),Assumptions!$F$4:$F$44))/NETWORKDAYS($K263,$L263,Assumptions!$F$4:$F$44))</f>
        <v>0</v>
      </c>
      <c r="AG263" s="21" t="n">
        <f aca="false">IF($J263=0,0,MAX(0,NETWORKDAYS(MAX($K263,AG$4),MIN($L263,EOMONTH(AG$4,0)),Assumptions!$F$4:$F$44))/NETWORKDAYS($K263,$L263,Assumptions!$F$4:$F$44))</f>
        <v>0</v>
      </c>
      <c r="AH263" s="21" t="n">
        <f aca="false">IF($J263=0,0,MAX(0,NETWORKDAYS(MAX($K263,AH$4),MIN($L263,EOMONTH(AH$4,0)),Assumptions!$F$4:$F$44))/NETWORKDAYS($K263,$L263,Assumptions!$F$4:$F$44))</f>
        <v>0</v>
      </c>
      <c r="AI263" s="21" t="n">
        <f aca="false">IF($J263=0,0,MAX(0,NETWORKDAYS(MAX($K263,AI$4),MIN($L263,EOMONTH(AI$4,0)),Assumptions!$F$4:$F$44))/NETWORKDAYS($K263,$L263,Assumptions!$F$4:$F$44))</f>
        <v>0</v>
      </c>
      <c r="AJ263" s="21" t="n">
        <f aca="false">IF($J263=0,0,MAX(0,NETWORKDAYS(MAX($K263,AJ$4),MIN($L263,EOMONTH(AJ$4,0)),Assumptions!$F$4:$F$44))/NETWORKDAYS($K263,$L263,Assumptions!$F$4:$F$44))</f>
        <v>0</v>
      </c>
      <c r="AK263" s="21" t="n">
        <f aca="false">IF($J263=0,0,MAX(0,NETWORKDAYS(MAX($K263,AK$4),MIN($L263,EOMONTH(AK$4,0)),Assumptions!$F$4:$F$44))/NETWORKDAYS($K263,$L263,Assumptions!$F$4:$F$44))</f>
        <v>0.327272727272727</v>
      </c>
      <c r="AL263" s="21" t="n">
        <f aca="false">IF($J263=0,0,MAX(0,NETWORKDAYS(MAX($K263,AL$4),MIN($L263,EOMONTH(AL$4,0)),Assumptions!$F$4:$F$44))/NETWORKDAYS($K263,$L263,Assumptions!$F$4:$F$44))</f>
        <v>0.381818181818182</v>
      </c>
      <c r="AM263" s="21" t="n">
        <f aca="false">IF($J263=0,0,MAX(0,NETWORKDAYS(MAX($K263,AM$4),MIN($L263,EOMONTH(AM$4,0)),Assumptions!$F$4:$F$44))/NETWORKDAYS($K263,$L263,Assumptions!$F$4:$F$44))</f>
        <v>0.290909090909091</v>
      </c>
      <c r="AN263" s="21" t="n">
        <f aca="false">IF($J263=0,0,MAX(0,NETWORKDAYS(MAX($K263,AN$4),MIN($L263,EOMONTH(AN$4,0)),Assumptions!$F$4:$F$44))/NETWORKDAYS($K263,$L263,Assumptions!$F$4:$F$44))</f>
        <v>0</v>
      </c>
      <c r="AO263" s="21" t="n">
        <f aca="false">IF($J263=0,0,MAX(0,NETWORKDAYS(MAX($K263,AO$4),MIN($L263,EOMONTH(AO$4,0)),Assumptions!$F$4:$F$44))/NETWORKDAYS($K263,$L263,Assumptions!$F$4:$F$44))</f>
        <v>0</v>
      </c>
      <c r="AP263" s="21" t="n">
        <f aca="false">IF($J263=0,0,MAX(0,NETWORKDAYS(MAX($K263,AP$4),MIN($L263,EOMONTH(AP$4,0)),Assumptions!$F$4:$F$44))/NETWORKDAYS($K263,$L263,Assumptions!$F$4:$F$44))</f>
        <v>0</v>
      </c>
      <c r="AQ263" s="21" t="n">
        <f aca="false">IF($J263=0,0,MAX(0,NETWORKDAYS(MAX($K263,AQ$4),MIN($L263,EOMONTH(AQ$4,0)),Assumptions!$F$4:$F$44))/NETWORKDAYS($K263,$L263,Assumptions!$F$4:$F$44))</f>
        <v>0</v>
      </c>
      <c r="AR263" s="21" t="n">
        <f aca="false">IF($J263=0,0,MAX(0,NETWORKDAYS(MAX($K263,AR$4),MIN($L263,EOMONTH(AR$4,0)),Assumptions!$F$4:$F$44))/NETWORKDAYS($K263,$L263,Assumptions!$F$4:$F$44))</f>
        <v>0</v>
      </c>
      <c r="AS263" s="21" t="n">
        <f aca="false">IF($J263=0,0,MAX(0,NETWORKDAYS(MAX($K263,AS$4),MIN($L263,EOMONTH(AS$4,0)),Assumptions!$F$4:$F$44))/NETWORKDAYS($K263,$L263,Assumptions!$F$4:$F$44))</f>
        <v>0</v>
      </c>
      <c r="AT263" s="21" t="n">
        <f aca="false">IF($J263=0,0,MAX(0,NETWORKDAYS(MAX($K263,AT$4),MIN($L263,EOMONTH(AT$4,0)),Assumptions!$F$4:$F$44))/NETWORKDAYS($K263,$L263,Assumptions!$F$4:$F$44))</f>
        <v>0</v>
      </c>
      <c r="AU263" s="21" t="n">
        <f aca="false">IF($J263=0,0,MAX(0,NETWORKDAYS(MAX($K263,AU$4),MIN($L263,EOMONTH(AU$4,0)),Assumptions!$F$4:$F$44))/NETWORKDAYS($K263,$L263,Assumptions!$F$4:$F$44))</f>
        <v>0</v>
      </c>
      <c r="AV263" s="21" t="n">
        <f aca="false">IF($J263=0,0,MAX(0,NETWORKDAYS(MAX($K263,AV$4),MIN($L263,EOMONTH(AV$4,0)),Assumptions!$F$4:$F$44))/NETWORKDAYS($K263,$L263,Assumptions!$F$4:$F$44))</f>
        <v>0</v>
      </c>
      <c r="AW263" s="21" t="n">
        <f aca="false">IF($J263=0,0,MAX(0,NETWORKDAYS(MAX($K263,AW$4),MIN($L263,EOMONTH(AW$4,0)),Assumptions!$F$4:$F$44))/NETWORKDAYS($K263,$L263,Assumptions!$F$4:$F$44))</f>
        <v>0</v>
      </c>
      <c r="AX263" s="21" t="n">
        <f aca="false">IF($J263=0,0,MAX(0,NETWORKDAYS(MAX($K263,AX$4),MIN($L263,EOMONTH(AX$4,0)),Assumptions!$F$4:$F$44))/NETWORKDAYS($K263,$L263,Assumptions!$F$4:$F$44))</f>
        <v>0</v>
      </c>
      <c r="AY263" s="21" t="n">
        <f aca="false">IF($J263=0,0,MAX(0,NETWORKDAYS(MAX($K263,AY$4),MIN($L263,EOMONTH(AY$4,0)),Assumptions!$F$4:$F$44))/NETWORKDAYS($K263,$L263,Assumptions!$F$4:$F$44))</f>
        <v>0</v>
      </c>
      <c r="AZ263" s="21" t="n">
        <f aca="false">IF($J263=0,0,MAX(0,NETWORKDAYS(MAX($K263,AZ$4),MIN($L263,EOMONTH(AZ$4,0)),Assumptions!$F$4:$F$44))/NETWORKDAYS($K263,$L263,Assumptions!$F$4:$F$44))</f>
        <v>0</v>
      </c>
      <c r="BA263" s="21" t="n">
        <f aca="false">IF($J263=0,0,MAX(0,NETWORKDAYS(MAX($K263,BA$4),MIN($L263,EOMONTH(BA$4,0)),Assumptions!$F$4:$F$44))/NETWORKDAYS($K263,$L263,Assumptions!$F$4:$F$44))</f>
        <v>0</v>
      </c>
      <c r="BB263" s="21" t="n">
        <f aca="false">IF($J263=0,0,MAX(0,NETWORKDAYS(MAX($K263,BB$4),MIN($L263,EOMONTH(BB$4,0)),Assumptions!$F$4:$F$44))/NETWORKDAYS($K263,$L263,Assumptions!$F$4:$F$44))</f>
        <v>0</v>
      </c>
      <c r="BC263" s="21" t="n">
        <f aca="false">IF($J263=0,0,MAX(0,NETWORKDAYS(MAX($K263,BC$4),MIN($L263,EOMONTH(BC$4,0)),Assumptions!$F$4:$F$44))/NETWORKDAYS($K263,$L263,Assumptions!$F$4:$F$44))</f>
        <v>0</v>
      </c>
    </row>
    <row r="264" customFormat="false" ht="15" hidden="false" customHeight="false" outlineLevel="2" collapsed="false">
      <c r="A264" s="27" t="n">
        <v>260</v>
      </c>
      <c r="B264" s="27" t="s">
        <v>612</v>
      </c>
      <c r="C264" s="27" t="n">
        <v>3</v>
      </c>
      <c r="D264" s="27" t="s">
        <v>92</v>
      </c>
      <c r="E264" s="28" t="s">
        <v>307</v>
      </c>
      <c r="F264" s="27" t="s">
        <v>502</v>
      </c>
      <c r="G264" s="27" t="s">
        <v>604</v>
      </c>
      <c r="H264" s="27" t="s">
        <v>47</v>
      </c>
      <c r="I264" s="29" t="n">
        <v>128</v>
      </c>
      <c r="J264" s="29" t="n">
        <v>40</v>
      </c>
      <c r="K264" s="30" t="n">
        <f aca="false">WORKDAY(Assumptions!$C$4,I264,Assumptions!$F$4:$F$44)</f>
        <v>46506</v>
      </c>
      <c r="L264" s="30" t="n">
        <f aca="false">IF(J264=0,K264,WORKDAY(K264,J264-1,Assumptions!$F$4:$F$44))</f>
        <v>46561</v>
      </c>
      <c r="M264" s="29" t="s">
        <v>611</v>
      </c>
      <c r="N264" s="31" t="n">
        <v>0</v>
      </c>
      <c r="O264" s="31" t="n">
        <v>5</v>
      </c>
      <c r="P264" s="31" t="n">
        <v>0</v>
      </c>
      <c r="Q264" s="31" t="n">
        <v>12</v>
      </c>
      <c r="R264" s="31" t="n">
        <v>0</v>
      </c>
      <c r="S264" s="31" t="n">
        <v>0</v>
      </c>
      <c r="T264" s="31" t="n">
        <v>0</v>
      </c>
      <c r="U264" s="31" t="n">
        <v>0</v>
      </c>
      <c r="V264" s="31" t="n">
        <v>0</v>
      </c>
      <c r="W264" s="31" t="n">
        <v>0</v>
      </c>
      <c r="X264" s="31" t="n">
        <v>0</v>
      </c>
      <c r="Y264" s="32" t="n">
        <f aca="false">SUM(N264:X264)</f>
        <v>17</v>
      </c>
      <c r="Z264" s="32" t="n">
        <f aca="false">Y264*(1+Assumptions!$C$5)</f>
        <v>19.55</v>
      </c>
      <c r="AA264" s="27" t="s">
        <v>308</v>
      </c>
      <c r="AB264" s="27" t="s">
        <v>95</v>
      </c>
      <c r="AC264" s="27"/>
      <c r="AD264" s="33" t="n">
        <v>0</v>
      </c>
      <c r="AF264" s="21" t="n">
        <f aca="false">IF($J264=0,0,MAX(0,NETWORKDAYS(MAX($K264,AF$4),MIN($L264,EOMONTH(AF$4,0)),Assumptions!$F$4:$F$44))/NETWORKDAYS($K264,$L264,Assumptions!$F$4:$F$44))</f>
        <v>0</v>
      </c>
      <c r="AG264" s="21" t="n">
        <f aca="false">IF($J264=0,0,MAX(0,NETWORKDAYS(MAX($K264,AG$4),MIN($L264,EOMONTH(AG$4,0)),Assumptions!$F$4:$F$44))/NETWORKDAYS($K264,$L264,Assumptions!$F$4:$F$44))</f>
        <v>0</v>
      </c>
      <c r="AH264" s="21" t="n">
        <f aca="false">IF($J264=0,0,MAX(0,NETWORKDAYS(MAX($K264,AH$4),MIN($L264,EOMONTH(AH$4,0)),Assumptions!$F$4:$F$44))/NETWORKDAYS($K264,$L264,Assumptions!$F$4:$F$44))</f>
        <v>0</v>
      </c>
      <c r="AI264" s="21" t="n">
        <f aca="false">IF($J264=0,0,MAX(0,NETWORKDAYS(MAX($K264,AI$4),MIN($L264,EOMONTH(AI$4,0)),Assumptions!$F$4:$F$44))/NETWORKDAYS($K264,$L264,Assumptions!$F$4:$F$44))</f>
        <v>0</v>
      </c>
      <c r="AJ264" s="21" t="n">
        <f aca="false">IF($J264=0,0,MAX(0,NETWORKDAYS(MAX($K264,AJ$4),MIN($L264,EOMONTH(AJ$4,0)),Assumptions!$F$4:$F$44))/NETWORKDAYS($K264,$L264,Assumptions!$F$4:$F$44))</f>
        <v>0</v>
      </c>
      <c r="AK264" s="21" t="n">
        <f aca="false">IF($J264=0,0,MAX(0,NETWORKDAYS(MAX($K264,AK$4),MIN($L264,EOMONTH(AK$4,0)),Assumptions!$F$4:$F$44))/NETWORKDAYS($K264,$L264,Assumptions!$F$4:$F$44))</f>
        <v>0.05</v>
      </c>
      <c r="AL264" s="21" t="n">
        <f aca="false">IF($J264=0,0,MAX(0,NETWORKDAYS(MAX($K264,AL$4),MIN($L264,EOMONTH(AL$4,0)),Assumptions!$F$4:$F$44))/NETWORKDAYS($K264,$L264,Assumptions!$F$4:$F$44))</f>
        <v>0.525</v>
      </c>
      <c r="AM264" s="21" t="n">
        <f aca="false">IF($J264=0,0,MAX(0,NETWORKDAYS(MAX($K264,AM$4),MIN($L264,EOMONTH(AM$4,0)),Assumptions!$F$4:$F$44))/NETWORKDAYS($K264,$L264,Assumptions!$F$4:$F$44))</f>
        <v>0.425</v>
      </c>
      <c r="AN264" s="21" t="n">
        <f aca="false">IF($J264=0,0,MAX(0,NETWORKDAYS(MAX($K264,AN$4),MIN($L264,EOMONTH(AN$4,0)),Assumptions!$F$4:$F$44))/NETWORKDAYS($K264,$L264,Assumptions!$F$4:$F$44))</f>
        <v>0</v>
      </c>
      <c r="AO264" s="21" t="n">
        <f aca="false">IF($J264=0,0,MAX(0,NETWORKDAYS(MAX($K264,AO$4),MIN($L264,EOMONTH(AO$4,0)),Assumptions!$F$4:$F$44))/NETWORKDAYS($K264,$L264,Assumptions!$F$4:$F$44))</f>
        <v>0</v>
      </c>
      <c r="AP264" s="21" t="n">
        <f aca="false">IF($J264=0,0,MAX(0,NETWORKDAYS(MAX($K264,AP$4),MIN($L264,EOMONTH(AP$4,0)),Assumptions!$F$4:$F$44))/NETWORKDAYS($K264,$L264,Assumptions!$F$4:$F$44))</f>
        <v>0</v>
      </c>
      <c r="AQ264" s="21" t="n">
        <f aca="false">IF($J264=0,0,MAX(0,NETWORKDAYS(MAX($K264,AQ$4),MIN($L264,EOMONTH(AQ$4,0)),Assumptions!$F$4:$F$44))/NETWORKDAYS($K264,$L264,Assumptions!$F$4:$F$44))</f>
        <v>0</v>
      </c>
      <c r="AR264" s="21" t="n">
        <f aca="false">IF($J264=0,0,MAX(0,NETWORKDAYS(MAX($K264,AR$4),MIN($L264,EOMONTH(AR$4,0)),Assumptions!$F$4:$F$44))/NETWORKDAYS($K264,$L264,Assumptions!$F$4:$F$44))</f>
        <v>0</v>
      </c>
      <c r="AS264" s="21" t="n">
        <f aca="false">IF($J264=0,0,MAX(0,NETWORKDAYS(MAX($K264,AS$4),MIN($L264,EOMONTH(AS$4,0)),Assumptions!$F$4:$F$44))/NETWORKDAYS($K264,$L264,Assumptions!$F$4:$F$44))</f>
        <v>0</v>
      </c>
      <c r="AT264" s="21" t="n">
        <f aca="false">IF($J264=0,0,MAX(0,NETWORKDAYS(MAX($K264,AT$4),MIN($L264,EOMONTH(AT$4,0)),Assumptions!$F$4:$F$44))/NETWORKDAYS($K264,$L264,Assumptions!$F$4:$F$44))</f>
        <v>0</v>
      </c>
      <c r="AU264" s="21" t="n">
        <f aca="false">IF($J264=0,0,MAX(0,NETWORKDAYS(MAX($K264,AU$4),MIN($L264,EOMONTH(AU$4,0)),Assumptions!$F$4:$F$44))/NETWORKDAYS($K264,$L264,Assumptions!$F$4:$F$44))</f>
        <v>0</v>
      </c>
      <c r="AV264" s="21" t="n">
        <f aca="false">IF($J264=0,0,MAX(0,NETWORKDAYS(MAX($K264,AV$4),MIN($L264,EOMONTH(AV$4,0)),Assumptions!$F$4:$F$44))/NETWORKDAYS($K264,$L264,Assumptions!$F$4:$F$44))</f>
        <v>0</v>
      </c>
      <c r="AW264" s="21" t="n">
        <f aca="false">IF($J264=0,0,MAX(0,NETWORKDAYS(MAX($K264,AW$4),MIN($L264,EOMONTH(AW$4,0)),Assumptions!$F$4:$F$44))/NETWORKDAYS($K264,$L264,Assumptions!$F$4:$F$44))</f>
        <v>0</v>
      </c>
      <c r="AX264" s="21" t="n">
        <f aca="false">IF($J264=0,0,MAX(0,NETWORKDAYS(MAX($K264,AX$4),MIN($L264,EOMONTH(AX$4,0)),Assumptions!$F$4:$F$44))/NETWORKDAYS($K264,$L264,Assumptions!$F$4:$F$44))</f>
        <v>0</v>
      </c>
      <c r="AY264" s="21" t="n">
        <f aca="false">IF($J264=0,0,MAX(0,NETWORKDAYS(MAX($K264,AY$4),MIN($L264,EOMONTH(AY$4,0)),Assumptions!$F$4:$F$44))/NETWORKDAYS($K264,$L264,Assumptions!$F$4:$F$44))</f>
        <v>0</v>
      </c>
      <c r="AZ264" s="21" t="n">
        <f aca="false">IF($J264=0,0,MAX(0,NETWORKDAYS(MAX($K264,AZ$4),MIN($L264,EOMONTH(AZ$4,0)),Assumptions!$F$4:$F$44))/NETWORKDAYS($K264,$L264,Assumptions!$F$4:$F$44))</f>
        <v>0</v>
      </c>
      <c r="BA264" s="21" t="n">
        <f aca="false">IF($J264=0,0,MAX(0,NETWORKDAYS(MAX($K264,BA$4),MIN($L264,EOMONTH(BA$4,0)),Assumptions!$F$4:$F$44))/NETWORKDAYS($K264,$L264,Assumptions!$F$4:$F$44))</f>
        <v>0</v>
      </c>
      <c r="BB264" s="21" t="n">
        <f aca="false">IF($J264=0,0,MAX(0,NETWORKDAYS(MAX($K264,BB$4),MIN($L264,EOMONTH(BB$4,0)),Assumptions!$F$4:$F$44))/NETWORKDAYS($K264,$L264,Assumptions!$F$4:$F$44))</f>
        <v>0</v>
      </c>
      <c r="BC264" s="21" t="n">
        <f aca="false">IF($J264=0,0,MAX(0,NETWORKDAYS(MAX($K264,BC$4),MIN($L264,EOMONTH(BC$4,0)),Assumptions!$F$4:$F$44))/NETWORKDAYS($K264,$L264,Assumptions!$F$4:$F$44))</f>
        <v>0</v>
      </c>
    </row>
    <row r="265" customFormat="false" ht="15" hidden="false" customHeight="false" outlineLevel="2" collapsed="false">
      <c r="A265" s="27" t="n">
        <v>261</v>
      </c>
      <c r="B265" s="27" t="s">
        <v>613</v>
      </c>
      <c r="C265" s="27" t="n">
        <v>3</v>
      </c>
      <c r="D265" s="27" t="s">
        <v>92</v>
      </c>
      <c r="E265" s="28" t="s">
        <v>310</v>
      </c>
      <c r="F265" s="27" t="s">
        <v>502</v>
      </c>
      <c r="G265" s="27" t="s">
        <v>604</v>
      </c>
      <c r="H265" s="27" t="s">
        <v>49</v>
      </c>
      <c r="I265" s="29" t="n">
        <v>121</v>
      </c>
      <c r="J265" s="29" t="n">
        <v>53</v>
      </c>
      <c r="K265" s="30" t="n">
        <f aca="false">WORKDAY(Assumptions!$C$4,I265,Assumptions!$F$4:$F$44)</f>
        <v>46497</v>
      </c>
      <c r="L265" s="30" t="n">
        <f aca="false">IF(J265=0,K265,WORKDAY(K265,J265-1,Assumptions!$F$4:$F$44))</f>
        <v>46569</v>
      </c>
      <c r="M265" s="29" t="s">
        <v>614</v>
      </c>
      <c r="N265" s="31" t="n">
        <v>0</v>
      </c>
      <c r="O265" s="31" t="n">
        <v>0</v>
      </c>
      <c r="P265" s="31" t="n">
        <v>0</v>
      </c>
      <c r="Q265" s="31" t="n">
        <v>0</v>
      </c>
      <c r="R265" s="31" t="n">
        <v>29</v>
      </c>
      <c r="S265" s="31" t="n">
        <v>0</v>
      </c>
      <c r="T265" s="31" t="n">
        <v>0</v>
      </c>
      <c r="U265" s="31" t="n">
        <v>0</v>
      </c>
      <c r="V265" s="31" t="n">
        <v>0</v>
      </c>
      <c r="W265" s="31" t="n">
        <v>0</v>
      </c>
      <c r="X265" s="31" t="n">
        <v>0</v>
      </c>
      <c r="Y265" s="32" t="n">
        <f aca="false">SUM(N265:X265)</f>
        <v>29</v>
      </c>
      <c r="Z265" s="32" t="n">
        <f aca="false">Y265*(1+Assumptions!$C$5)</f>
        <v>33.35</v>
      </c>
      <c r="AA265" s="27" t="s">
        <v>312</v>
      </c>
      <c r="AB265" s="27" t="s">
        <v>95</v>
      </c>
      <c r="AC265" s="27"/>
      <c r="AD265" s="33" t="n">
        <v>0</v>
      </c>
      <c r="AF265" s="21" t="n">
        <f aca="false">IF($J265=0,0,MAX(0,NETWORKDAYS(MAX($K265,AF$4),MIN($L265,EOMONTH(AF$4,0)),Assumptions!$F$4:$F$44))/NETWORKDAYS($K265,$L265,Assumptions!$F$4:$F$44))</f>
        <v>0</v>
      </c>
      <c r="AG265" s="21" t="n">
        <f aca="false">IF($J265=0,0,MAX(0,NETWORKDAYS(MAX($K265,AG$4),MIN($L265,EOMONTH(AG$4,0)),Assumptions!$F$4:$F$44))/NETWORKDAYS($K265,$L265,Assumptions!$F$4:$F$44))</f>
        <v>0</v>
      </c>
      <c r="AH265" s="21" t="n">
        <f aca="false">IF($J265=0,0,MAX(0,NETWORKDAYS(MAX($K265,AH$4),MIN($L265,EOMONTH(AH$4,0)),Assumptions!$F$4:$F$44))/NETWORKDAYS($K265,$L265,Assumptions!$F$4:$F$44))</f>
        <v>0</v>
      </c>
      <c r="AI265" s="21" t="n">
        <f aca="false">IF($J265=0,0,MAX(0,NETWORKDAYS(MAX($K265,AI$4),MIN($L265,EOMONTH(AI$4,0)),Assumptions!$F$4:$F$44))/NETWORKDAYS($K265,$L265,Assumptions!$F$4:$F$44))</f>
        <v>0</v>
      </c>
      <c r="AJ265" s="21" t="n">
        <f aca="false">IF($J265=0,0,MAX(0,NETWORKDAYS(MAX($K265,AJ$4),MIN($L265,EOMONTH(AJ$4,0)),Assumptions!$F$4:$F$44))/NETWORKDAYS($K265,$L265,Assumptions!$F$4:$F$44))</f>
        <v>0</v>
      </c>
      <c r="AK265" s="21" t="n">
        <f aca="false">IF($J265=0,0,MAX(0,NETWORKDAYS(MAX($K265,AK$4),MIN($L265,EOMONTH(AK$4,0)),Assumptions!$F$4:$F$44))/NETWORKDAYS($K265,$L265,Assumptions!$F$4:$F$44))</f>
        <v>0.169811320754717</v>
      </c>
      <c r="AL265" s="21" t="n">
        <f aca="false">IF($J265=0,0,MAX(0,NETWORKDAYS(MAX($K265,AL$4),MIN($L265,EOMONTH(AL$4,0)),Assumptions!$F$4:$F$44))/NETWORKDAYS($K265,$L265,Assumptions!$F$4:$F$44))</f>
        <v>0.39622641509434</v>
      </c>
      <c r="AM265" s="21" t="n">
        <f aca="false">IF($J265=0,0,MAX(0,NETWORKDAYS(MAX($K265,AM$4),MIN($L265,EOMONTH(AM$4,0)),Assumptions!$F$4:$F$44))/NETWORKDAYS($K265,$L265,Assumptions!$F$4:$F$44))</f>
        <v>0.415094339622642</v>
      </c>
      <c r="AN265" s="21" t="n">
        <f aca="false">IF($J265=0,0,MAX(0,NETWORKDAYS(MAX($K265,AN$4),MIN($L265,EOMONTH(AN$4,0)),Assumptions!$F$4:$F$44))/NETWORKDAYS($K265,$L265,Assumptions!$F$4:$F$44))</f>
        <v>0.0188679245283019</v>
      </c>
      <c r="AO265" s="21" t="n">
        <f aca="false">IF($J265=0,0,MAX(0,NETWORKDAYS(MAX($K265,AO$4),MIN($L265,EOMONTH(AO$4,0)),Assumptions!$F$4:$F$44))/NETWORKDAYS($K265,$L265,Assumptions!$F$4:$F$44))</f>
        <v>0</v>
      </c>
      <c r="AP265" s="21" t="n">
        <f aca="false">IF($J265=0,0,MAX(0,NETWORKDAYS(MAX($K265,AP$4),MIN($L265,EOMONTH(AP$4,0)),Assumptions!$F$4:$F$44))/NETWORKDAYS($K265,$L265,Assumptions!$F$4:$F$44))</f>
        <v>0</v>
      </c>
      <c r="AQ265" s="21" t="n">
        <f aca="false">IF($J265=0,0,MAX(0,NETWORKDAYS(MAX($K265,AQ$4),MIN($L265,EOMONTH(AQ$4,0)),Assumptions!$F$4:$F$44))/NETWORKDAYS($K265,$L265,Assumptions!$F$4:$F$44))</f>
        <v>0</v>
      </c>
      <c r="AR265" s="21" t="n">
        <f aca="false">IF($J265=0,0,MAX(0,NETWORKDAYS(MAX($K265,AR$4),MIN($L265,EOMONTH(AR$4,0)),Assumptions!$F$4:$F$44))/NETWORKDAYS($K265,$L265,Assumptions!$F$4:$F$44))</f>
        <v>0</v>
      </c>
      <c r="AS265" s="21" t="n">
        <f aca="false">IF($J265=0,0,MAX(0,NETWORKDAYS(MAX($K265,AS$4),MIN($L265,EOMONTH(AS$4,0)),Assumptions!$F$4:$F$44))/NETWORKDAYS($K265,$L265,Assumptions!$F$4:$F$44))</f>
        <v>0</v>
      </c>
      <c r="AT265" s="21" t="n">
        <f aca="false">IF($J265=0,0,MAX(0,NETWORKDAYS(MAX($K265,AT$4),MIN($L265,EOMONTH(AT$4,0)),Assumptions!$F$4:$F$44))/NETWORKDAYS($K265,$L265,Assumptions!$F$4:$F$44))</f>
        <v>0</v>
      </c>
      <c r="AU265" s="21" t="n">
        <f aca="false">IF($J265=0,0,MAX(0,NETWORKDAYS(MAX($K265,AU$4),MIN($L265,EOMONTH(AU$4,0)),Assumptions!$F$4:$F$44))/NETWORKDAYS($K265,$L265,Assumptions!$F$4:$F$44))</f>
        <v>0</v>
      </c>
      <c r="AV265" s="21" t="n">
        <f aca="false">IF($J265=0,0,MAX(0,NETWORKDAYS(MAX($K265,AV$4),MIN($L265,EOMONTH(AV$4,0)),Assumptions!$F$4:$F$44))/NETWORKDAYS($K265,$L265,Assumptions!$F$4:$F$44))</f>
        <v>0</v>
      </c>
      <c r="AW265" s="21" t="n">
        <f aca="false">IF($J265=0,0,MAX(0,NETWORKDAYS(MAX($K265,AW$4),MIN($L265,EOMONTH(AW$4,0)),Assumptions!$F$4:$F$44))/NETWORKDAYS($K265,$L265,Assumptions!$F$4:$F$44))</f>
        <v>0</v>
      </c>
      <c r="AX265" s="21" t="n">
        <f aca="false">IF($J265=0,0,MAX(0,NETWORKDAYS(MAX($K265,AX$4),MIN($L265,EOMONTH(AX$4,0)),Assumptions!$F$4:$F$44))/NETWORKDAYS($K265,$L265,Assumptions!$F$4:$F$44))</f>
        <v>0</v>
      </c>
      <c r="AY265" s="21" t="n">
        <f aca="false">IF($J265=0,0,MAX(0,NETWORKDAYS(MAX($K265,AY$4),MIN($L265,EOMONTH(AY$4,0)),Assumptions!$F$4:$F$44))/NETWORKDAYS($K265,$L265,Assumptions!$F$4:$F$44))</f>
        <v>0</v>
      </c>
      <c r="AZ265" s="21" t="n">
        <f aca="false">IF($J265=0,0,MAX(0,NETWORKDAYS(MAX($K265,AZ$4),MIN($L265,EOMONTH(AZ$4,0)),Assumptions!$F$4:$F$44))/NETWORKDAYS($K265,$L265,Assumptions!$F$4:$F$44))</f>
        <v>0</v>
      </c>
      <c r="BA265" s="21" t="n">
        <f aca="false">IF($J265=0,0,MAX(0,NETWORKDAYS(MAX($K265,BA$4),MIN($L265,EOMONTH(BA$4,0)),Assumptions!$F$4:$F$44))/NETWORKDAYS($K265,$L265,Assumptions!$F$4:$F$44))</f>
        <v>0</v>
      </c>
      <c r="BB265" s="21" t="n">
        <f aca="false">IF($J265=0,0,MAX(0,NETWORKDAYS(MAX($K265,BB$4),MIN($L265,EOMONTH(BB$4,0)),Assumptions!$F$4:$F$44))/NETWORKDAYS($K265,$L265,Assumptions!$F$4:$F$44))</f>
        <v>0</v>
      </c>
      <c r="BC265" s="21" t="n">
        <f aca="false">IF($J265=0,0,MAX(0,NETWORKDAYS(MAX($K265,BC$4),MIN($L265,EOMONTH(BC$4,0)),Assumptions!$F$4:$F$44))/NETWORKDAYS($K265,$L265,Assumptions!$F$4:$F$44))</f>
        <v>0</v>
      </c>
    </row>
    <row r="266" customFormat="false" ht="15" hidden="false" customHeight="false" outlineLevel="2" collapsed="false">
      <c r="A266" s="27" t="n">
        <v>262</v>
      </c>
      <c r="B266" s="27" t="s">
        <v>615</v>
      </c>
      <c r="C266" s="27" t="n">
        <v>3</v>
      </c>
      <c r="D266" s="27" t="s">
        <v>92</v>
      </c>
      <c r="E266" s="28" t="s">
        <v>314</v>
      </c>
      <c r="F266" s="27" t="s">
        <v>502</v>
      </c>
      <c r="G266" s="27" t="s">
        <v>604</v>
      </c>
      <c r="H266" s="27" t="s">
        <v>49</v>
      </c>
      <c r="I266" s="29" t="n">
        <v>134</v>
      </c>
      <c r="J266" s="29" t="n">
        <v>40</v>
      </c>
      <c r="K266" s="30" t="n">
        <f aca="false">WORKDAY(Assumptions!$C$4,I266,Assumptions!$F$4:$F$44)</f>
        <v>46514</v>
      </c>
      <c r="L266" s="30" t="n">
        <f aca="false">IF(J266=0,K266,WORKDAY(K266,J266-1,Assumptions!$F$4:$F$44))</f>
        <v>46569</v>
      </c>
      <c r="M266" s="29" t="s">
        <v>614</v>
      </c>
      <c r="N266" s="31" t="n">
        <v>0</v>
      </c>
      <c r="O266" s="31" t="n">
        <v>0</v>
      </c>
      <c r="P266" s="31" t="n">
        <v>0</v>
      </c>
      <c r="Q266" s="31" t="n">
        <v>0</v>
      </c>
      <c r="R266" s="31" t="n">
        <v>14</v>
      </c>
      <c r="S266" s="31" t="n">
        <v>7</v>
      </c>
      <c r="T266" s="31" t="n">
        <v>0</v>
      </c>
      <c r="U266" s="31" t="n">
        <v>0</v>
      </c>
      <c r="V266" s="31" t="n">
        <v>0</v>
      </c>
      <c r="W266" s="31" t="n">
        <v>0</v>
      </c>
      <c r="X266" s="31" t="n">
        <v>0</v>
      </c>
      <c r="Y266" s="32" t="n">
        <f aca="false">SUM(N266:X266)</f>
        <v>21</v>
      </c>
      <c r="Z266" s="32" t="n">
        <f aca="false">Y266*(1+Assumptions!$C$5)</f>
        <v>24.15</v>
      </c>
      <c r="AA266" s="27" t="s">
        <v>315</v>
      </c>
      <c r="AB266" s="27" t="s">
        <v>95</v>
      </c>
      <c r="AC266" s="27"/>
      <c r="AD266" s="33" t="n">
        <v>0</v>
      </c>
      <c r="AF266" s="21" t="n">
        <f aca="false">IF($J266=0,0,MAX(0,NETWORKDAYS(MAX($K266,AF$4),MIN($L266,EOMONTH(AF$4,0)),Assumptions!$F$4:$F$44))/NETWORKDAYS($K266,$L266,Assumptions!$F$4:$F$44))</f>
        <v>0</v>
      </c>
      <c r="AG266" s="21" t="n">
        <f aca="false">IF($J266=0,0,MAX(0,NETWORKDAYS(MAX($K266,AG$4),MIN($L266,EOMONTH(AG$4,0)),Assumptions!$F$4:$F$44))/NETWORKDAYS($K266,$L266,Assumptions!$F$4:$F$44))</f>
        <v>0</v>
      </c>
      <c r="AH266" s="21" t="n">
        <f aca="false">IF($J266=0,0,MAX(0,NETWORKDAYS(MAX($K266,AH$4),MIN($L266,EOMONTH(AH$4,0)),Assumptions!$F$4:$F$44))/NETWORKDAYS($K266,$L266,Assumptions!$F$4:$F$44))</f>
        <v>0</v>
      </c>
      <c r="AI266" s="21" t="n">
        <f aca="false">IF($J266=0,0,MAX(0,NETWORKDAYS(MAX($K266,AI$4),MIN($L266,EOMONTH(AI$4,0)),Assumptions!$F$4:$F$44))/NETWORKDAYS($K266,$L266,Assumptions!$F$4:$F$44))</f>
        <v>0</v>
      </c>
      <c r="AJ266" s="21" t="n">
        <f aca="false">IF($J266=0,0,MAX(0,NETWORKDAYS(MAX($K266,AJ$4),MIN($L266,EOMONTH(AJ$4,0)),Assumptions!$F$4:$F$44))/NETWORKDAYS($K266,$L266,Assumptions!$F$4:$F$44))</f>
        <v>0</v>
      </c>
      <c r="AK266" s="21" t="n">
        <f aca="false">IF($J266=0,0,MAX(0,NETWORKDAYS(MAX($K266,AK$4),MIN($L266,EOMONTH(AK$4,0)),Assumptions!$F$4:$F$44))/NETWORKDAYS($K266,$L266,Assumptions!$F$4:$F$44))</f>
        <v>0</v>
      </c>
      <c r="AL266" s="21" t="n">
        <f aca="false">IF($J266=0,0,MAX(0,NETWORKDAYS(MAX($K266,AL$4),MIN($L266,EOMONTH(AL$4,0)),Assumptions!$F$4:$F$44))/NETWORKDAYS($K266,$L266,Assumptions!$F$4:$F$44))</f>
        <v>0.425</v>
      </c>
      <c r="AM266" s="21" t="n">
        <f aca="false">IF($J266=0,0,MAX(0,NETWORKDAYS(MAX($K266,AM$4),MIN($L266,EOMONTH(AM$4,0)),Assumptions!$F$4:$F$44))/NETWORKDAYS($K266,$L266,Assumptions!$F$4:$F$44))</f>
        <v>0.55</v>
      </c>
      <c r="AN266" s="21" t="n">
        <f aca="false">IF($J266=0,0,MAX(0,NETWORKDAYS(MAX($K266,AN$4),MIN($L266,EOMONTH(AN$4,0)),Assumptions!$F$4:$F$44))/NETWORKDAYS($K266,$L266,Assumptions!$F$4:$F$44))</f>
        <v>0.025</v>
      </c>
      <c r="AO266" s="21" t="n">
        <f aca="false">IF($J266=0,0,MAX(0,NETWORKDAYS(MAX($K266,AO$4),MIN($L266,EOMONTH(AO$4,0)),Assumptions!$F$4:$F$44))/NETWORKDAYS($K266,$L266,Assumptions!$F$4:$F$44))</f>
        <v>0</v>
      </c>
      <c r="AP266" s="21" t="n">
        <f aca="false">IF($J266=0,0,MAX(0,NETWORKDAYS(MAX($K266,AP$4),MIN($L266,EOMONTH(AP$4,0)),Assumptions!$F$4:$F$44))/NETWORKDAYS($K266,$L266,Assumptions!$F$4:$F$44))</f>
        <v>0</v>
      </c>
      <c r="AQ266" s="21" t="n">
        <f aca="false">IF($J266=0,0,MAX(0,NETWORKDAYS(MAX($K266,AQ$4),MIN($L266,EOMONTH(AQ$4,0)),Assumptions!$F$4:$F$44))/NETWORKDAYS($K266,$L266,Assumptions!$F$4:$F$44))</f>
        <v>0</v>
      </c>
      <c r="AR266" s="21" t="n">
        <f aca="false">IF($J266=0,0,MAX(0,NETWORKDAYS(MAX($K266,AR$4),MIN($L266,EOMONTH(AR$4,0)),Assumptions!$F$4:$F$44))/NETWORKDAYS($K266,$L266,Assumptions!$F$4:$F$44))</f>
        <v>0</v>
      </c>
      <c r="AS266" s="21" t="n">
        <f aca="false">IF($J266=0,0,MAX(0,NETWORKDAYS(MAX($K266,AS$4),MIN($L266,EOMONTH(AS$4,0)),Assumptions!$F$4:$F$44))/NETWORKDAYS($K266,$L266,Assumptions!$F$4:$F$44))</f>
        <v>0</v>
      </c>
      <c r="AT266" s="21" t="n">
        <f aca="false">IF($J266=0,0,MAX(0,NETWORKDAYS(MAX($K266,AT$4),MIN($L266,EOMONTH(AT$4,0)),Assumptions!$F$4:$F$44))/NETWORKDAYS($K266,$L266,Assumptions!$F$4:$F$44))</f>
        <v>0</v>
      </c>
      <c r="AU266" s="21" t="n">
        <f aca="false">IF($J266=0,0,MAX(0,NETWORKDAYS(MAX($K266,AU$4),MIN($L266,EOMONTH(AU$4,0)),Assumptions!$F$4:$F$44))/NETWORKDAYS($K266,$L266,Assumptions!$F$4:$F$44))</f>
        <v>0</v>
      </c>
      <c r="AV266" s="21" t="n">
        <f aca="false">IF($J266=0,0,MAX(0,NETWORKDAYS(MAX($K266,AV$4),MIN($L266,EOMONTH(AV$4,0)),Assumptions!$F$4:$F$44))/NETWORKDAYS($K266,$L266,Assumptions!$F$4:$F$44))</f>
        <v>0</v>
      </c>
      <c r="AW266" s="21" t="n">
        <f aca="false">IF($J266=0,0,MAX(0,NETWORKDAYS(MAX($K266,AW$4),MIN($L266,EOMONTH(AW$4,0)),Assumptions!$F$4:$F$44))/NETWORKDAYS($K266,$L266,Assumptions!$F$4:$F$44))</f>
        <v>0</v>
      </c>
      <c r="AX266" s="21" t="n">
        <f aca="false">IF($J266=0,0,MAX(0,NETWORKDAYS(MAX($K266,AX$4),MIN($L266,EOMONTH(AX$4,0)),Assumptions!$F$4:$F$44))/NETWORKDAYS($K266,$L266,Assumptions!$F$4:$F$44))</f>
        <v>0</v>
      </c>
      <c r="AY266" s="21" t="n">
        <f aca="false">IF($J266=0,0,MAX(0,NETWORKDAYS(MAX($K266,AY$4),MIN($L266,EOMONTH(AY$4,0)),Assumptions!$F$4:$F$44))/NETWORKDAYS($K266,$L266,Assumptions!$F$4:$F$44))</f>
        <v>0</v>
      </c>
      <c r="AZ266" s="21" t="n">
        <f aca="false">IF($J266=0,0,MAX(0,NETWORKDAYS(MAX($K266,AZ$4),MIN($L266,EOMONTH(AZ$4,0)),Assumptions!$F$4:$F$44))/NETWORKDAYS($K266,$L266,Assumptions!$F$4:$F$44))</f>
        <v>0</v>
      </c>
      <c r="BA266" s="21" t="n">
        <f aca="false">IF($J266=0,0,MAX(0,NETWORKDAYS(MAX($K266,BA$4),MIN($L266,EOMONTH(BA$4,0)),Assumptions!$F$4:$F$44))/NETWORKDAYS($K266,$L266,Assumptions!$F$4:$F$44))</f>
        <v>0</v>
      </c>
      <c r="BB266" s="21" t="n">
        <f aca="false">IF($J266=0,0,MAX(0,NETWORKDAYS(MAX($K266,BB$4),MIN($L266,EOMONTH(BB$4,0)),Assumptions!$F$4:$F$44))/NETWORKDAYS($K266,$L266,Assumptions!$F$4:$F$44))</f>
        <v>0</v>
      </c>
      <c r="BC266" s="21" t="n">
        <f aca="false">IF($J266=0,0,MAX(0,NETWORKDAYS(MAX($K266,BC$4),MIN($L266,EOMONTH(BC$4,0)),Assumptions!$F$4:$F$44))/NETWORKDAYS($K266,$L266,Assumptions!$F$4:$F$44))</f>
        <v>0</v>
      </c>
    </row>
    <row r="267" customFormat="false" ht="15" hidden="false" customHeight="false" outlineLevel="2" collapsed="false">
      <c r="A267" s="27" t="n">
        <v>263</v>
      </c>
      <c r="B267" s="27" t="s">
        <v>616</v>
      </c>
      <c r="C267" s="27" t="n">
        <v>3</v>
      </c>
      <c r="D267" s="27" t="s">
        <v>92</v>
      </c>
      <c r="E267" s="28" t="s">
        <v>317</v>
      </c>
      <c r="F267" s="27" t="s">
        <v>502</v>
      </c>
      <c r="G267" s="27" t="s">
        <v>604</v>
      </c>
      <c r="H267" s="27" t="s">
        <v>51</v>
      </c>
      <c r="I267" s="29" t="n">
        <v>134</v>
      </c>
      <c r="J267" s="29" t="n">
        <v>40</v>
      </c>
      <c r="K267" s="30" t="n">
        <f aca="false">WORKDAY(Assumptions!$C$4,I267,Assumptions!$F$4:$F$44)</f>
        <v>46514</v>
      </c>
      <c r="L267" s="30" t="n">
        <f aca="false">IF(J267=0,K267,WORKDAY(K267,J267-1,Assumptions!$F$4:$F$44))</f>
        <v>46569</v>
      </c>
      <c r="M267" s="29" t="s">
        <v>614</v>
      </c>
      <c r="N267" s="31" t="n">
        <v>0</v>
      </c>
      <c r="O267" s="31" t="n">
        <v>0</v>
      </c>
      <c r="P267" s="31" t="n">
        <v>0</v>
      </c>
      <c r="Q267" s="31" t="n">
        <v>0</v>
      </c>
      <c r="R267" s="31" t="n">
        <v>0</v>
      </c>
      <c r="S267" s="31" t="n">
        <v>14</v>
      </c>
      <c r="T267" s="31" t="n">
        <v>0</v>
      </c>
      <c r="U267" s="31" t="n">
        <v>0</v>
      </c>
      <c r="V267" s="31" t="n">
        <v>0</v>
      </c>
      <c r="W267" s="31" t="n">
        <v>0</v>
      </c>
      <c r="X267" s="31" t="n">
        <v>0</v>
      </c>
      <c r="Y267" s="32" t="n">
        <f aca="false">SUM(N267:X267)</f>
        <v>14</v>
      </c>
      <c r="Z267" s="32" t="n">
        <f aca="false">Y267*(1+Assumptions!$C$5)</f>
        <v>16.1</v>
      </c>
      <c r="AA267" s="27" t="s">
        <v>318</v>
      </c>
      <c r="AB267" s="27" t="s">
        <v>95</v>
      </c>
      <c r="AC267" s="27"/>
      <c r="AD267" s="33" t="n">
        <v>0</v>
      </c>
      <c r="AF267" s="21" t="n">
        <f aca="false">IF($J267=0,0,MAX(0,NETWORKDAYS(MAX($K267,AF$4),MIN($L267,EOMONTH(AF$4,0)),Assumptions!$F$4:$F$44))/NETWORKDAYS($K267,$L267,Assumptions!$F$4:$F$44))</f>
        <v>0</v>
      </c>
      <c r="AG267" s="21" t="n">
        <f aca="false">IF($J267=0,0,MAX(0,NETWORKDAYS(MAX($K267,AG$4),MIN($L267,EOMONTH(AG$4,0)),Assumptions!$F$4:$F$44))/NETWORKDAYS($K267,$L267,Assumptions!$F$4:$F$44))</f>
        <v>0</v>
      </c>
      <c r="AH267" s="21" t="n">
        <f aca="false">IF($J267=0,0,MAX(0,NETWORKDAYS(MAX($K267,AH$4),MIN($L267,EOMONTH(AH$4,0)),Assumptions!$F$4:$F$44))/NETWORKDAYS($K267,$L267,Assumptions!$F$4:$F$44))</f>
        <v>0</v>
      </c>
      <c r="AI267" s="21" t="n">
        <f aca="false">IF($J267=0,0,MAX(0,NETWORKDAYS(MAX($K267,AI$4),MIN($L267,EOMONTH(AI$4,0)),Assumptions!$F$4:$F$44))/NETWORKDAYS($K267,$L267,Assumptions!$F$4:$F$44))</f>
        <v>0</v>
      </c>
      <c r="AJ267" s="21" t="n">
        <f aca="false">IF($J267=0,0,MAX(0,NETWORKDAYS(MAX($K267,AJ$4),MIN($L267,EOMONTH(AJ$4,0)),Assumptions!$F$4:$F$44))/NETWORKDAYS($K267,$L267,Assumptions!$F$4:$F$44))</f>
        <v>0</v>
      </c>
      <c r="AK267" s="21" t="n">
        <f aca="false">IF($J267=0,0,MAX(0,NETWORKDAYS(MAX($K267,AK$4),MIN($L267,EOMONTH(AK$4,0)),Assumptions!$F$4:$F$44))/NETWORKDAYS($K267,$L267,Assumptions!$F$4:$F$44))</f>
        <v>0</v>
      </c>
      <c r="AL267" s="21" t="n">
        <f aca="false">IF($J267=0,0,MAX(0,NETWORKDAYS(MAX($K267,AL$4),MIN($L267,EOMONTH(AL$4,0)),Assumptions!$F$4:$F$44))/NETWORKDAYS($K267,$L267,Assumptions!$F$4:$F$44))</f>
        <v>0.425</v>
      </c>
      <c r="AM267" s="21" t="n">
        <f aca="false">IF($J267=0,0,MAX(0,NETWORKDAYS(MAX($K267,AM$4),MIN($L267,EOMONTH(AM$4,0)),Assumptions!$F$4:$F$44))/NETWORKDAYS($K267,$L267,Assumptions!$F$4:$F$44))</f>
        <v>0.55</v>
      </c>
      <c r="AN267" s="21" t="n">
        <f aca="false">IF($J267=0,0,MAX(0,NETWORKDAYS(MAX($K267,AN$4),MIN($L267,EOMONTH(AN$4,0)),Assumptions!$F$4:$F$44))/NETWORKDAYS($K267,$L267,Assumptions!$F$4:$F$44))</f>
        <v>0.025</v>
      </c>
      <c r="AO267" s="21" t="n">
        <f aca="false">IF($J267=0,0,MAX(0,NETWORKDAYS(MAX($K267,AO$4),MIN($L267,EOMONTH(AO$4,0)),Assumptions!$F$4:$F$44))/NETWORKDAYS($K267,$L267,Assumptions!$F$4:$F$44))</f>
        <v>0</v>
      </c>
      <c r="AP267" s="21" t="n">
        <f aca="false">IF($J267=0,0,MAX(0,NETWORKDAYS(MAX($K267,AP$4),MIN($L267,EOMONTH(AP$4,0)),Assumptions!$F$4:$F$44))/NETWORKDAYS($K267,$L267,Assumptions!$F$4:$F$44))</f>
        <v>0</v>
      </c>
      <c r="AQ267" s="21" t="n">
        <f aca="false">IF($J267=0,0,MAX(0,NETWORKDAYS(MAX($K267,AQ$4),MIN($L267,EOMONTH(AQ$4,0)),Assumptions!$F$4:$F$44))/NETWORKDAYS($K267,$L267,Assumptions!$F$4:$F$44))</f>
        <v>0</v>
      </c>
      <c r="AR267" s="21" t="n">
        <f aca="false">IF($J267=0,0,MAX(0,NETWORKDAYS(MAX($K267,AR$4),MIN($L267,EOMONTH(AR$4,0)),Assumptions!$F$4:$F$44))/NETWORKDAYS($K267,$L267,Assumptions!$F$4:$F$44))</f>
        <v>0</v>
      </c>
      <c r="AS267" s="21" t="n">
        <f aca="false">IF($J267=0,0,MAX(0,NETWORKDAYS(MAX($K267,AS$4),MIN($L267,EOMONTH(AS$4,0)),Assumptions!$F$4:$F$44))/NETWORKDAYS($K267,$L267,Assumptions!$F$4:$F$44))</f>
        <v>0</v>
      </c>
      <c r="AT267" s="21" t="n">
        <f aca="false">IF($J267=0,0,MAX(0,NETWORKDAYS(MAX($K267,AT$4),MIN($L267,EOMONTH(AT$4,0)),Assumptions!$F$4:$F$44))/NETWORKDAYS($K267,$L267,Assumptions!$F$4:$F$44))</f>
        <v>0</v>
      </c>
      <c r="AU267" s="21" t="n">
        <f aca="false">IF($J267=0,0,MAX(0,NETWORKDAYS(MAX($K267,AU$4),MIN($L267,EOMONTH(AU$4,0)),Assumptions!$F$4:$F$44))/NETWORKDAYS($K267,$L267,Assumptions!$F$4:$F$44))</f>
        <v>0</v>
      </c>
      <c r="AV267" s="21" t="n">
        <f aca="false">IF($J267=0,0,MAX(0,NETWORKDAYS(MAX($K267,AV$4),MIN($L267,EOMONTH(AV$4,0)),Assumptions!$F$4:$F$44))/NETWORKDAYS($K267,$L267,Assumptions!$F$4:$F$44))</f>
        <v>0</v>
      </c>
      <c r="AW267" s="21" t="n">
        <f aca="false">IF($J267=0,0,MAX(0,NETWORKDAYS(MAX($K267,AW$4),MIN($L267,EOMONTH(AW$4,0)),Assumptions!$F$4:$F$44))/NETWORKDAYS($K267,$L267,Assumptions!$F$4:$F$44))</f>
        <v>0</v>
      </c>
      <c r="AX267" s="21" t="n">
        <f aca="false">IF($J267=0,0,MAX(0,NETWORKDAYS(MAX($K267,AX$4),MIN($L267,EOMONTH(AX$4,0)),Assumptions!$F$4:$F$44))/NETWORKDAYS($K267,$L267,Assumptions!$F$4:$F$44))</f>
        <v>0</v>
      </c>
      <c r="AY267" s="21" t="n">
        <f aca="false">IF($J267=0,0,MAX(0,NETWORKDAYS(MAX($K267,AY$4),MIN($L267,EOMONTH(AY$4,0)),Assumptions!$F$4:$F$44))/NETWORKDAYS($K267,$L267,Assumptions!$F$4:$F$44))</f>
        <v>0</v>
      </c>
      <c r="AZ267" s="21" t="n">
        <f aca="false">IF($J267=0,0,MAX(0,NETWORKDAYS(MAX($K267,AZ$4),MIN($L267,EOMONTH(AZ$4,0)),Assumptions!$F$4:$F$44))/NETWORKDAYS($K267,$L267,Assumptions!$F$4:$F$44))</f>
        <v>0</v>
      </c>
      <c r="BA267" s="21" t="n">
        <f aca="false">IF($J267=0,0,MAX(0,NETWORKDAYS(MAX($K267,BA$4),MIN($L267,EOMONTH(BA$4,0)),Assumptions!$F$4:$F$44))/NETWORKDAYS($K267,$L267,Assumptions!$F$4:$F$44))</f>
        <v>0</v>
      </c>
      <c r="BB267" s="21" t="n">
        <f aca="false">IF($J267=0,0,MAX(0,NETWORKDAYS(MAX($K267,BB$4),MIN($L267,EOMONTH(BB$4,0)),Assumptions!$F$4:$F$44))/NETWORKDAYS($K267,$L267,Assumptions!$F$4:$F$44))</f>
        <v>0</v>
      </c>
      <c r="BC267" s="21" t="n">
        <f aca="false">IF($J267=0,0,MAX(0,NETWORKDAYS(MAX($K267,BC$4),MIN($L267,EOMONTH(BC$4,0)),Assumptions!$F$4:$F$44))/NETWORKDAYS($K267,$L267,Assumptions!$F$4:$F$44))</f>
        <v>0</v>
      </c>
    </row>
    <row r="268" customFormat="false" ht="15" hidden="false" customHeight="false" outlineLevel="2" collapsed="false">
      <c r="A268" s="27" t="n">
        <v>264</v>
      </c>
      <c r="B268" s="27" t="s">
        <v>617</v>
      </c>
      <c r="C268" s="27" t="n">
        <v>3</v>
      </c>
      <c r="D268" s="27" t="s">
        <v>92</v>
      </c>
      <c r="E268" s="28" t="s">
        <v>320</v>
      </c>
      <c r="F268" s="27" t="s">
        <v>502</v>
      </c>
      <c r="G268" s="27" t="s">
        <v>604</v>
      </c>
      <c r="H268" s="27" t="s">
        <v>53</v>
      </c>
      <c r="I268" s="29" t="n">
        <v>121</v>
      </c>
      <c r="J268" s="29" t="n">
        <v>46</v>
      </c>
      <c r="K268" s="30" t="n">
        <f aca="false">WORKDAY(Assumptions!$C$4,I268,Assumptions!$F$4:$F$44)</f>
        <v>46497</v>
      </c>
      <c r="L268" s="30" t="n">
        <f aca="false">IF(J268=0,K268,WORKDAY(K268,J268-1,Assumptions!$F$4:$F$44))</f>
        <v>46560</v>
      </c>
      <c r="M268" s="29" t="s">
        <v>611</v>
      </c>
      <c r="N268" s="31" t="n">
        <v>0</v>
      </c>
      <c r="O268" s="31" t="n">
        <v>0</v>
      </c>
      <c r="P268" s="31" t="n">
        <v>0</v>
      </c>
      <c r="Q268" s="31" t="n">
        <v>0</v>
      </c>
      <c r="R268" s="31" t="n">
        <v>0</v>
      </c>
      <c r="S268" s="31" t="n">
        <v>0</v>
      </c>
      <c r="T268" s="31" t="n">
        <v>12</v>
      </c>
      <c r="U268" s="31" t="n">
        <v>0</v>
      </c>
      <c r="V268" s="31" t="n">
        <v>0</v>
      </c>
      <c r="W268" s="31" t="n">
        <v>0</v>
      </c>
      <c r="X268" s="31" t="n">
        <v>0</v>
      </c>
      <c r="Y268" s="32" t="n">
        <f aca="false">SUM(N268:X268)</f>
        <v>12</v>
      </c>
      <c r="Z268" s="32" t="n">
        <f aca="false">Y268*(1+Assumptions!$C$5)</f>
        <v>13.8</v>
      </c>
      <c r="AA268" s="27" t="s">
        <v>321</v>
      </c>
      <c r="AB268" s="27" t="s">
        <v>95</v>
      </c>
      <c r="AC268" s="27"/>
      <c r="AD268" s="33" t="n">
        <v>0</v>
      </c>
      <c r="AF268" s="21" t="n">
        <f aca="false">IF($J268=0,0,MAX(0,NETWORKDAYS(MAX($K268,AF$4),MIN($L268,EOMONTH(AF$4,0)),Assumptions!$F$4:$F$44))/NETWORKDAYS($K268,$L268,Assumptions!$F$4:$F$44))</f>
        <v>0</v>
      </c>
      <c r="AG268" s="21" t="n">
        <f aca="false">IF($J268=0,0,MAX(0,NETWORKDAYS(MAX($K268,AG$4),MIN($L268,EOMONTH(AG$4,0)),Assumptions!$F$4:$F$44))/NETWORKDAYS($K268,$L268,Assumptions!$F$4:$F$44))</f>
        <v>0</v>
      </c>
      <c r="AH268" s="21" t="n">
        <f aca="false">IF($J268=0,0,MAX(0,NETWORKDAYS(MAX($K268,AH$4),MIN($L268,EOMONTH(AH$4,0)),Assumptions!$F$4:$F$44))/NETWORKDAYS($K268,$L268,Assumptions!$F$4:$F$44))</f>
        <v>0</v>
      </c>
      <c r="AI268" s="21" t="n">
        <f aca="false">IF($J268=0,0,MAX(0,NETWORKDAYS(MAX($K268,AI$4),MIN($L268,EOMONTH(AI$4,0)),Assumptions!$F$4:$F$44))/NETWORKDAYS($K268,$L268,Assumptions!$F$4:$F$44))</f>
        <v>0</v>
      </c>
      <c r="AJ268" s="21" t="n">
        <f aca="false">IF($J268=0,0,MAX(0,NETWORKDAYS(MAX($K268,AJ$4),MIN($L268,EOMONTH(AJ$4,0)),Assumptions!$F$4:$F$44))/NETWORKDAYS($K268,$L268,Assumptions!$F$4:$F$44))</f>
        <v>0</v>
      </c>
      <c r="AK268" s="21" t="n">
        <f aca="false">IF($J268=0,0,MAX(0,NETWORKDAYS(MAX($K268,AK$4),MIN($L268,EOMONTH(AK$4,0)),Assumptions!$F$4:$F$44))/NETWORKDAYS($K268,$L268,Assumptions!$F$4:$F$44))</f>
        <v>0.195652173913044</v>
      </c>
      <c r="AL268" s="21" t="n">
        <f aca="false">IF($J268=0,0,MAX(0,NETWORKDAYS(MAX($K268,AL$4),MIN($L268,EOMONTH(AL$4,0)),Assumptions!$F$4:$F$44))/NETWORKDAYS($K268,$L268,Assumptions!$F$4:$F$44))</f>
        <v>0.456521739130435</v>
      </c>
      <c r="AM268" s="21" t="n">
        <f aca="false">IF($J268=0,0,MAX(0,NETWORKDAYS(MAX($K268,AM$4),MIN($L268,EOMONTH(AM$4,0)),Assumptions!$F$4:$F$44))/NETWORKDAYS($K268,$L268,Assumptions!$F$4:$F$44))</f>
        <v>0.347826086956522</v>
      </c>
      <c r="AN268" s="21" t="n">
        <f aca="false">IF($J268=0,0,MAX(0,NETWORKDAYS(MAX($K268,AN$4),MIN($L268,EOMONTH(AN$4,0)),Assumptions!$F$4:$F$44))/NETWORKDAYS($K268,$L268,Assumptions!$F$4:$F$44))</f>
        <v>0</v>
      </c>
      <c r="AO268" s="21" t="n">
        <f aca="false">IF($J268=0,0,MAX(0,NETWORKDAYS(MAX($K268,AO$4),MIN($L268,EOMONTH(AO$4,0)),Assumptions!$F$4:$F$44))/NETWORKDAYS($K268,$L268,Assumptions!$F$4:$F$44))</f>
        <v>0</v>
      </c>
      <c r="AP268" s="21" t="n">
        <f aca="false">IF($J268=0,0,MAX(0,NETWORKDAYS(MAX($K268,AP$4),MIN($L268,EOMONTH(AP$4,0)),Assumptions!$F$4:$F$44))/NETWORKDAYS($K268,$L268,Assumptions!$F$4:$F$44))</f>
        <v>0</v>
      </c>
      <c r="AQ268" s="21" t="n">
        <f aca="false">IF($J268=0,0,MAX(0,NETWORKDAYS(MAX($K268,AQ$4),MIN($L268,EOMONTH(AQ$4,0)),Assumptions!$F$4:$F$44))/NETWORKDAYS($K268,$L268,Assumptions!$F$4:$F$44))</f>
        <v>0</v>
      </c>
      <c r="AR268" s="21" t="n">
        <f aca="false">IF($J268=0,0,MAX(0,NETWORKDAYS(MAX($K268,AR$4),MIN($L268,EOMONTH(AR$4,0)),Assumptions!$F$4:$F$44))/NETWORKDAYS($K268,$L268,Assumptions!$F$4:$F$44))</f>
        <v>0</v>
      </c>
      <c r="AS268" s="21" t="n">
        <f aca="false">IF($J268=0,0,MAX(0,NETWORKDAYS(MAX($K268,AS$4),MIN($L268,EOMONTH(AS$4,0)),Assumptions!$F$4:$F$44))/NETWORKDAYS($K268,$L268,Assumptions!$F$4:$F$44))</f>
        <v>0</v>
      </c>
      <c r="AT268" s="21" t="n">
        <f aca="false">IF($J268=0,0,MAX(0,NETWORKDAYS(MAX($K268,AT$4),MIN($L268,EOMONTH(AT$4,0)),Assumptions!$F$4:$F$44))/NETWORKDAYS($K268,$L268,Assumptions!$F$4:$F$44))</f>
        <v>0</v>
      </c>
      <c r="AU268" s="21" t="n">
        <f aca="false">IF($J268=0,0,MAX(0,NETWORKDAYS(MAX($K268,AU$4),MIN($L268,EOMONTH(AU$4,0)),Assumptions!$F$4:$F$44))/NETWORKDAYS($K268,$L268,Assumptions!$F$4:$F$44))</f>
        <v>0</v>
      </c>
      <c r="AV268" s="21" t="n">
        <f aca="false">IF($J268=0,0,MAX(0,NETWORKDAYS(MAX($K268,AV$4),MIN($L268,EOMONTH(AV$4,0)),Assumptions!$F$4:$F$44))/NETWORKDAYS($K268,$L268,Assumptions!$F$4:$F$44))</f>
        <v>0</v>
      </c>
      <c r="AW268" s="21" t="n">
        <f aca="false">IF($J268=0,0,MAX(0,NETWORKDAYS(MAX($K268,AW$4),MIN($L268,EOMONTH(AW$4,0)),Assumptions!$F$4:$F$44))/NETWORKDAYS($K268,$L268,Assumptions!$F$4:$F$44))</f>
        <v>0</v>
      </c>
      <c r="AX268" s="21" t="n">
        <f aca="false">IF($J268=0,0,MAX(0,NETWORKDAYS(MAX($K268,AX$4),MIN($L268,EOMONTH(AX$4,0)),Assumptions!$F$4:$F$44))/NETWORKDAYS($K268,$L268,Assumptions!$F$4:$F$44))</f>
        <v>0</v>
      </c>
      <c r="AY268" s="21" t="n">
        <f aca="false">IF($J268=0,0,MAX(0,NETWORKDAYS(MAX($K268,AY$4),MIN($L268,EOMONTH(AY$4,0)),Assumptions!$F$4:$F$44))/NETWORKDAYS($K268,$L268,Assumptions!$F$4:$F$44))</f>
        <v>0</v>
      </c>
      <c r="AZ268" s="21" t="n">
        <f aca="false">IF($J268=0,0,MAX(0,NETWORKDAYS(MAX($K268,AZ$4),MIN($L268,EOMONTH(AZ$4,0)),Assumptions!$F$4:$F$44))/NETWORKDAYS($K268,$L268,Assumptions!$F$4:$F$44))</f>
        <v>0</v>
      </c>
      <c r="BA268" s="21" t="n">
        <f aca="false">IF($J268=0,0,MAX(0,NETWORKDAYS(MAX($K268,BA$4),MIN($L268,EOMONTH(BA$4,0)),Assumptions!$F$4:$F$44))/NETWORKDAYS($K268,$L268,Assumptions!$F$4:$F$44))</f>
        <v>0</v>
      </c>
      <c r="BB268" s="21" t="n">
        <f aca="false">IF($J268=0,0,MAX(0,NETWORKDAYS(MAX($K268,BB$4),MIN($L268,EOMONTH(BB$4,0)),Assumptions!$F$4:$F$44))/NETWORKDAYS($K268,$L268,Assumptions!$F$4:$F$44))</f>
        <v>0</v>
      </c>
      <c r="BC268" s="21" t="n">
        <f aca="false">IF($J268=0,0,MAX(0,NETWORKDAYS(MAX($K268,BC$4),MIN($L268,EOMONTH(BC$4,0)),Assumptions!$F$4:$F$44))/NETWORKDAYS($K268,$L268,Assumptions!$F$4:$F$44))</f>
        <v>0</v>
      </c>
    </row>
    <row r="269" customFormat="false" ht="15" hidden="false" customHeight="false" outlineLevel="2" collapsed="false">
      <c r="A269" s="27" t="n">
        <v>265</v>
      </c>
      <c r="B269" s="27" t="s">
        <v>618</v>
      </c>
      <c r="C269" s="27" t="n">
        <v>3</v>
      </c>
      <c r="D269" s="27" t="s">
        <v>92</v>
      </c>
      <c r="E269" s="28" t="s">
        <v>619</v>
      </c>
      <c r="F269" s="27" t="s">
        <v>502</v>
      </c>
      <c r="G269" s="27" t="s">
        <v>604</v>
      </c>
      <c r="H269" s="27" t="s">
        <v>47</v>
      </c>
      <c r="I269" s="29" t="n">
        <v>141</v>
      </c>
      <c r="J269" s="29" t="n">
        <v>37</v>
      </c>
      <c r="K269" s="30" t="n">
        <f aca="false">WORKDAY(Assumptions!$C$4,I269,Assumptions!$F$4:$F$44)</f>
        <v>46525</v>
      </c>
      <c r="L269" s="30" t="n">
        <f aca="false">IF(J269=0,K269,WORKDAY(K269,J269-1,Assumptions!$F$4:$F$44))</f>
        <v>46575</v>
      </c>
      <c r="M269" s="29" t="s">
        <v>620</v>
      </c>
      <c r="N269" s="31" t="n">
        <v>0</v>
      </c>
      <c r="O269" s="31" t="n">
        <v>0</v>
      </c>
      <c r="P269" s="31" t="n">
        <v>0</v>
      </c>
      <c r="Q269" s="31" t="n">
        <v>16</v>
      </c>
      <c r="R269" s="31" t="n">
        <v>0</v>
      </c>
      <c r="S269" s="31" t="n">
        <v>0</v>
      </c>
      <c r="T269" s="31" t="n">
        <v>0</v>
      </c>
      <c r="U269" s="31" t="n">
        <v>0</v>
      </c>
      <c r="V269" s="31" t="n">
        <v>0</v>
      </c>
      <c r="W269" s="31" t="n">
        <v>0</v>
      </c>
      <c r="X269" s="31" t="n">
        <v>0</v>
      </c>
      <c r="Y269" s="32" t="n">
        <f aca="false">SUM(N269:X269)</f>
        <v>16</v>
      </c>
      <c r="Z269" s="32" t="n">
        <f aca="false">Y269*(1+Assumptions!$C$5)</f>
        <v>18.4</v>
      </c>
      <c r="AA269" s="27" t="s">
        <v>325</v>
      </c>
      <c r="AB269" s="27" t="s">
        <v>95</v>
      </c>
      <c r="AC269" s="27"/>
      <c r="AD269" s="33" t="n">
        <v>0</v>
      </c>
      <c r="AF269" s="21" t="n">
        <f aca="false">IF($J269=0,0,MAX(0,NETWORKDAYS(MAX($K269,AF$4),MIN($L269,EOMONTH(AF$4,0)),Assumptions!$F$4:$F$44))/NETWORKDAYS($K269,$L269,Assumptions!$F$4:$F$44))</f>
        <v>0</v>
      </c>
      <c r="AG269" s="21" t="n">
        <f aca="false">IF($J269=0,0,MAX(0,NETWORKDAYS(MAX($K269,AG$4),MIN($L269,EOMONTH(AG$4,0)),Assumptions!$F$4:$F$44))/NETWORKDAYS($K269,$L269,Assumptions!$F$4:$F$44))</f>
        <v>0</v>
      </c>
      <c r="AH269" s="21" t="n">
        <f aca="false">IF($J269=0,0,MAX(0,NETWORKDAYS(MAX($K269,AH$4),MIN($L269,EOMONTH(AH$4,0)),Assumptions!$F$4:$F$44))/NETWORKDAYS($K269,$L269,Assumptions!$F$4:$F$44))</f>
        <v>0</v>
      </c>
      <c r="AI269" s="21" t="n">
        <f aca="false">IF($J269=0,0,MAX(0,NETWORKDAYS(MAX($K269,AI$4),MIN($L269,EOMONTH(AI$4,0)),Assumptions!$F$4:$F$44))/NETWORKDAYS($K269,$L269,Assumptions!$F$4:$F$44))</f>
        <v>0</v>
      </c>
      <c r="AJ269" s="21" t="n">
        <f aca="false">IF($J269=0,0,MAX(0,NETWORKDAYS(MAX($K269,AJ$4),MIN($L269,EOMONTH(AJ$4,0)),Assumptions!$F$4:$F$44))/NETWORKDAYS($K269,$L269,Assumptions!$F$4:$F$44))</f>
        <v>0</v>
      </c>
      <c r="AK269" s="21" t="n">
        <f aca="false">IF($J269=0,0,MAX(0,NETWORKDAYS(MAX($K269,AK$4),MIN($L269,EOMONTH(AK$4,0)),Assumptions!$F$4:$F$44))/NETWORKDAYS($K269,$L269,Assumptions!$F$4:$F$44))</f>
        <v>0</v>
      </c>
      <c r="AL269" s="21" t="n">
        <f aca="false">IF($J269=0,0,MAX(0,NETWORKDAYS(MAX($K269,AL$4),MIN($L269,EOMONTH(AL$4,0)),Assumptions!$F$4:$F$44))/NETWORKDAYS($K269,$L269,Assumptions!$F$4:$F$44))</f>
        <v>0.27027027027027</v>
      </c>
      <c r="AM269" s="21" t="n">
        <f aca="false">IF($J269=0,0,MAX(0,NETWORKDAYS(MAX($K269,AM$4),MIN($L269,EOMONTH(AM$4,0)),Assumptions!$F$4:$F$44))/NETWORKDAYS($K269,$L269,Assumptions!$F$4:$F$44))</f>
        <v>0.594594594594595</v>
      </c>
      <c r="AN269" s="21" t="n">
        <f aca="false">IF($J269=0,0,MAX(0,NETWORKDAYS(MAX($K269,AN$4),MIN($L269,EOMONTH(AN$4,0)),Assumptions!$F$4:$F$44))/NETWORKDAYS($K269,$L269,Assumptions!$F$4:$F$44))</f>
        <v>0.135135135135135</v>
      </c>
      <c r="AO269" s="21" t="n">
        <f aca="false">IF($J269=0,0,MAX(0,NETWORKDAYS(MAX($K269,AO$4),MIN($L269,EOMONTH(AO$4,0)),Assumptions!$F$4:$F$44))/NETWORKDAYS($K269,$L269,Assumptions!$F$4:$F$44))</f>
        <v>0</v>
      </c>
      <c r="AP269" s="21" t="n">
        <f aca="false">IF($J269=0,0,MAX(0,NETWORKDAYS(MAX($K269,AP$4),MIN($L269,EOMONTH(AP$4,0)),Assumptions!$F$4:$F$44))/NETWORKDAYS($K269,$L269,Assumptions!$F$4:$F$44))</f>
        <v>0</v>
      </c>
      <c r="AQ269" s="21" t="n">
        <f aca="false">IF($J269=0,0,MAX(0,NETWORKDAYS(MAX($K269,AQ$4),MIN($L269,EOMONTH(AQ$4,0)),Assumptions!$F$4:$F$44))/NETWORKDAYS($K269,$L269,Assumptions!$F$4:$F$44))</f>
        <v>0</v>
      </c>
      <c r="AR269" s="21" t="n">
        <f aca="false">IF($J269=0,0,MAX(0,NETWORKDAYS(MAX($K269,AR$4),MIN($L269,EOMONTH(AR$4,0)),Assumptions!$F$4:$F$44))/NETWORKDAYS($K269,$L269,Assumptions!$F$4:$F$44))</f>
        <v>0</v>
      </c>
      <c r="AS269" s="21" t="n">
        <f aca="false">IF($J269=0,0,MAX(0,NETWORKDAYS(MAX($K269,AS$4),MIN($L269,EOMONTH(AS$4,0)),Assumptions!$F$4:$F$44))/NETWORKDAYS($K269,$L269,Assumptions!$F$4:$F$44))</f>
        <v>0</v>
      </c>
      <c r="AT269" s="21" t="n">
        <f aca="false">IF($J269=0,0,MAX(0,NETWORKDAYS(MAX($K269,AT$4),MIN($L269,EOMONTH(AT$4,0)),Assumptions!$F$4:$F$44))/NETWORKDAYS($K269,$L269,Assumptions!$F$4:$F$44))</f>
        <v>0</v>
      </c>
      <c r="AU269" s="21" t="n">
        <f aca="false">IF($J269=0,0,MAX(0,NETWORKDAYS(MAX($K269,AU$4),MIN($L269,EOMONTH(AU$4,0)),Assumptions!$F$4:$F$44))/NETWORKDAYS($K269,$L269,Assumptions!$F$4:$F$44))</f>
        <v>0</v>
      </c>
      <c r="AV269" s="21" t="n">
        <f aca="false">IF($J269=0,0,MAX(0,NETWORKDAYS(MAX($K269,AV$4),MIN($L269,EOMONTH(AV$4,0)),Assumptions!$F$4:$F$44))/NETWORKDAYS($K269,$L269,Assumptions!$F$4:$F$44))</f>
        <v>0</v>
      </c>
      <c r="AW269" s="21" t="n">
        <f aca="false">IF($J269=0,0,MAX(0,NETWORKDAYS(MAX($K269,AW$4),MIN($L269,EOMONTH(AW$4,0)),Assumptions!$F$4:$F$44))/NETWORKDAYS($K269,$L269,Assumptions!$F$4:$F$44))</f>
        <v>0</v>
      </c>
      <c r="AX269" s="21" t="n">
        <f aca="false">IF($J269=0,0,MAX(0,NETWORKDAYS(MAX($K269,AX$4),MIN($L269,EOMONTH(AX$4,0)),Assumptions!$F$4:$F$44))/NETWORKDAYS($K269,$L269,Assumptions!$F$4:$F$44))</f>
        <v>0</v>
      </c>
      <c r="AY269" s="21" t="n">
        <f aca="false">IF($J269=0,0,MAX(0,NETWORKDAYS(MAX($K269,AY$4),MIN($L269,EOMONTH(AY$4,0)),Assumptions!$F$4:$F$44))/NETWORKDAYS($K269,$L269,Assumptions!$F$4:$F$44))</f>
        <v>0</v>
      </c>
      <c r="AZ269" s="21" t="n">
        <f aca="false">IF($J269=0,0,MAX(0,NETWORKDAYS(MAX($K269,AZ$4),MIN($L269,EOMONTH(AZ$4,0)),Assumptions!$F$4:$F$44))/NETWORKDAYS($K269,$L269,Assumptions!$F$4:$F$44))</f>
        <v>0</v>
      </c>
      <c r="BA269" s="21" t="n">
        <f aca="false">IF($J269=0,0,MAX(0,NETWORKDAYS(MAX($K269,BA$4),MIN($L269,EOMONTH(BA$4,0)),Assumptions!$F$4:$F$44))/NETWORKDAYS($K269,$L269,Assumptions!$F$4:$F$44))</f>
        <v>0</v>
      </c>
      <c r="BB269" s="21" t="n">
        <f aca="false">IF($J269=0,0,MAX(0,NETWORKDAYS(MAX($K269,BB$4),MIN($L269,EOMONTH(BB$4,0)),Assumptions!$F$4:$F$44))/NETWORKDAYS($K269,$L269,Assumptions!$F$4:$F$44))</f>
        <v>0</v>
      </c>
      <c r="BC269" s="21" t="n">
        <f aca="false">IF($J269=0,0,MAX(0,NETWORKDAYS(MAX($K269,BC$4),MIN($L269,EOMONTH(BC$4,0)),Assumptions!$F$4:$F$44))/NETWORKDAYS($K269,$L269,Assumptions!$F$4:$F$44))</f>
        <v>0</v>
      </c>
    </row>
    <row r="270" customFormat="false" ht="15" hidden="false" customHeight="false" outlineLevel="2" collapsed="false">
      <c r="A270" s="27" t="n">
        <v>266</v>
      </c>
      <c r="B270" s="27" t="s">
        <v>621</v>
      </c>
      <c r="C270" s="27" t="n">
        <v>3</v>
      </c>
      <c r="D270" s="27" t="s">
        <v>92</v>
      </c>
      <c r="E270" s="28" t="s">
        <v>530</v>
      </c>
      <c r="F270" s="27" t="s">
        <v>502</v>
      </c>
      <c r="G270" s="27" t="s">
        <v>604</v>
      </c>
      <c r="H270" s="27" t="s">
        <v>47</v>
      </c>
      <c r="I270" s="29" t="n">
        <v>134</v>
      </c>
      <c r="J270" s="29" t="n">
        <v>44</v>
      </c>
      <c r="K270" s="30" t="n">
        <f aca="false">WORKDAY(Assumptions!$C$4,I270,Assumptions!$F$4:$F$44)</f>
        <v>46514</v>
      </c>
      <c r="L270" s="30" t="n">
        <f aca="false">IF(J270=0,K270,WORKDAY(K270,J270-1,Assumptions!$F$4:$F$44))</f>
        <v>46575</v>
      </c>
      <c r="M270" s="29" t="s">
        <v>611</v>
      </c>
      <c r="N270" s="31" t="n">
        <v>0</v>
      </c>
      <c r="O270" s="31" t="n">
        <v>0</v>
      </c>
      <c r="P270" s="31" t="n">
        <v>0</v>
      </c>
      <c r="Q270" s="31" t="n">
        <v>15</v>
      </c>
      <c r="R270" s="31" t="n">
        <v>0</v>
      </c>
      <c r="S270" s="31" t="n">
        <v>0</v>
      </c>
      <c r="T270" s="31" t="n">
        <v>0</v>
      </c>
      <c r="U270" s="31" t="n">
        <v>0</v>
      </c>
      <c r="V270" s="31" t="n">
        <v>3</v>
      </c>
      <c r="W270" s="31" t="n">
        <v>0</v>
      </c>
      <c r="X270" s="31" t="n">
        <v>0</v>
      </c>
      <c r="Y270" s="32" t="n">
        <f aca="false">SUM(N270:X270)</f>
        <v>18</v>
      </c>
      <c r="Z270" s="32" t="n">
        <f aca="false">Y270*(1+Assumptions!$C$5)</f>
        <v>20.7</v>
      </c>
      <c r="AA270" s="27" t="s">
        <v>328</v>
      </c>
      <c r="AB270" s="27" t="s">
        <v>95</v>
      </c>
      <c r="AC270" s="27"/>
      <c r="AD270" s="33" t="n">
        <v>0</v>
      </c>
      <c r="AF270" s="21" t="n">
        <f aca="false">IF($J270=0,0,MAX(0,NETWORKDAYS(MAX($K270,AF$4),MIN($L270,EOMONTH(AF$4,0)),Assumptions!$F$4:$F$44))/NETWORKDAYS($K270,$L270,Assumptions!$F$4:$F$44))</f>
        <v>0</v>
      </c>
      <c r="AG270" s="21" t="n">
        <f aca="false">IF($J270=0,0,MAX(0,NETWORKDAYS(MAX($K270,AG$4),MIN($L270,EOMONTH(AG$4,0)),Assumptions!$F$4:$F$44))/NETWORKDAYS($K270,$L270,Assumptions!$F$4:$F$44))</f>
        <v>0</v>
      </c>
      <c r="AH270" s="21" t="n">
        <f aca="false">IF($J270=0,0,MAX(0,NETWORKDAYS(MAX($K270,AH$4),MIN($L270,EOMONTH(AH$4,0)),Assumptions!$F$4:$F$44))/NETWORKDAYS($K270,$L270,Assumptions!$F$4:$F$44))</f>
        <v>0</v>
      </c>
      <c r="AI270" s="21" t="n">
        <f aca="false">IF($J270=0,0,MAX(0,NETWORKDAYS(MAX($K270,AI$4),MIN($L270,EOMONTH(AI$4,0)),Assumptions!$F$4:$F$44))/NETWORKDAYS($K270,$L270,Assumptions!$F$4:$F$44))</f>
        <v>0</v>
      </c>
      <c r="AJ270" s="21" t="n">
        <f aca="false">IF($J270=0,0,MAX(0,NETWORKDAYS(MAX($K270,AJ$4),MIN($L270,EOMONTH(AJ$4,0)),Assumptions!$F$4:$F$44))/NETWORKDAYS($K270,$L270,Assumptions!$F$4:$F$44))</f>
        <v>0</v>
      </c>
      <c r="AK270" s="21" t="n">
        <f aca="false">IF($J270=0,0,MAX(0,NETWORKDAYS(MAX($K270,AK$4),MIN($L270,EOMONTH(AK$4,0)),Assumptions!$F$4:$F$44))/NETWORKDAYS($K270,$L270,Assumptions!$F$4:$F$44))</f>
        <v>0</v>
      </c>
      <c r="AL270" s="21" t="n">
        <f aca="false">IF($J270=0,0,MAX(0,NETWORKDAYS(MAX($K270,AL$4),MIN($L270,EOMONTH(AL$4,0)),Assumptions!$F$4:$F$44))/NETWORKDAYS($K270,$L270,Assumptions!$F$4:$F$44))</f>
        <v>0.386363636363636</v>
      </c>
      <c r="AM270" s="21" t="n">
        <f aca="false">IF($J270=0,0,MAX(0,NETWORKDAYS(MAX($K270,AM$4),MIN($L270,EOMONTH(AM$4,0)),Assumptions!$F$4:$F$44))/NETWORKDAYS($K270,$L270,Assumptions!$F$4:$F$44))</f>
        <v>0.5</v>
      </c>
      <c r="AN270" s="21" t="n">
        <f aca="false">IF($J270=0,0,MAX(0,NETWORKDAYS(MAX($K270,AN$4),MIN($L270,EOMONTH(AN$4,0)),Assumptions!$F$4:$F$44))/NETWORKDAYS($K270,$L270,Assumptions!$F$4:$F$44))</f>
        <v>0.113636363636364</v>
      </c>
      <c r="AO270" s="21" t="n">
        <f aca="false">IF($J270=0,0,MAX(0,NETWORKDAYS(MAX($K270,AO$4),MIN($L270,EOMONTH(AO$4,0)),Assumptions!$F$4:$F$44))/NETWORKDAYS($K270,$L270,Assumptions!$F$4:$F$44))</f>
        <v>0</v>
      </c>
      <c r="AP270" s="21" t="n">
        <f aca="false">IF($J270=0,0,MAX(0,NETWORKDAYS(MAX($K270,AP$4),MIN($L270,EOMONTH(AP$4,0)),Assumptions!$F$4:$F$44))/NETWORKDAYS($K270,$L270,Assumptions!$F$4:$F$44))</f>
        <v>0</v>
      </c>
      <c r="AQ270" s="21" t="n">
        <f aca="false">IF($J270=0,0,MAX(0,NETWORKDAYS(MAX($K270,AQ$4),MIN($L270,EOMONTH(AQ$4,0)),Assumptions!$F$4:$F$44))/NETWORKDAYS($K270,$L270,Assumptions!$F$4:$F$44))</f>
        <v>0</v>
      </c>
      <c r="AR270" s="21" t="n">
        <f aca="false">IF($J270=0,0,MAX(0,NETWORKDAYS(MAX($K270,AR$4),MIN($L270,EOMONTH(AR$4,0)),Assumptions!$F$4:$F$44))/NETWORKDAYS($K270,$L270,Assumptions!$F$4:$F$44))</f>
        <v>0</v>
      </c>
      <c r="AS270" s="21" t="n">
        <f aca="false">IF($J270=0,0,MAX(0,NETWORKDAYS(MAX($K270,AS$4),MIN($L270,EOMONTH(AS$4,0)),Assumptions!$F$4:$F$44))/NETWORKDAYS($K270,$L270,Assumptions!$F$4:$F$44))</f>
        <v>0</v>
      </c>
      <c r="AT270" s="21" t="n">
        <f aca="false">IF($J270=0,0,MAX(0,NETWORKDAYS(MAX($K270,AT$4),MIN($L270,EOMONTH(AT$4,0)),Assumptions!$F$4:$F$44))/NETWORKDAYS($K270,$L270,Assumptions!$F$4:$F$44))</f>
        <v>0</v>
      </c>
      <c r="AU270" s="21" t="n">
        <f aca="false">IF($J270=0,0,MAX(0,NETWORKDAYS(MAX($K270,AU$4),MIN($L270,EOMONTH(AU$4,0)),Assumptions!$F$4:$F$44))/NETWORKDAYS($K270,$L270,Assumptions!$F$4:$F$44))</f>
        <v>0</v>
      </c>
      <c r="AV270" s="21" t="n">
        <f aca="false">IF($J270=0,0,MAX(0,NETWORKDAYS(MAX($K270,AV$4),MIN($L270,EOMONTH(AV$4,0)),Assumptions!$F$4:$F$44))/NETWORKDAYS($K270,$L270,Assumptions!$F$4:$F$44))</f>
        <v>0</v>
      </c>
      <c r="AW270" s="21" t="n">
        <f aca="false">IF($J270=0,0,MAX(0,NETWORKDAYS(MAX($K270,AW$4),MIN($L270,EOMONTH(AW$4,0)),Assumptions!$F$4:$F$44))/NETWORKDAYS($K270,$L270,Assumptions!$F$4:$F$44))</f>
        <v>0</v>
      </c>
      <c r="AX270" s="21" t="n">
        <f aca="false">IF($J270=0,0,MAX(0,NETWORKDAYS(MAX($K270,AX$4),MIN($L270,EOMONTH(AX$4,0)),Assumptions!$F$4:$F$44))/NETWORKDAYS($K270,$L270,Assumptions!$F$4:$F$44))</f>
        <v>0</v>
      </c>
      <c r="AY270" s="21" t="n">
        <f aca="false">IF($J270=0,0,MAX(0,NETWORKDAYS(MAX($K270,AY$4),MIN($L270,EOMONTH(AY$4,0)),Assumptions!$F$4:$F$44))/NETWORKDAYS($K270,$L270,Assumptions!$F$4:$F$44))</f>
        <v>0</v>
      </c>
      <c r="AZ270" s="21" t="n">
        <f aca="false">IF($J270=0,0,MAX(0,NETWORKDAYS(MAX($K270,AZ$4),MIN($L270,EOMONTH(AZ$4,0)),Assumptions!$F$4:$F$44))/NETWORKDAYS($K270,$L270,Assumptions!$F$4:$F$44))</f>
        <v>0</v>
      </c>
      <c r="BA270" s="21" t="n">
        <f aca="false">IF($J270=0,0,MAX(0,NETWORKDAYS(MAX($K270,BA$4),MIN($L270,EOMONTH(BA$4,0)),Assumptions!$F$4:$F$44))/NETWORKDAYS($K270,$L270,Assumptions!$F$4:$F$44))</f>
        <v>0</v>
      </c>
      <c r="BB270" s="21" t="n">
        <f aca="false">IF($J270=0,0,MAX(0,NETWORKDAYS(MAX($K270,BB$4),MIN($L270,EOMONTH(BB$4,0)),Assumptions!$F$4:$F$44))/NETWORKDAYS($K270,$L270,Assumptions!$F$4:$F$44))</f>
        <v>0</v>
      </c>
      <c r="BC270" s="21" t="n">
        <f aca="false">IF($J270=0,0,MAX(0,NETWORKDAYS(MAX($K270,BC$4),MIN($L270,EOMONTH(BC$4,0)),Assumptions!$F$4:$F$44))/NETWORKDAYS($K270,$L270,Assumptions!$F$4:$F$44))</f>
        <v>0</v>
      </c>
    </row>
    <row r="271" customFormat="false" ht="15" hidden="false" customHeight="false" outlineLevel="2" collapsed="false">
      <c r="A271" s="27" t="n">
        <v>267</v>
      </c>
      <c r="B271" s="27" t="s">
        <v>622</v>
      </c>
      <c r="C271" s="27" t="n">
        <v>3</v>
      </c>
      <c r="D271" s="27" t="s">
        <v>92</v>
      </c>
      <c r="E271" s="28" t="s">
        <v>330</v>
      </c>
      <c r="F271" s="27" t="s">
        <v>502</v>
      </c>
      <c r="G271" s="27" t="s">
        <v>604</v>
      </c>
      <c r="H271" s="27" t="s">
        <v>47</v>
      </c>
      <c r="I271" s="29" t="n">
        <v>154</v>
      </c>
      <c r="J271" s="29" t="n">
        <v>26</v>
      </c>
      <c r="K271" s="30" t="n">
        <f aca="false">WORKDAY(Assumptions!$C$4,I271,Assumptions!$F$4:$F$44)</f>
        <v>46542</v>
      </c>
      <c r="L271" s="30" t="n">
        <f aca="false">IF(J271=0,K271,WORKDAY(K271,J271-1,Assumptions!$F$4:$F$44))</f>
        <v>46577</v>
      </c>
      <c r="M271" s="29" t="s">
        <v>620</v>
      </c>
      <c r="N271" s="31" t="n">
        <v>0</v>
      </c>
      <c r="O271" s="31" t="n">
        <v>2</v>
      </c>
      <c r="P271" s="31" t="n">
        <v>0</v>
      </c>
      <c r="Q271" s="31" t="n">
        <v>5</v>
      </c>
      <c r="R271" s="31" t="n">
        <v>5</v>
      </c>
      <c r="S271" s="31" t="n">
        <v>0</v>
      </c>
      <c r="T271" s="31" t="n">
        <v>0</v>
      </c>
      <c r="U271" s="31" t="n">
        <v>0</v>
      </c>
      <c r="V271" s="31" t="n">
        <v>0</v>
      </c>
      <c r="W271" s="31" t="n">
        <v>0</v>
      </c>
      <c r="X271" s="31" t="n">
        <v>0</v>
      </c>
      <c r="Y271" s="32" t="n">
        <f aca="false">SUM(N271:X271)</f>
        <v>12</v>
      </c>
      <c r="Z271" s="32" t="n">
        <f aca="false">Y271*(1+Assumptions!$C$5)</f>
        <v>13.8</v>
      </c>
      <c r="AA271" s="27" t="s">
        <v>331</v>
      </c>
      <c r="AB271" s="27" t="s">
        <v>95</v>
      </c>
      <c r="AC271" s="27"/>
      <c r="AD271" s="33" t="n">
        <v>0</v>
      </c>
      <c r="AF271" s="21" t="n">
        <f aca="false">IF($J271=0,0,MAX(0,NETWORKDAYS(MAX($K271,AF$4),MIN($L271,EOMONTH(AF$4,0)),Assumptions!$F$4:$F$44))/NETWORKDAYS($K271,$L271,Assumptions!$F$4:$F$44))</f>
        <v>0</v>
      </c>
      <c r="AG271" s="21" t="n">
        <f aca="false">IF($J271=0,0,MAX(0,NETWORKDAYS(MAX($K271,AG$4),MIN($L271,EOMONTH(AG$4,0)),Assumptions!$F$4:$F$44))/NETWORKDAYS($K271,$L271,Assumptions!$F$4:$F$44))</f>
        <v>0</v>
      </c>
      <c r="AH271" s="21" t="n">
        <f aca="false">IF($J271=0,0,MAX(0,NETWORKDAYS(MAX($K271,AH$4),MIN($L271,EOMONTH(AH$4,0)),Assumptions!$F$4:$F$44))/NETWORKDAYS($K271,$L271,Assumptions!$F$4:$F$44))</f>
        <v>0</v>
      </c>
      <c r="AI271" s="21" t="n">
        <f aca="false">IF($J271=0,0,MAX(0,NETWORKDAYS(MAX($K271,AI$4),MIN($L271,EOMONTH(AI$4,0)),Assumptions!$F$4:$F$44))/NETWORKDAYS($K271,$L271,Assumptions!$F$4:$F$44))</f>
        <v>0</v>
      </c>
      <c r="AJ271" s="21" t="n">
        <f aca="false">IF($J271=0,0,MAX(0,NETWORKDAYS(MAX($K271,AJ$4),MIN($L271,EOMONTH(AJ$4,0)),Assumptions!$F$4:$F$44))/NETWORKDAYS($K271,$L271,Assumptions!$F$4:$F$44))</f>
        <v>0</v>
      </c>
      <c r="AK271" s="21" t="n">
        <f aca="false">IF($J271=0,0,MAX(0,NETWORKDAYS(MAX($K271,AK$4),MIN($L271,EOMONTH(AK$4,0)),Assumptions!$F$4:$F$44))/NETWORKDAYS($K271,$L271,Assumptions!$F$4:$F$44))</f>
        <v>0</v>
      </c>
      <c r="AL271" s="21" t="n">
        <f aca="false">IF($J271=0,0,MAX(0,NETWORKDAYS(MAX($K271,AL$4),MIN($L271,EOMONTH(AL$4,0)),Assumptions!$F$4:$F$44))/NETWORKDAYS($K271,$L271,Assumptions!$F$4:$F$44))</f>
        <v>0</v>
      </c>
      <c r="AM271" s="21" t="n">
        <f aca="false">IF($J271=0,0,MAX(0,NETWORKDAYS(MAX($K271,AM$4),MIN($L271,EOMONTH(AM$4,0)),Assumptions!$F$4:$F$44))/NETWORKDAYS($K271,$L271,Assumptions!$F$4:$F$44))</f>
        <v>0.730769230769231</v>
      </c>
      <c r="AN271" s="21" t="n">
        <f aca="false">IF($J271=0,0,MAX(0,NETWORKDAYS(MAX($K271,AN$4),MIN($L271,EOMONTH(AN$4,0)),Assumptions!$F$4:$F$44))/NETWORKDAYS($K271,$L271,Assumptions!$F$4:$F$44))</f>
        <v>0.269230769230769</v>
      </c>
      <c r="AO271" s="21" t="n">
        <f aca="false">IF($J271=0,0,MAX(0,NETWORKDAYS(MAX($K271,AO$4),MIN($L271,EOMONTH(AO$4,0)),Assumptions!$F$4:$F$44))/NETWORKDAYS($K271,$L271,Assumptions!$F$4:$F$44))</f>
        <v>0</v>
      </c>
      <c r="AP271" s="21" t="n">
        <f aca="false">IF($J271=0,0,MAX(0,NETWORKDAYS(MAX($K271,AP$4),MIN($L271,EOMONTH(AP$4,0)),Assumptions!$F$4:$F$44))/NETWORKDAYS($K271,$L271,Assumptions!$F$4:$F$44))</f>
        <v>0</v>
      </c>
      <c r="AQ271" s="21" t="n">
        <f aca="false">IF($J271=0,0,MAX(0,NETWORKDAYS(MAX($K271,AQ$4),MIN($L271,EOMONTH(AQ$4,0)),Assumptions!$F$4:$F$44))/NETWORKDAYS($K271,$L271,Assumptions!$F$4:$F$44))</f>
        <v>0</v>
      </c>
      <c r="AR271" s="21" t="n">
        <f aca="false">IF($J271=0,0,MAX(0,NETWORKDAYS(MAX($K271,AR$4),MIN($L271,EOMONTH(AR$4,0)),Assumptions!$F$4:$F$44))/NETWORKDAYS($K271,$L271,Assumptions!$F$4:$F$44))</f>
        <v>0</v>
      </c>
      <c r="AS271" s="21" t="n">
        <f aca="false">IF($J271=0,0,MAX(0,NETWORKDAYS(MAX($K271,AS$4),MIN($L271,EOMONTH(AS$4,0)),Assumptions!$F$4:$F$44))/NETWORKDAYS($K271,$L271,Assumptions!$F$4:$F$44))</f>
        <v>0</v>
      </c>
      <c r="AT271" s="21" t="n">
        <f aca="false">IF($J271=0,0,MAX(0,NETWORKDAYS(MAX($K271,AT$4),MIN($L271,EOMONTH(AT$4,0)),Assumptions!$F$4:$F$44))/NETWORKDAYS($K271,$L271,Assumptions!$F$4:$F$44))</f>
        <v>0</v>
      </c>
      <c r="AU271" s="21" t="n">
        <f aca="false">IF($J271=0,0,MAX(0,NETWORKDAYS(MAX($K271,AU$4),MIN($L271,EOMONTH(AU$4,0)),Assumptions!$F$4:$F$44))/NETWORKDAYS($K271,$L271,Assumptions!$F$4:$F$44))</f>
        <v>0</v>
      </c>
      <c r="AV271" s="21" t="n">
        <f aca="false">IF($J271=0,0,MAX(0,NETWORKDAYS(MAX($K271,AV$4),MIN($L271,EOMONTH(AV$4,0)),Assumptions!$F$4:$F$44))/NETWORKDAYS($K271,$L271,Assumptions!$F$4:$F$44))</f>
        <v>0</v>
      </c>
      <c r="AW271" s="21" t="n">
        <f aca="false">IF($J271=0,0,MAX(0,NETWORKDAYS(MAX($K271,AW$4),MIN($L271,EOMONTH(AW$4,0)),Assumptions!$F$4:$F$44))/NETWORKDAYS($K271,$L271,Assumptions!$F$4:$F$44))</f>
        <v>0</v>
      </c>
      <c r="AX271" s="21" t="n">
        <f aca="false">IF($J271=0,0,MAX(0,NETWORKDAYS(MAX($K271,AX$4),MIN($L271,EOMONTH(AX$4,0)),Assumptions!$F$4:$F$44))/NETWORKDAYS($K271,$L271,Assumptions!$F$4:$F$44))</f>
        <v>0</v>
      </c>
      <c r="AY271" s="21" t="n">
        <f aca="false">IF($J271=0,0,MAX(0,NETWORKDAYS(MAX($K271,AY$4),MIN($L271,EOMONTH(AY$4,0)),Assumptions!$F$4:$F$44))/NETWORKDAYS($K271,$L271,Assumptions!$F$4:$F$44))</f>
        <v>0</v>
      </c>
      <c r="AZ271" s="21" t="n">
        <f aca="false">IF($J271=0,0,MAX(0,NETWORKDAYS(MAX($K271,AZ$4),MIN($L271,EOMONTH(AZ$4,0)),Assumptions!$F$4:$F$44))/NETWORKDAYS($K271,$L271,Assumptions!$F$4:$F$44))</f>
        <v>0</v>
      </c>
      <c r="BA271" s="21" t="n">
        <f aca="false">IF($J271=0,0,MAX(0,NETWORKDAYS(MAX($K271,BA$4),MIN($L271,EOMONTH(BA$4,0)),Assumptions!$F$4:$F$44))/NETWORKDAYS($K271,$L271,Assumptions!$F$4:$F$44))</f>
        <v>0</v>
      </c>
      <c r="BB271" s="21" t="n">
        <f aca="false">IF($J271=0,0,MAX(0,NETWORKDAYS(MAX($K271,BB$4),MIN($L271,EOMONTH(BB$4,0)),Assumptions!$F$4:$F$44))/NETWORKDAYS($K271,$L271,Assumptions!$F$4:$F$44))</f>
        <v>0</v>
      </c>
      <c r="BC271" s="21" t="n">
        <f aca="false">IF($J271=0,0,MAX(0,NETWORKDAYS(MAX($K271,BC$4),MIN($L271,EOMONTH(BC$4,0)),Assumptions!$F$4:$F$44))/NETWORKDAYS($K271,$L271,Assumptions!$F$4:$F$44))</f>
        <v>0</v>
      </c>
    </row>
    <row r="272" customFormat="false" ht="15" hidden="false" customHeight="false" outlineLevel="2" collapsed="false">
      <c r="A272" s="27" t="n">
        <v>268</v>
      </c>
      <c r="B272" s="27" t="s">
        <v>623</v>
      </c>
      <c r="C272" s="27" t="n">
        <v>3</v>
      </c>
      <c r="D272" s="27" t="s">
        <v>92</v>
      </c>
      <c r="E272" s="28" t="s">
        <v>624</v>
      </c>
      <c r="F272" s="27" t="s">
        <v>502</v>
      </c>
      <c r="G272" s="27" t="s">
        <v>604</v>
      </c>
      <c r="H272" s="27" t="s">
        <v>59</v>
      </c>
      <c r="I272" s="29" t="n">
        <v>128</v>
      </c>
      <c r="J272" s="29" t="n">
        <v>59</v>
      </c>
      <c r="K272" s="30" t="n">
        <f aca="false">WORKDAY(Assumptions!$C$4,I272,Assumptions!$F$4:$F$44)</f>
        <v>46506</v>
      </c>
      <c r="L272" s="30" t="n">
        <f aca="false">IF(J272=0,K272,WORKDAY(K272,J272-1,Assumptions!$F$4:$F$44))</f>
        <v>46588</v>
      </c>
      <c r="M272" s="29" t="s">
        <v>611</v>
      </c>
      <c r="N272" s="31" t="n">
        <v>0</v>
      </c>
      <c r="O272" s="31" t="n">
        <v>2</v>
      </c>
      <c r="P272" s="31" t="n">
        <v>0</v>
      </c>
      <c r="Q272" s="31" t="n">
        <v>0</v>
      </c>
      <c r="R272" s="31" t="n">
        <v>0</v>
      </c>
      <c r="S272" s="31" t="n">
        <v>0</v>
      </c>
      <c r="T272" s="31" t="n">
        <v>0</v>
      </c>
      <c r="U272" s="31" t="n">
        <v>0</v>
      </c>
      <c r="V272" s="31" t="n">
        <v>0</v>
      </c>
      <c r="W272" s="31" t="n">
        <v>14</v>
      </c>
      <c r="X272" s="31" t="n">
        <v>0</v>
      </c>
      <c r="Y272" s="32" t="n">
        <f aca="false">SUM(N272:X272)</f>
        <v>16</v>
      </c>
      <c r="Z272" s="32" t="n">
        <f aca="false">Y272*(1+Assumptions!$C$5)</f>
        <v>18.4</v>
      </c>
      <c r="AA272" s="27" t="s">
        <v>334</v>
      </c>
      <c r="AB272" s="27" t="s">
        <v>95</v>
      </c>
      <c r="AC272" s="27"/>
      <c r="AD272" s="33" t="n">
        <v>0</v>
      </c>
      <c r="AF272" s="21" t="n">
        <f aca="false">IF($J272=0,0,MAX(0,NETWORKDAYS(MAX($K272,AF$4),MIN($L272,EOMONTH(AF$4,0)),Assumptions!$F$4:$F$44))/NETWORKDAYS($K272,$L272,Assumptions!$F$4:$F$44))</f>
        <v>0</v>
      </c>
      <c r="AG272" s="21" t="n">
        <f aca="false">IF($J272=0,0,MAX(0,NETWORKDAYS(MAX($K272,AG$4),MIN($L272,EOMONTH(AG$4,0)),Assumptions!$F$4:$F$44))/NETWORKDAYS($K272,$L272,Assumptions!$F$4:$F$44))</f>
        <v>0</v>
      </c>
      <c r="AH272" s="21" t="n">
        <f aca="false">IF($J272=0,0,MAX(0,NETWORKDAYS(MAX($K272,AH$4),MIN($L272,EOMONTH(AH$4,0)),Assumptions!$F$4:$F$44))/NETWORKDAYS($K272,$L272,Assumptions!$F$4:$F$44))</f>
        <v>0</v>
      </c>
      <c r="AI272" s="21" t="n">
        <f aca="false">IF($J272=0,0,MAX(0,NETWORKDAYS(MAX($K272,AI$4),MIN($L272,EOMONTH(AI$4,0)),Assumptions!$F$4:$F$44))/NETWORKDAYS($K272,$L272,Assumptions!$F$4:$F$44))</f>
        <v>0</v>
      </c>
      <c r="AJ272" s="21" t="n">
        <f aca="false">IF($J272=0,0,MAX(0,NETWORKDAYS(MAX($K272,AJ$4),MIN($L272,EOMONTH(AJ$4,0)),Assumptions!$F$4:$F$44))/NETWORKDAYS($K272,$L272,Assumptions!$F$4:$F$44))</f>
        <v>0</v>
      </c>
      <c r="AK272" s="21" t="n">
        <f aca="false">IF($J272=0,0,MAX(0,NETWORKDAYS(MAX($K272,AK$4),MIN($L272,EOMONTH(AK$4,0)),Assumptions!$F$4:$F$44))/NETWORKDAYS($K272,$L272,Assumptions!$F$4:$F$44))</f>
        <v>0.0338983050847458</v>
      </c>
      <c r="AL272" s="21" t="n">
        <f aca="false">IF($J272=0,0,MAX(0,NETWORKDAYS(MAX($K272,AL$4),MIN($L272,EOMONTH(AL$4,0)),Assumptions!$F$4:$F$44))/NETWORKDAYS($K272,$L272,Assumptions!$F$4:$F$44))</f>
        <v>0.355932203389831</v>
      </c>
      <c r="AM272" s="21" t="n">
        <f aca="false">IF($J272=0,0,MAX(0,NETWORKDAYS(MAX($K272,AM$4),MIN($L272,EOMONTH(AM$4,0)),Assumptions!$F$4:$F$44))/NETWORKDAYS($K272,$L272,Assumptions!$F$4:$F$44))</f>
        <v>0.372881355932203</v>
      </c>
      <c r="AN272" s="21" t="n">
        <f aca="false">IF($J272=0,0,MAX(0,NETWORKDAYS(MAX($K272,AN$4),MIN($L272,EOMONTH(AN$4,0)),Assumptions!$F$4:$F$44))/NETWORKDAYS($K272,$L272,Assumptions!$F$4:$F$44))</f>
        <v>0.23728813559322</v>
      </c>
      <c r="AO272" s="21" t="n">
        <f aca="false">IF($J272=0,0,MAX(0,NETWORKDAYS(MAX($K272,AO$4),MIN($L272,EOMONTH(AO$4,0)),Assumptions!$F$4:$F$44))/NETWORKDAYS($K272,$L272,Assumptions!$F$4:$F$44))</f>
        <v>0</v>
      </c>
      <c r="AP272" s="21" t="n">
        <f aca="false">IF($J272=0,0,MAX(0,NETWORKDAYS(MAX($K272,AP$4),MIN($L272,EOMONTH(AP$4,0)),Assumptions!$F$4:$F$44))/NETWORKDAYS($K272,$L272,Assumptions!$F$4:$F$44))</f>
        <v>0</v>
      </c>
      <c r="AQ272" s="21" t="n">
        <f aca="false">IF($J272=0,0,MAX(0,NETWORKDAYS(MAX($K272,AQ$4),MIN($L272,EOMONTH(AQ$4,0)),Assumptions!$F$4:$F$44))/NETWORKDAYS($K272,$L272,Assumptions!$F$4:$F$44))</f>
        <v>0</v>
      </c>
      <c r="AR272" s="21" t="n">
        <f aca="false">IF($J272=0,0,MAX(0,NETWORKDAYS(MAX($K272,AR$4),MIN($L272,EOMONTH(AR$4,0)),Assumptions!$F$4:$F$44))/NETWORKDAYS($K272,$L272,Assumptions!$F$4:$F$44))</f>
        <v>0</v>
      </c>
      <c r="AS272" s="21" t="n">
        <f aca="false">IF($J272=0,0,MAX(0,NETWORKDAYS(MAX($K272,AS$4),MIN($L272,EOMONTH(AS$4,0)),Assumptions!$F$4:$F$44))/NETWORKDAYS($K272,$L272,Assumptions!$F$4:$F$44))</f>
        <v>0</v>
      </c>
      <c r="AT272" s="21" t="n">
        <f aca="false">IF($J272=0,0,MAX(0,NETWORKDAYS(MAX($K272,AT$4),MIN($L272,EOMONTH(AT$4,0)),Assumptions!$F$4:$F$44))/NETWORKDAYS($K272,$L272,Assumptions!$F$4:$F$44))</f>
        <v>0</v>
      </c>
      <c r="AU272" s="21" t="n">
        <f aca="false">IF($J272=0,0,MAX(0,NETWORKDAYS(MAX($K272,AU$4),MIN($L272,EOMONTH(AU$4,0)),Assumptions!$F$4:$F$44))/NETWORKDAYS($K272,$L272,Assumptions!$F$4:$F$44))</f>
        <v>0</v>
      </c>
      <c r="AV272" s="21" t="n">
        <f aca="false">IF($J272=0,0,MAX(0,NETWORKDAYS(MAX($K272,AV$4),MIN($L272,EOMONTH(AV$4,0)),Assumptions!$F$4:$F$44))/NETWORKDAYS($K272,$L272,Assumptions!$F$4:$F$44))</f>
        <v>0</v>
      </c>
      <c r="AW272" s="21" t="n">
        <f aca="false">IF($J272=0,0,MAX(0,NETWORKDAYS(MAX($K272,AW$4),MIN($L272,EOMONTH(AW$4,0)),Assumptions!$F$4:$F$44))/NETWORKDAYS($K272,$L272,Assumptions!$F$4:$F$44))</f>
        <v>0</v>
      </c>
      <c r="AX272" s="21" t="n">
        <f aca="false">IF($J272=0,0,MAX(0,NETWORKDAYS(MAX($K272,AX$4),MIN($L272,EOMONTH(AX$4,0)),Assumptions!$F$4:$F$44))/NETWORKDAYS($K272,$L272,Assumptions!$F$4:$F$44))</f>
        <v>0</v>
      </c>
      <c r="AY272" s="21" t="n">
        <f aca="false">IF($J272=0,0,MAX(0,NETWORKDAYS(MAX($K272,AY$4),MIN($L272,EOMONTH(AY$4,0)),Assumptions!$F$4:$F$44))/NETWORKDAYS($K272,$L272,Assumptions!$F$4:$F$44))</f>
        <v>0</v>
      </c>
      <c r="AZ272" s="21" t="n">
        <f aca="false">IF($J272=0,0,MAX(0,NETWORKDAYS(MAX($K272,AZ$4),MIN($L272,EOMONTH(AZ$4,0)),Assumptions!$F$4:$F$44))/NETWORKDAYS($K272,$L272,Assumptions!$F$4:$F$44))</f>
        <v>0</v>
      </c>
      <c r="BA272" s="21" t="n">
        <f aca="false">IF($J272=0,0,MAX(0,NETWORKDAYS(MAX($K272,BA$4),MIN($L272,EOMONTH(BA$4,0)),Assumptions!$F$4:$F$44))/NETWORKDAYS($K272,$L272,Assumptions!$F$4:$F$44))</f>
        <v>0</v>
      </c>
      <c r="BB272" s="21" t="n">
        <f aca="false">IF($J272=0,0,MAX(0,NETWORKDAYS(MAX($K272,BB$4),MIN($L272,EOMONTH(BB$4,0)),Assumptions!$F$4:$F$44))/NETWORKDAYS($K272,$L272,Assumptions!$F$4:$F$44))</f>
        <v>0</v>
      </c>
      <c r="BC272" s="21" t="n">
        <f aca="false">IF($J272=0,0,MAX(0,NETWORKDAYS(MAX($K272,BC$4),MIN($L272,EOMONTH(BC$4,0)),Assumptions!$F$4:$F$44))/NETWORKDAYS($K272,$L272,Assumptions!$F$4:$F$44))</f>
        <v>0</v>
      </c>
    </row>
    <row r="273" customFormat="false" ht="15" hidden="false" customHeight="false" outlineLevel="2" collapsed="false">
      <c r="A273" s="27" t="n">
        <v>269</v>
      </c>
      <c r="B273" s="27" t="s">
        <v>625</v>
      </c>
      <c r="C273" s="27" t="n">
        <v>3</v>
      </c>
      <c r="D273" s="27" t="s">
        <v>92</v>
      </c>
      <c r="E273" s="28" t="s">
        <v>336</v>
      </c>
      <c r="F273" s="27" t="s">
        <v>502</v>
      </c>
      <c r="G273" s="27" t="s">
        <v>604</v>
      </c>
      <c r="H273" s="27" t="s">
        <v>57</v>
      </c>
      <c r="I273" s="29" t="n">
        <v>170</v>
      </c>
      <c r="J273" s="29" t="n">
        <v>21</v>
      </c>
      <c r="K273" s="30" t="n">
        <f aca="false">WORKDAY(Assumptions!$C$4,I273,Assumptions!$F$4:$F$44)</f>
        <v>46566</v>
      </c>
      <c r="L273" s="30" t="n">
        <f aca="false">IF(J273=0,K273,WORKDAY(K273,J273-1,Assumptions!$F$4:$F$44))</f>
        <v>46594</v>
      </c>
      <c r="M273" s="29" t="s">
        <v>626</v>
      </c>
      <c r="N273" s="31" t="n">
        <v>0</v>
      </c>
      <c r="O273" s="31" t="n">
        <v>0</v>
      </c>
      <c r="P273" s="31" t="n">
        <v>0</v>
      </c>
      <c r="Q273" s="31" t="n">
        <v>0</v>
      </c>
      <c r="R273" s="31" t="n">
        <v>0</v>
      </c>
      <c r="S273" s="31" t="n">
        <v>0</v>
      </c>
      <c r="T273" s="31" t="n">
        <v>0</v>
      </c>
      <c r="U273" s="31" t="n">
        <v>0</v>
      </c>
      <c r="V273" s="31" t="n">
        <v>24</v>
      </c>
      <c r="W273" s="31" t="n">
        <v>0</v>
      </c>
      <c r="X273" s="31" t="n">
        <v>0</v>
      </c>
      <c r="Y273" s="32" t="n">
        <f aca="false">SUM(N273:X273)</f>
        <v>24</v>
      </c>
      <c r="Z273" s="32" t="n">
        <f aca="false">Y273*(1+Assumptions!$C$5)</f>
        <v>27.6</v>
      </c>
      <c r="AA273" s="27" t="s">
        <v>338</v>
      </c>
      <c r="AB273" s="27" t="s">
        <v>95</v>
      </c>
      <c r="AC273" s="27"/>
      <c r="AD273" s="33" t="n">
        <v>0</v>
      </c>
      <c r="AF273" s="21" t="n">
        <f aca="false">IF($J273=0,0,MAX(0,NETWORKDAYS(MAX($K273,AF$4),MIN($L273,EOMONTH(AF$4,0)),Assumptions!$F$4:$F$44))/NETWORKDAYS($K273,$L273,Assumptions!$F$4:$F$44))</f>
        <v>0</v>
      </c>
      <c r="AG273" s="21" t="n">
        <f aca="false">IF($J273=0,0,MAX(0,NETWORKDAYS(MAX($K273,AG$4),MIN($L273,EOMONTH(AG$4,0)),Assumptions!$F$4:$F$44))/NETWORKDAYS($K273,$L273,Assumptions!$F$4:$F$44))</f>
        <v>0</v>
      </c>
      <c r="AH273" s="21" t="n">
        <f aca="false">IF($J273=0,0,MAX(0,NETWORKDAYS(MAX($K273,AH$4),MIN($L273,EOMONTH(AH$4,0)),Assumptions!$F$4:$F$44))/NETWORKDAYS($K273,$L273,Assumptions!$F$4:$F$44))</f>
        <v>0</v>
      </c>
      <c r="AI273" s="21" t="n">
        <f aca="false">IF($J273=0,0,MAX(0,NETWORKDAYS(MAX($K273,AI$4),MIN($L273,EOMONTH(AI$4,0)),Assumptions!$F$4:$F$44))/NETWORKDAYS($K273,$L273,Assumptions!$F$4:$F$44))</f>
        <v>0</v>
      </c>
      <c r="AJ273" s="21" t="n">
        <f aca="false">IF($J273=0,0,MAX(0,NETWORKDAYS(MAX($K273,AJ$4),MIN($L273,EOMONTH(AJ$4,0)),Assumptions!$F$4:$F$44))/NETWORKDAYS($K273,$L273,Assumptions!$F$4:$F$44))</f>
        <v>0</v>
      </c>
      <c r="AK273" s="21" t="n">
        <f aca="false">IF($J273=0,0,MAX(0,NETWORKDAYS(MAX($K273,AK$4),MIN($L273,EOMONTH(AK$4,0)),Assumptions!$F$4:$F$44))/NETWORKDAYS($K273,$L273,Assumptions!$F$4:$F$44))</f>
        <v>0</v>
      </c>
      <c r="AL273" s="21" t="n">
        <f aca="false">IF($J273=0,0,MAX(0,NETWORKDAYS(MAX($K273,AL$4),MIN($L273,EOMONTH(AL$4,0)),Assumptions!$F$4:$F$44))/NETWORKDAYS($K273,$L273,Assumptions!$F$4:$F$44))</f>
        <v>0</v>
      </c>
      <c r="AM273" s="21" t="n">
        <f aca="false">IF($J273=0,0,MAX(0,NETWORKDAYS(MAX($K273,AM$4),MIN($L273,EOMONTH(AM$4,0)),Assumptions!$F$4:$F$44))/NETWORKDAYS($K273,$L273,Assumptions!$F$4:$F$44))</f>
        <v>0.142857142857143</v>
      </c>
      <c r="AN273" s="21" t="n">
        <f aca="false">IF($J273=0,0,MAX(0,NETWORKDAYS(MAX($K273,AN$4),MIN($L273,EOMONTH(AN$4,0)),Assumptions!$F$4:$F$44))/NETWORKDAYS($K273,$L273,Assumptions!$F$4:$F$44))</f>
        <v>0.857142857142857</v>
      </c>
      <c r="AO273" s="21" t="n">
        <f aca="false">IF($J273=0,0,MAX(0,NETWORKDAYS(MAX($K273,AO$4),MIN($L273,EOMONTH(AO$4,0)),Assumptions!$F$4:$F$44))/NETWORKDAYS($K273,$L273,Assumptions!$F$4:$F$44))</f>
        <v>0</v>
      </c>
      <c r="AP273" s="21" t="n">
        <f aca="false">IF($J273=0,0,MAX(0,NETWORKDAYS(MAX($K273,AP$4),MIN($L273,EOMONTH(AP$4,0)),Assumptions!$F$4:$F$44))/NETWORKDAYS($K273,$L273,Assumptions!$F$4:$F$44))</f>
        <v>0</v>
      </c>
      <c r="AQ273" s="21" t="n">
        <f aca="false">IF($J273=0,0,MAX(0,NETWORKDAYS(MAX($K273,AQ$4),MIN($L273,EOMONTH(AQ$4,0)),Assumptions!$F$4:$F$44))/NETWORKDAYS($K273,$L273,Assumptions!$F$4:$F$44))</f>
        <v>0</v>
      </c>
      <c r="AR273" s="21" t="n">
        <f aca="false">IF($J273=0,0,MAX(0,NETWORKDAYS(MAX($K273,AR$4),MIN($L273,EOMONTH(AR$4,0)),Assumptions!$F$4:$F$44))/NETWORKDAYS($K273,$L273,Assumptions!$F$4:$F$44))</f>
        <v>0</v>
      </c>
      <c r="AS273" s="21" t="n">
        <f aca="false">IF($J273=0,0,MAX(0,NETWORKDAYS(MAX($K273,AS$4),MIN($L273,EOMONTH(AS$4,0)),Assumptions!$F$4:$F$44))/NETWORKDAYS($K273,$L273,Assumptions!$F$4:$F$44))</f>
        <v>0</v>
      </c>
      <c r="AT273" s="21" t="n">
        <f aca="false">IF($J273=0,0,MAX(0,NETWORKDAYS(MAX($K273,AT$4),MIN($L273,EOMONTH(AT$4,0)),Assumptions!$F$4:$F$44))/NETWORKDAYS($K273,$L273,Assumptions!$F$4:$F$44))</f>
        <v>0</v>
      </c>
      <c r="AU273" s="21" t="n">
        <f aca="false">IF($J273=0,0,MAX(0,NETWORKDAYS(MAX($K273,AU$4),MIN($L273,EOMONTH(AU$4,0)),Assumptions!$F$4:$F$44))/NETWORKDAYS($K273,$L273,Assumptions!$F$4:$F$44))</f>
        <v>0</v>
      </c>
      <c r="AV273" s="21" t="n">
        <f aca="false">IF($J273=0,0,MAX(0,NETWORKDAYS(MAX($K273,AV$4),MIN($L273,EOMONTH(AV$4,0)),Assumptions!$F$4:$F$44))/NETWORKDAYS($K273,$L273,Assumptions!$F$4:$F$44))</f>
        <v>0</v>
      </c>
      <c r="AW273" s="21" t="n">
        <f aca="false">IF($J273=0,0,MAX(0,NETWORKDAYS(MAX($K273,AW$4),MIN($L273,EOMONTH(AW$4,0)),Assumptions!$F$4:$F$44))/NETWORKDAYS($K273,$L273,Assumptions!$F$4:$F$44))</f>
        <v>0</v>
      </c>
      <c r="AX273" s="21" t="n">
        <f aca="false">IF($J273=0,0,MAX(0,NETWORKDAYS(MAX($K273,AX$4),MIN($L273,EOMONTH(AX$4,0)),Assumptions!$F$4:$F$44))/NETWORKDAYS($K273,$L273,Assumptions!$F$4:$F$44))</f>
        <v>0</v>
      </c>
      <c r="AY273" s="21" t="n">
        <f aca="false">IF($J273=0,0,MAX(0,NETWORKDAYS(MAX($K273,AY$4),MIN($L273,EOMONTH(AY$4,0)),Assumptions!$F$4:$F$44))/NETWORKDAYS($K273,$L273,Assumptions!$F$4:$F$44))</f>
        <v>0</v>
      </c>
      <c r="AZ273" s="21" t="n">
        <f aca="false">IF($J273=0,0,MAX(0,NETWORKDAYS(MAX($K273,AZ$4),MIN($L273,EOMONTH(AZ$4,0)),Assumptions!$F$4:$F$44))/NETWORKDAYS($K273,$L273,Assumptions!$F$4:$F$44))</f>
        <v>0</v>
      </c>
      <c r="BA273" s="21" t="n">
        <f aca="false">IF($J273=0,0,MAX(0,NETWORKDAYS(MAX($K273,BA$4),MIN($L273,EOMONTH(BA$4,0)),Assumptions!$F$4:$F$44))/NETWORKDAYS($K273,$L273,Assumptions!$F$4:$F$44))</f>
        <v>0</v>
      </c>
      <c r="BB273" s="21" t="n">
        <f aca="false">IF($J273=0,0,MAX(0,NETWORKDAYS(MAX($K273,BB$4),MIN($L273,EOMONTH(BB$4,0)),Assumptions!$F$4:$F$44))/NETWORKDAYS($K273,$L273,Assumptions!$F$4:$F$44))</f>
        <v>0</v>
      </c>
      <c r="BC273" s="21" t="n">
        <f aca="false">IF($J273=0,0,MAX(0,NETWORKDAYS(MAX($K273,BC$4),MIN($L273,EOMONTH(BC$4,0)),Assumptions!$F$4:$F$44))/NETWORKDAYS($K273,$L273,Assumptions!$F$4:$F$44))</f>
        <v>0</v>
      </c>
    </row>
    <row r="274" customFormat="false" ht="15" hidden="false" customHeight="false" outlineLevel="2" collapsed="false">
      <c r="A274" s="27" t="n">
        <v>270</v>
      </c>
      <c r="B274" s="27" t="s">
        <v>627</v>
      </c>
      <c r="C274" s="27" t="n">
        <v>3</v>
      </c>
      <c r="D274" s="27" t="s">
        <v>92</v>
      </c>
      <c r="E274" s="28" t="s">
        <v>340</v>
      </c>
      <c r="F274" s="27" t="s">
        <v>502</v>
      </c>
      <c r="G274" s="27" t="s">
        <v>604</v>
      </c>
      <c r="H274" s="27" t="s">
        <v>47</v>
      </c>
      <c r="I274" s="29" t="n">
        <v>174</v>
      </c>
      <c r="J274" s="29" t="n">
        <v>26</v>
      </c>
      <c r="K274" s="30" t="n">
        <f aca="false">WORKDAY(Assumptions!$C$4,I274,Assumptions!$F$4:$F$44)</f>
        <v>46570</v>
      </c>
      <c r="L274" s="30" t="n">
        <f aca="false">IF(J274=0,K274,WORKDAY(K274,J274-1,Assumptions!$F$4:$F$44))</f>
        <v>46605</v>
      </c>
      <c r="M274" s="29" t="s">
        <v>628</v>
      </c>
      <c r="N274" s="31" t="n">
        <v>0</v>
      </c>
      <c r="O274" s="31" t="n">
        <v>0</v>
      </c>
      <c r="P274" s="31" t="n">
        <v>0</v>
      </c>
      <c r="Q274" s="31" t="n">
        <v>9</v>
      </c>
      <c r="R274" s="31" t="n">
        <v>6</v>
      </c>
      <c r="S274" s="31" t="n">
        <v>0</v>
      </c>
      <c r="T274" s="31" t="n">
        <v>0</v>
      </c>
      <c r="U274" s="31" t="n">
        <v>0</v>
      </c>
      <c r="V274" s="31" t="n">
        <v>5</v>
      </c>
      <c r="W274" s="31" t="n">
        <v>0</v>
      </c>
      <c r="X274" s="31" t="n">
        <v>0</v>
      </c>
      <c r="Y274" s="32" t="n">
        <f aca="false">SUM(N274:X274)</f>
        <v>20</v>
      </c>
      <c r="Z274" s="32" t="n">
        <f aca="false">Y274*(1+Assumptions!$C$5)</f>
        <v>23</v>
      </c>
      <c r="AA274" s="27" t="s">
        <v>342</v>
      </c>
      <c r="AB274" s="27" t="s">
        <v>95</v>
      </c>
      <c r="AC274" s="27"/>
      <c r="AD274" s="33" t="n">
        <v>0</v>
      </c>
      <c r="AF274" s="21" t="n">
        <f aca="false">IF($J274=0,0,MAX(0,NETWORKDAYS(MAX($K274,AF$4),MIN($L274,EOMONTH(AF$4,0)),Assumptions!$F$4:$F$44))/NETWORKDAYS($K274,$L274,Assumptions!$F$4:$F$44))</f>
        <v>0</v>
      </c>
      <c r="AG274" s="21" t="n">
        <f aca="false">IF($J274=0,0,MAX(0,NETWORKDAYS(MAX($K274,AG$4),MIN($L274,EOMONTH(AG$4,0)),Assumptions!$F$4:$F$44))/NETWORKDAYS($K274,$L274,Assumptions!$F$4:$F$44))</f>
        <v>0</v>
      </c>
      <c r="AH274" s="21" t="n">
        <f aca="false">IF($J274=0,0,MAX(0,NETWORKDAYS(MAX($K274,AH$4),MIN($L274,EOMONTH(AH$4,0)),Assumptions!$F$4:$F$44))/NETWORKDAYS($K274,$L274,Assumptions!$F$4:$F$44))</f>
        <v>0</v>
      </c>
      <c r="AI274" s="21" t="n">
        <f aca="false">IF($J274=0,0,MAX(0,NETWORKDAYS(MAX($K274,AI$4),MIN($L274,EOMONTH(AI$4,0)),Assumptions!$F$4:$F$44))/NETWORKDAYS($K274,$L274,Assumptions!$F$4:$F$44))</f>
        <v>0</v>
      </c>
      <c r="AJ274" s="21" t="n">
        <f aca="false">IF($J274=0,0,MAX(0,NETWORKDAYS(MAX($K274,AJ$4),MIN($L274,EOMONTH(AJ$4,0)),Assumptions!$F$4:$F$44))/NETWORKDAYS($K274,$L274,Assumptions!$F$4:$F$44))</f>
        <v>0</v>
      </c>
      <c r="AK274" s="21" t="n">
        <f aca="false">IF($J274=0,0,MAX(0,NETWORKDAYS(MAX($K274,AK$4),MIN($L274,EOMONTH(AK$4,0)),Assumptions!$F$4:$F$44))/NETWORKDAYS($K274,$L274,Assumptions!$F$4:$F$44))</f>
        <v>0</v>
      </c>
      <c r="AL274" s="21" t="n">
        <f aca="false">IF($J274=0,0,MAX(0,NETWORKDAYS(MAX($K274,AL$4),MIN($L274,EOMONTH(AL$4,0)),Assumptions!$F$4:$F$44))/NETWORKDAYS($K274,$L274,Assumptions!$F$4:$F$44))</f>
        <v>0</v>
      </c>
      <c r="AM274" s="21" t="n">
        <f aca="false">IF($J274=0,0,MAX(0,NETWORKDAYS(MAX($K274,AM$4),MIN($L274,EOMONTH(AM$4,0)),Assumptions!$F$4:$F$44))/NETWORKDAYS($K274,$L274,Assumptions!$F$4:$F$44))</f>
        <v>0</v>
      </c>
      <c r="AN274" s="21" t="n">
        <f aca="false">IF($J274=0,0,MAX(0,NETWORKDAYS(MAX($K274,AN$4),MIN($L274,EOMONTH(AN$4,0)),Assumptions!$F$4:$F$44))/NETWORKDAYS($K274,$L274,Assumptions!$F$4:$F$44))</f>
        <v>0.807692307692308</v>
      </c>
      <c r="AO274" s="21" t="n">
        <f aca="false">IF($J274=0,0,MAX(0,NETWORKDAYS(MAX($K274,AO$4),MIN($L274,EOMONTH(AO$4,0)),Assumptions!$F$4:$F$44))/NETWORKDAYS($K274,$L274,Assumptions!$F$4:$F$44))</f>
        <v>0.192307692307692</v>
      </c>
      <c r="AP274" s="21" t="n">
        <f aca="false">IF($J274=0,0,MAX(0,NETWORKDAYS(MAX($K274,AP$4),MIN($L274,EOMONTH(AP$4,0)),Assumptions!$F$4:$F$44))/NETWORKDAYS($K274,$L274,Assumptions!$F$4:$F$44))</f>
        <v>0</v>
      </c>
      <c r="AQ274" s="21" t="n">
        <f aca="false">IF($J274=0,0,MAX(0,NETWORKDAYS(MAX($K274,AQ$4),MIN($L274,EOMONTH(AQ$4,0)),Assumptions!$F$4:$F$44))/NETWORKDAYS($K274,$L274,Assumptions!$F$4:$F$44))</f>
        <v>0</v>
      </c>
      <c r="AR274" s="21" t="n">
        <f aca="false">IF($J274=0,0,MAX(0,NETWORKDAYS(MAX($K274,AR$4),MIN($L274,EOMONTH(AR$4,0)),Assumptions!$F$4:$F$44))/NETWORKDAYS($K274,$L274,Assumptions!$F$4:$F$44))</f>
        <v>0</v>
      </c>
      <c r="AS274" s="21" t="n">
        <f aca="false">IF($J274=0,0,MAX(0,NETWORKDAYS(MAX($K274,AS$4),MIN($L274,EOMONTH(AS$4,0)),Assumptions!$F$4:$F$44))/NETWORKDAYS($K274,$L274,Assumptions!$F$4:$F$44))</f>
        <v>0</v>
      </c>
      <c r="AT274" s="21" t="n">
        <f aca="false">IF($J274=0,0,MAX(0,NETWORKDAYS(MAX($K274,AT$4),MIN($L274,EOMONTH(AT$4,0)),Assumptions!$F$4:$F$44))/NETWORKDAYS($K274,$L274,Assumptions!$F$4:$F$44))</f>
        <v>0</v>
      </c>
      <c r="AU274" s="21" t="n">
        <f aca="false">IF($J274=0,0,MAX(0,NETWORKDAYS(MAX($K274,AU$4),MIN($L274,EOMONTH(AU$4,0)),Assumptions!$F$4:$F$44))/NETWORKDAYS($K274,$L274,Assumptions!$F$4:$F$44))</f>
        <v>0</v>
      </c>
      <c r="AV274" s="21" t="n">
        <f aca="false">IF($J274=0,0,MAX(0,NETWORKDAYS(MAX($K274,AV$4),MIN($L274,EOMONTH(AV$4,0)),Assumptions!$F$4:$F$44))/NETWORKDAYS($K274,$L274,Assumptions!$F$4:$F$44))</f>
        <v>0</v>
      </c>
      <c r="AW274" s="21" t="n">
        <f aca="false">IF($J274=0,0,MAX(0,NETWORKDAYS(MAX($K274,AW$4),MIN($L274,EOMONTH(AW$4,0)),Assumptions!$F$4:$F$44))/NETWORKDAYS($K274,$L274,Assumptions!$F$4:$F$44))</f>
        <v>0</v>
      </c>
      <c r="AX274" s="21" t="n">
        <f aca="false">IF($J274=0,0,MAX(0,NETWORKDAYS(MAX($K274,AX$4),MIN($L274,EOMONTH(AX$4,0)),Assumptions!$F$4:$F$44))/NETWORKDAYS($K274,$L274,Assumptions!$F$4:$F$44))</f>
        <v>0</v>
      </c>
      <c r="AY274" s="21" t="n">
        <f aca="false">IF($J274=0,0,MAX(0,NETWORKDAYS(MAX($K274,AY$4),MIN($L274,EOMONTH(AY$4,0)),Assumptions!$F$4:$F$44))/NETWORKDAYS($K274,$L274,Assumptions!$F$4:$F$44))</f>
        <v>0</v>
      </c>
      <c r="AZ274" s="21" t="n">
        <f aca="false">IF($J274=0,0,MAX(0,NETWORKDAYS(MAX($K274,AZ$4),MIN($L274,EOMONTH(AZ$4,0)),Assumptions!$F$4:$F$44))/NETWORKDAYS($K274,$L274,Assumptions!$F$4:$F$44))</f>
        <v>0</v>
      </c>
      <c r="BA274" s="21" t="n">
        <f aca="false">IF($J274=0,0,MAX(0,NETWORKDAYS(MAX($K274,BA$4),MIN($L274,EOMONTH(BA$4,0)),Assumptions!$F$4:$F$44))/NETWORKDAYS($K274,$L274,Assumptions!$F$4:$F$44))</f>
        <v>0</v>
      </c>
      <c r="BB274" s="21" t="n">
        <f aca="false">IF($J274=0,0,MAX(0,NETWORKDAYS(MAX($K274,BB$4),MIN($L274,EOMONTH(BB$4,0)),Assumptions!$F$4:$F$44))/NETWORKDAYS($K274,$L274,Assumptions!$F$4:$F$44))</f>
        <v>0</v>
      </c>
      <c r="BC274" s="21" t="n">
        <f aca="false">IF($J274=0,0,MAX(0,NETWORKDAYS(MAX($K274,BC$4),MIN($L274,EOMONTH(BC$4,0)),Assumptions!$F$4:$F$44))/NETWORKDAYS($K274,$L274,Assumptions!$F$4:$F$44))</f>
        <v>0</v>
      </c>
    </row>
    <row r="275" customFormat="false" ht="15" hidden="false" customHeight="false" outlineLevel="2" collapsed="false">
      <c r="A275" s="27" t="n">
        <v>271</v>
      </c>
      <c r="B275" s="27" t="s">
        <v>629</v>
      </c>
      <c r="C275" s="27" t="n">
        <v>3</v>
      </c>
      <c r="D275" s="27" t="s">
        <v>92</v>
      </c>
      <c r="E275" s="28" t="s">
        <v>344</v>
      </c>
      <c r="F275" s="27" t="s">
        <v>502</v>
      </c>
      <c r="G275" s="27" t="s">
        <v>604</v>
      </c>
      <c r="H275" s="27" t="s">
        <v>43</v>
      </c>
      <c r="I275" s="29" t="n">
        <v>191</v>
      </c>
      <c r="J275" s="29" t="n">
        <v>13</v>
      </c>
      <c r="K275" s="30" t="n">
        <f aca="false">WORKDAY(Assumptions!$C$4,I275,Assumptions!$F$4:$F$44)</f>
        <v>46595</v>
      </c>
      <c r="L275" s="30" t="n">
        <f aca="false">IF(J275=0,K275,WORKDAY(K275,J275-1,Assumptions!$F$4:$F$44))</f>
        <v>46611</v>
      </c>
      <c r="M275" s="29" t="s">
        <v>628</v>
      </c>
      <c r="N275" s="31" t="n">
        <v>0</v>
      </c>
      <c r="O275" s="31" t="n">
        <v>6</v>
      </c>
      <c r="P275" s="31" t="n">
        <v>0</v>
      </c>
      <c r="Q275" s="31" t="n">
        <v>0</v>
      </c>
      <c r="R275" s="31" t="n">
        <v>0</v>
      </c>
      <c r="S275" s="31" t="n">
        <v>0</v>
      </c>
      <c r="T275" s="31" t="n">
        <v>0</v>
      </c>
      <c r="U275" s="31" t="n">
        <v>0</v>
      </c>
      <c r="V275" s="31" t="n">
        <v>6</v>
      </c>
      <c r="W275" s="31" t="n">
        <v>0</v>
      </c>
      <c r="X275" s="31" t="n">
        <v>0</v>
      </c>
      <c r="Y275" s="32" t="n">
        <f aca="false">SUM(N275:X275)</f>
        <v>12</v>
      </c>
      <c r="Z275" s="32" t="n">
        <f aca="false">Y275*(1+Assumptions!$C$5)</f>
        <v>13.8</v>
      </c>
      <c r="AA275" s="27" t="s">
        <v>345</v>
      </c>
      <c r="AB275" s="27" t="s">
        <v>95</v>
      </c>
      <c r="AC275" s="27"/>
      <c r="AD275" s="33" t="n">
        <v>0</v>
      </c>
      <c r="AF275" s="21" t="n">
        <f aca="false">IF($J275=0,0,MAX(0,NETWORKDAYS(MAX($K275,AF$4),MIN($L275,EOMONTH(AF$4,0)),Assumptions!$F$4:$F$44))/NETWORKDAYS($K275,$L275,Assumptions!$F$4:$F$44))</f>
        <v>0</v>
      </c>
      <c r="AG275" s="21" t="n">
        <f aca="false">IF($J275=0,0,MAX(0,NETWORKDAYS(MAX($K275,AG$4),MIN($L275,EOMONTH(AG$4,0)),Assumptions!$F$4:$F$44))/NETWORKDAYS($K275,$L275,Assumptions!$F$4:$F$44))</f>
        <v>0</v>
      </c>
      <c r="AH275" s="21" t="n">
        <f aca="false">IF($J275=0,0,MAX(0,NETWORKDAYS(MAX($K275,AH$4),MIN($L275,EOMONTH(AH$4,0)),Assumptions!$F$4:$F$44))/NETWORKDAYS($K275,$L275,Assumptions!$F$4:$F$44))</f>
        <v>0</v>
      </c>
      <c r="AI275" s="21" t="n">
        <f aca="false">IF($J275=0,0,MAX(0,NETWORKDAYS(MAX($K275,AI$4),MIN($L275,EOMONTH(AI$4,0)),Assumptions!$F$4:$F$44))/NETWORKDAYS($K275,$L275,Assumptions!$F$4:$F$44))</f>
        <v>0</v>
      </c>
      <c r="AJ275" s="21" t="n">
        <f aca="false">IF($J275=0,0,MAX(0,NETWORKDAYS(MAX($K275,AJ$4),MIN($L275,EOMONTH(AJ$4,0)),Assumptions!$F$4:$F$44))/NETWORKDAYS($K275,$L275,Assumptions!$F$4:$F$44))</f>
        <v>0</v>
      </c>
      <c r="AK275" s="21" t="n">
        <f aca="false">IF($J275=0,0,MAX(0,NETWORKDAYS(MAX($K275,AK$4),MIN($L275,EOMONTH(AK$4,0)),Assumptions!$F$4:$F$44))/NETWORKDAYS($K275,$L275,Assumptions!$F$4:$F$44))</f>
        <v>0</v>
      </c>
      <c r="AL275" s="21" t="n">
        <f aca="false">IF($J275=0,0,MAX(0,NETWORKDAYS(MAX($K275,AL$4),MIN($L275,EOMONTH(AL$4,0)),Assumptions!$F$4:$F$44))/NETWORKDAYS($K275,$L275,Assumptions!$F$4:$F$44))</f>
        <v>0</v>
      </c>
      <c r="AM275" s="21" t="n">
        <f aca="false">IF($J275=0,0,MAX(0,NETWORKDAYS(MAX($K275,AM$4),MIN($L275,EOMONTH(AM$4,0)),Assumptions!$F$4:$F$44))/NETWORKDAYS($K275,$L275,Assumptions!$F$4:$F$44))</f>
        <v>0</v>
      </c>
      <c r="AN275" s="21" t="n">
        <f aca="false">IF($J275=0,0,MAX(0,NETWORKDAYS(MAX($K275,AN$4),MIN($L275,EOMONTH(AN$4,0)),Assumptions!$F$4:$F$44))/NETWORKDAYS($K275,$L275,Assumptions!$F$4:$F$44))</f>
        <v>0.307692307692308</v>
      </c>
      <c r="AO275" s="21" t="n">
        <f aca="false">IF($J275=0,0,MAX(0,NETWORKDAYS(MAX($K275,AO$4),MIN($L275,EOMONTH(AO$4,0)),Assumptions!$F$4:$F$44))/NETWORKDAYS($K275,$L275,Assumptions!$F$4:$F$44))</f>
        <v>0.692307692307692</v>
      </c>
      <c r="AP275" s="21" t="n">
        <f aca="false">IF($J275=0,0,MAX(0,NETWORKDAYS(MAX($K275,AP$4),MIN($L275,EOMONTH(AP$4,0)),Assumptions!$F$4:$F$44))/NETWORKDAYS($K275,$L275,Assumptions!$F$4:$F$44))</f>
        <v>0</v>
      </c>
      <c r="AQ275" s="21" t="n">
        <f aca="false">IF($J275=0,0,MAX(0,NETWORKDAYS(MAX($K275,AQ$4),MIN($L275,EOMONTH(AQ$4,0)),Assumptions!$F$4:$F$44))/NETWORKDAYS($K275,$L275,Assumptions!$F$4:$F$44))</f>
        <v>0</v>
      </c>
      <c r="AR275" s="21" t="n">
        <f aca="false">IF($J275=0,0,MAX(0,NETWORKDAYS(MAX($K275,AR$4),MIN($L275,EOMONTH(AR$4,0)),Assumptions!$F$4:$F$44))/NETWORKDAYS($K275,$L275,Assumptions!$F$4:$F$44))</f>
        <v>0</v>
      </c>
      <c r="AS275" s="21" t="n">
        <f aca="false">IF($J275=0,0,MAX(0,NETWORKDAYS(MAX($K275,AS$4),MIN($L275,EOMONTH(AS$4,0)),Assumptions!$F$4:$F$44))/NETWORKDAYS($K275,$L275,Assumptions!$F$4:$F$44))</f>
        <v>0</v>
      </c>
      <c r="AT275" s="21" t="n">
        <f aca="false">IF($J275=0,0,MAX(0,NETWORKDAYS(MAX($K275,AT$4),MIN($L275,EOMONTH(AT$4,0)),Assumptions!$F$4:$F$44))/NETWORKDAYS($K275,$L275,Assumptions!$F$4:$F$44))</f>
        <v>0</v>
      </c>
      <c r="AU275" s="21" t="n">
        <f aca="false">IF($J275=0,0,MAX(0,NETWORKDAYS(MAX($K275,AU$4),MIN($L275,EOMONTH(AU$4,0)),Assumptions!$F$4:$F$44))/NETWORKDAYS($K275,$L275,Assumptions!$F$4:$F$44))</f>
        <v>0</v>
      </c>
      <c r="AV275" s="21" t="n">
        <f aca="false">IF($J275=0,0,MAX(0,NETWORKDAYS(MAX($K275,AV$4),MIN($L275,EOMONTH(AV$4,0)),Assumptions!$F$4:$F$44))/NETWORKDAYS($K275,$L275,Assumptions!$F$4:$F$44))</f>
        <v>0</v>
      </c>
      <c r="AW275" s="21" t="n">
        <f aca="false">IF($J275=0,0,MAX(0,NETWORKDAYS(MAX($K275,AW$4),MIN($L275,EOMONTH(AW$4,0)),Assumptions!$F$4:$F$44))/NETWORKDAYS($K275,$L275,Assumptions!$F$4:$F$44))</f>
        <v>0</v>
      </c>
      <c r="AX275" s="21" t="n">
        <f aca="false">IF($J275=0,0,MAX(0,NETWORKDAYS(MAX($K275,AX$4),MIN($L275,EOMONTH(AX$4,0)),Assumptions!$F$4:$F$44))/NETWORKDAYS($K275,$L275,Assumptions!$F$4:$F$44))</f>
        <v>0</v>
      </c>
      <c r="AY275" s="21" t="n">
        <f aca="false">IF($J275=0,0,MAX(0,NETWORKDAYS(MAX($K275,AY$4),MIN($L275,EOMONTH(AY$4,0)),Assumptions!$F$4:$F$44))/NETWORKDAYS($K275,$L275,Assumptions!$F$4:$F$44))</f>
        <v>0</v>
      </c>
      <c r="AZ275" s="21" t="n">
        <f aca="false">IF($J275=0,0,MAX(0,NETWORKDAYS(MAX($K275,AZ$4),MIN($L275,EOMONTH(AZ$4,0)),Assumptions!$F$4:$F$44))/NETWORKDAYS($K275,$L275,Assumptions!$F$4:$F$44))</f>
        <v>0</v>
      </c>
      <c r="BA275" s="21" t="n">
        <f aca="false">IF($J275=0,0,MAX(0,NETWORKDAYS(MAX($K275,BA$4),MIN($L275,EOMONTH(BA$4,0)),Assumptions!$F$4:$F$44))/NETWORKDAYS($K275,$L275,Assumptions!$F$4:$F$44))</f>
        <v>0</v>
      </c>
      <c r="BB275" s="21" t="n">
        <f aca="false">IF($J275=0,0,MAX(0,NETWORKDAYS(MAX($K275,BB$4),MIN($L275,EOMONTH(BB$4,0)),Assumptions!$F$4:$F$44))/NETWORKDAYS($K275,$L275,Assumptions!$F$4:$F$44))</f>
        <v>0</v>
      </c>
      <c r="BC275" s="21" t="n">
        <f aca="false">IF($J275=0,0,MAX(0,NETWORKDAYS(MAX($K275,BC$4),MIN($L275,EOMONTH(BC$4,0)),Assumptions!$F$4:$F$44))/NETWORKDAYS($K275,$L275,Assumptions!$F$4:$F$44))</f>
        <v>0</v>
      </c>
    </row>
    <row r="276" customFormat="false" ht="15" hidden="false" customHeight="false" outlineLevel="2" collapsed="false">
      <c r="A276" s="27" t="n">
        <v>272</v>
      </c>
      <c r="B276" s="27" t="s">
        <v>630</v>
      </c>
      <c r="C276" s="27" t="n">
        <v>3</v>
      </c>
      <c r="D276" s="27" t="s">
        <v>92</v>
      </c>
      <c r="E276" s="28" t="s">
        <v>347</v>
      </c>
      <c r="F276" s="27" t="s">
        <v>502</v>
      </c>
      <c r="G276" s="27" t="s">
        <v>604</v>
      </c>
      <c r="H276" s="27" t="s">
        <v>61</v>
      </c>
      <c r="I276" s="29" t="n">
        <v>194</v>
      </c>
      <c r="J276" s="29" t="n">
        <v>13</v>
      </c>
      <c r="K276" s="30" t="n">
        <f aca="false">WORKDAY(Assumptions!$C$4,I276,Assumptions!$F$4:$F$44)</f>
        <v>46598</v>
      </c>
      <c r="L276" s="30" t="n">
        <f aca="false">IF(J276=0,K276,WORKDAY(K276,J276-1,Assumptions!$F$4:$F$44))</f>
        <v>46616</v>
      </c>
      <c r="M276" s="29" t="s">
        <v>631</v>
      </c>
      <c r="N276" s="31" t="n">
        <v>0</v>
      </c>
      <c r="O276" s="31" t="n">
        <v>2</v>
      </c>
      <c r="P276" s="31" t="n">
        <v>0</v>
      </c>
      <c r="Q276" s="31" t="n">
        <v>0</v>
      </c>
      <c r="R276" s="31" t="n">
        <v>0</v>
      </c>
      <c r="S276" s="31" t="n">
        <v>0</v>
      </c>
      <c r="T276" s="31" t="n">
        <v>0</v>
      </c>
      <c r="U276" s="31" t="n">
        <v>0</v>
      </c>
      <c r="V276" s="31" t="n">
        <v>0</v>
      </c>
      <c r="W276" s="31" t="n">
        <v>0</v>
      </c>
      <c r="X276" s="31" t="n">
        <v>7</v>
      </c>
      <c r="Y276" s="32" t="n">
        <f aca="false">SUM(N276:X276)</f>
        <v>9</v>
      </c>
      <c r="Z276" s="32" t="n">
        <f aca="false">Y276*(1+Assumptions!$C$5)</f>
        <v>10.35</v>
      </c>
      <c r="AA276" s="27" t="s">
        <v>349</v>
      </c>
      <c r="AB276" s="27" t="s">
        <v>95</v>
      </c>
      <c r="AC276" s="27"/>
      <c r="AD276" s="33" t="n">
        <v>0</v>
      </c>
      <c r="AF276" s="21" t="n">
        <f aca="false">IF($J276=0,0,MAX(0,NETWORKDAYS(MAX($K276,AF$4),MIN($L276,EOMONTH(AF$4,0)),Assumptions!$F$4:$F$44))/NETWORKDAYS($K276,$L276,Assumptions!$F$4:$F$44))</f>
        <v>0</v>
      </c>
      <c r="AG276" s="21" t="n">
        <f aca="false">IF($J276=0,0,MAX(0,NETWORKDAYS(MAX($K276,AG$4),MIN($L276,EOMONTH(AG$4,0)),Assumptions!$F$4:$F$44))/NETWORKDAYS($K276,$L276,Assumptions!$F$4:$F$44))</f>
        <v>0</v>
      </c>
      <c r="AH276" s="21" t="n">
        <f aca="false">IF($J276=0,0,MAX(0,NETWORKDAYS(MAX($K276,AH$4),MIN($L276,EOMONTH(AH$4,0)),Assumptions!$F$4:$F$44))/NETWORKDAYS($K276,$L276,Assumptions!$F$4:$F$44))</f>
        <v>0</v>
      </c>
      <c r="AI276" s="21" t="n">
        <f aca="false">IF($J276=0,0,MAX(0,NETWORKDAYS(MAX($K276,AI$4),MIN($L276,EOMONTH(AI$4,0)),Assumptions!$F$4:$F$44))/NETWORKDAYS($K276,$L276,Assumptions!$F$4:$F$44))</f>
        <v>0</v>
      </c>
      <c r="AJ276" s="21" t="n">
        <f aca="false">IF($J276=0,0,MAX(0,NETWORKDAYS(MAX($K276,AJ$4),MIN($L276,EOMONTH(AJ$4,0)),Assumptions!$F$4:$F$44))/NETWORKDAYS($K276,$L276,Assumptions!$F$4:$F$44))</f>
        <v>0</v>
      </c>
      <c r="AK276" s="21" t="n">
        <f aca="false">IF($J276=0,0,MAX(0,NETWORKDAYS(MAX($K276,AK$4),MIN($L276,EOMONTH(AK$4,0)),Assumptions!$F$4:$F$44))/NETWORKDAYS($K276,$L276,Assumptions!$F$4:$F$44))</f>
        <v>0</v>
      </c>
      <c r="AL276" s="21" t="n">
        <f aca="false">IF($J276=0,0,MAX(0,NETWORKDAYS(MAX($K276,AL$4),MIN($L276,EOMONTH(AL$4,0)),Assumptions!$F$4:$F$44))/NETWORKDAYS($K276,$L276,Assumptions!$F$4:$F$44))</f>
        <v>0</v>
      </c>
      <c r="AM276" s="21" t="n">
        <f aca="false">IF($J276=0,0,MAX(0,NETWORKDAYS(MAX($K276,AM$4),MIN($L276,EOMONTH(AM$4,0)),Assumptions!$F$4:$F$44))/NETWORKDAYS($K276,$L276,Assumptions!$F$4:$F$44))</f>
        <v>0</v>
      </c>
      <c r="AN276" s="21" t="n">
        <f aca="false">IF($J276=0,0,MAX(0,NETWORKDAYS(MAX($K276,AN$4),MIN($L276,EOMONTH(AN$4,0)),Assumptions!$F$4:$F$44))/NETWORKDAYS($K276,$L276,Assumptions!$F$4:$F$44))</f>
        <v>0.0769230769230769</v>
      </c>
      <c r="AO276" s="21" t="n">
        <f aca="false">IF($J276=0,0,MAX(0,NETWORKDAYS(MAX($K276,AO$4),MIN($L276,EOMONTH(AO$4,0)),Assumptions!$F$4:$F$44))/NETWORKDAYS($K276,$L276,Assumptions!$F$4:$F$44))</f>
        <v>0.923076923076923</v>
      </c>
      <c r="AP276" s="21" t="n">
        <f aca="false">IF($J276=0,0,MAX(0,NETWORKDAYS(MAX($K276,AP$4),MIN($L276,EOMONTH(AP$4,0)),Assumptions!$F$4:$F$44))/NETWORKDAYS($K276,$L276,Assumptions!$F$4:$F$44))</f>
        <v>0</v>
      </c>
      <c r="AQ276" s="21" t="n">
        <f aca="false">IF($J276=0,0,MAX(0,NETWORKDAYS(MAX($K276,AQ$4),MIN($L276,EOMONTH(AQ$4,0)),Assumptions!$F$4:$F$44))/NETWORKDAYS($K276,$L276,Assumptions!$F$4:$F$44))</f>
        <v>0</v>
      </c>
      <c r="AR276" s="21" t="n">
        <f aca="false">IF($J276=0,0,MAX(0,NETWORKDAYS(MAX($K276,AR$4),MIN($L276,EOMONTH(AR$4,0)),Assumptions!$F$4:$F$44))/NETWORKDAYS($K276,$L276,Assumptions!$F$4:$F$44))</f>
        <v>0</v>
      </c>
      <c r="AS276" s="21" t="n">
        <f aca="false">IF($J276=0,0,MAX(0,NETWORKDAYS(MAX($K276,AS$4),MIN($L276,EOMONTH(AS$4,0)),Assumptions!$F$4:$F$44))/NETWORKDAYS($K276,$L276,Assumptions!$F$4:$F$44))</f>
        <v>0</v>
      </c>
      <c r="AT276" s="21" t="n">
        <f aca="false">IF($J276=0,0,MAX(0,NETWORKDAYS(MAX($K276,AT$4),MIN($L276,EOMONTH(AT$4,0)),Assumptions!$F$4:$F$44))/NETWORKDAYS($K276,$L276,Assumptions!$F$4:$F$44))</f>
        <v>0</v>
      </c>
      <c r="AU276" s="21" t="n">
        <f aca="false">IF($J276=0,0,MAX(0,NETWORKDAYS(MAX($K276,AU$4),MIN($L276,EOMONTH(AU$4,0)),Assumptions!$F$4:$F$44))/NETWORKDAYS($K276,$L276,Assumptions!$F$4:$F$44))</f>
        <v>0</v>
      </c>
      <c r="AV276" s="21" t="n">
        <f aca="false">IF($J276=0,0,MAX(0,NETWORKDAYS(MAX($K276,AV$4),MIN($L276,EOMONTH(AV$4,0)),Assumptions!$F$4:$F$44))/NETWORKDAYS($K276,$L276,Assumptions!$F$4:$F$44))</f>
        <v>0</v>
      </c>
      <c r="AW276" s="21" t="n">
        <f aca="false">IF($J276=0,0,MAX(0,NETWORKDAYS(MAX($K276,AW$4),MIN($L276,EOMONTH(AW$4,0)),Assumptions!$F$4:$F$44))/NETWORKDAYS($K276,$L276,Assumptions!$F$4:$F$44))</f>
        <v>0</v>
      </c>
      <c r="AX276" s="21" t="n">
        <f aca="false">IF($J276=0,0,MAX(0,NETWORKDAYS(MAX($K276,AX$4),MIN($L276,EOMONTH(AX$4,0)),Assumptions!$F$4:$F$44))/NETWORKDAYS($K276,$L276,Assumptions!$F$4:$F$44))</f>
        <v>0</v>
      </c>
      <c r="AY276" s="21" t="n">
        <f aca="false">IF($J276=0,0,MAX(0,NETWORKDAYS(MAX($K276,AY$4),MIN($L276,EOMONTH(AY$4,0)),Assumptions!$F$4:$F$44))/NETWORKDAYS($K276,$L276,Assumptions!$F$4:$F$44))</f>
        <v>0</v>
      </c>
      <c r="AZ276" s="21" t="n">
        <f aca="false">IF($J276=0,0,MAX(0,NETWORKDAYS(MAX($K276,AZ$4),MIN($L276,EOMONTH(AZ$4,0)),Assumptions!$F$4:$F$44))/NETWORKDAYS($K276,$L276,Assumptions!$F$4:$F$44))</f>
        <v>0</v>
      </c>
      <c r="BA276" s="21" t="n">
        <f aca="false">IF($J276=0,0,MAX(0,NETWORKDAYS(MAX($K276,BA$4),MIN($L276,EOMONTH(BA$4,0)),Assumptions!$F$4:$F$44))/NETWORKDAYS($K276,$L276,Assumptions!$F$4:$F$44))</f>
        <v>0</v>
      </c>
      <c r="BB276" s="21" t="n">
        <f aca="false">IF($J276=0,0,MAX(0,NETWORKDAYS(MAX($K276,BB$4),MIN($L276,EOMONTH(BB$4,0)),Assumptions!$F$4:$F$44))/NETWORKDAYS($K276,$L276,Assumptions!$F$4:$F$44))</f>
        <v>0</v>
      </c>
      <c r="BC276" s="21" t="n">
        <f aca="false">IF($J276=0,0,MAX(0,NETWORKDAYS(MAX($K276,BC$4),MIN($L276,EOMONTH(BC$4,0)),Assumptions!$F$4:$F$44))/NETWORKDAYS($K276,$L276,Assumptions!$F$4:$F$44))</f>
        <v>0</v>
      </c>
    </row>
    <row r="277" customFormat="false" ht="15" hidden="false" customHeight="false" outlineLevel="1" collapsed="false">
      <c r="A277" s="22" t="n">
        <v>273</v>
      </c>
      <c r="B277" s="22" t="s">
        <v>632</v>
      </c>
      <c r="C277" s="22" t="n">
        <v>2</v>
      </c>
      <c r="D277" s="22" t="s">
        <v>89</v>
      </c>
      <c r="E277" s="23" t="s">
        <v>633</v>
      </c>
      <c r="F277" s="22" t="s">
        <v>502</v>
      </c>
      <c r="G277" s="22" t="s">
        <v>634</v>
      </c>
      <c r="H277" s="22"/>
      <c r="I277" s="22"/>
      <c r="J277" s="22" t="n">
        <f aca="false">NETWORKDAYS(K277,L277,Assumptions!$F$4:$F$44)</f>
        <v>119</v>
      </c>
      <c r="K277" s="24" t="n">
        <f aca="false">MIN(K278:K293)</f>
        <v>46450</v>
      </c>
      <c r="L277" s="24" t="n">
        <f aca="false">MAX(L278:L293)</f>
        <v>46616</v>
      </c>
      <c r="M277" s="22"/>
      <c r="N277" s="25" t="n">
        <f aca="false">SUMPRODUCT(($C$278:$C$293=3)*(N278:N293))</f>
        <v>1</v>
      </c>
      <c r="O277" s="25" t="n">
        <f aca="false">SUMPRODUCT(($C$278:$C$293=3)*(O278:O293))</f>
        <v>21</v>
      </c>
      <c r="P277" s="25" t="n">
        <f aca="false">SUMPRODUCT(($C$278:$C$293=3)*(P278:P293))</f>
        <v>6</v>
      </c>
      <c r="Q277" s="25" t="n">
        <f aca="false">SUMPRODUCT(($C$278:$C$293=3)*(Q278:Q293))</f>
        <v>81</v>
      </c>
      <c r="R277" s="25" t="n">
        <f aca="false">SUMPRODUCT(($C$278:$C$293=3)*(R278:R293))</f>
        <v>45</v>
      </c>
      <c r="S277" s="25" t="n">
        <f aca="false">SUMPRODUCT(($C$278:$C$293=3)*(S278:S293))</f>
        <v>15</v>
      </c>
      <c r="T277" s="25" t="n">
        <f aca="false">SUMPRODUCT(($C$278:$C$293=3)*(T278:T293))</f>
        <v>9</v>
      </c>
      <c r="U277" s="25" t="n">
        <f aca="false">SUMPRODUCT(($C$278:$C$293=3)*(U278:U293))</f>
        <v>0</v>
      </c>
      <c r="V277" s="25" t="n">
        <f aca="false">SUMPRODUCT(($C$278:$C$293=3)*(V278:V293))</f>
        <v>29</v>
      </c>
      <c r="W277" s="25" t="n">
        <f aca="false">SUMPRODUCT(($C$278:$C$293=3)*(W278:W293))</f>
        <v>0</v>
      </c>
      <c r="X277" s="25" t="n">
        <f aca="false">SUMPRODUCT(($C$278:$C$293=3)*(X278:X293))</f>
        <v>5</v>
      </c>
      <c r="Y277" s="25" t="n">
        <f aca="false">SUM(N277:X277)</f>
        <v>212</v>
      </c>
      <c r="Z277" s="25" t="n">
        <f aca="false">Y277*(1+Assumptions!$C$5)</f>
        <v>243.8</v>
      </c>
      <c r="AA277" s="22" t="s">
        <v>635</v>
      </c>
      <c r="AB277" s="22"/>
      <c r="AC277" s="22"/>
      <c r="AD277" s="26"/>
      <c r="AF277" s="21" t="n">
        <v>0</v>
      </c>
      <c r="AG277" s="21" t="n">
        <v>0</v>
      </c>
      <c r="AH277" s="21" t="n">
        <v>0</v>
      </c>
      <c r="AI277" s="21" t="n">
        <v>0</v>
      </c>
      <c r="AJ277" s="21" t="n">
        <v>0</v>
      </c>
      <c r="AK277" s="21" t="n">
        <v>0</v>
      </c>
      <c r="AL277" s="21" t="n">
        <v>0</v>
      </c>
      <c r="AM277" s="21" t="n">
        <v>0</v>
      </c>
      <c r="AN277" s="21" t="n">
        <v>0</v>
      </c>
      <c r="AO277" s="21" t="n">
        <v>0</v>
      </c>
      <c r="AP277" s="21" t="n">
        <v>0</v>
      </c>
      <c r="AQ277" s="21" t="n">
        <v>0</v>
      </c>
      <c r="AR277" s="21" t="n">
        <v>0</v>
      </c>
      <c r="AS277" s="21" t="n">
        <v>0</v>
      </c>
      <c r="AT277" s="21" t="n">
        <v>0</v>
      </c>
      <c r="AU277" s="21" t="n">
        <v>0</v>
      </c>
      <c r="AV277" s="21" t="n">
        <v>0</v>
      </c>
      <c r="AW277" s="21" t="n">
        <v>0</v>
      </c>
      <c r="AX277" s="21" t="n">
        <v>0</v>
      </c>
      <c r="AY277" s="21" t="n">
        <v>0</v>
      </c>
      <c r="AZ277" s="21" t="n">
        <v>0</v>
      </c>
      <c r="BA277" s="21" t="n">
        <v>0</v>
      </c>
      <c r="BB277" s="21" t="n">
        <v>0</v>
      </c>
      <c r="BC277" s="21" t="n">
        <v>0</v>
      </c>
    </row>
    <row r="278" customFormat="false" ht="15" hidden="false" customHeight="false" outlineLevel="2" collapsed="false">
      <c r="A278" s="27" t="n">
        <v>274</v>
      </c>
      <c r="B278" s="27" t="s">
        <v>636</v>
      </c>
      <c r="C278" s="27" t="n">
        <v>3</v>
      </c>
      <c r="D278" s="27" t="s">
        <v>92</v>
      </c>
      <c r="E278" s="28" t="s">
        <v>292</v>
      </c>
      <c r="F278" s="27" t="s">
        <v>502</v>
      </c>
      <c r="G278" s="27" t="s">
        <v>634</v>
      </c>
      <c r="H278" s="27" t="s">
        <v>43</v>
      </c>
      <c r="I278" s="29" t="n">
        <v>88</v>
      </c>
      <c r="J278" s="29" t="n">
        <v>16</v>
      </c>
      <c r="K278" s="30" t="n">
        <f aca="false">WORKDAY(Assumptions!$C$4,I278,Assumptions!$F$4:$F$44)</f>
        <v>46450</v>
      </c>
      <c r="L278" s="30" t="n">
        <f aca="false">IF(J278=0,K278,WORKDAY(K278,J278-1,Assumptions!$F$4:$F$44))</f>
        <v>46471</v>
      </c>
      <c r="M278" s="29" t="s">
        <v>515</v>
      </c>
      <c r="N278" s="31" t="n">
        <v>1</v>
      </c>
      <c r="O278" s="31" t="n">
        <v>7</v>
      </c>
      <c r="P278" s="31" t="n">
        <v>2</v>
      </c>
      <c r="Q278" s="31" t="n">
        <v>0</v>
      </c>
      <c r="R278" s="31" t="n">
        <v>0</v>
      </c>
      <c r="S278" s="31" t="n">
        <v>0</v>
      </c>
      <c r="T278" s="31" t="n">
        <v>0</v>
      </c>
      <c r="U278" s="31" t="n">
        <v>0</v>
      </c>
      <c r="V278" s="31" t="n">
        <v>0</v>
      </c>
      <c r="W278" s="31" t="n">
        <v>0</v>
      </c>
      <c r="X278" s="31" t="n">
        <v>0</v>
      </c>
      <c r="Y278" s="32" t="n">
        <f aca="false">SUM(N278:X278)</f>
        <v>10</v>
      </c>
      <c r="Z278" s="32" t="n">
        <f aca="false">Y278*(1+Assumptions!$C$5)</f>
        <v>11.5</v>
      </c>
      <c r="AA278" s="27" t="s">
        <v>294</v>
      </c>
      <c r="AB278" s="27" t="s">
        <v>95</v>
      </c>
      <c r="AC278" s="27"/>
      <c r="AD278" s="33" t="n">
        <v>0</v>
      </c>
      <c r="AF278" s="21" t="n">
        <f aca="false">IF($J278=0,0,MAX(0,NETWORKDAYS(MAX($K278,AF$4),MIN($L278,EOMONTH(AF$4,0)),Assumptions!$F$4:$F$44))/NETWORKDAYS($K278,$L278,Assumptions!$F$4:$F$44))</f>
        <v>0</v>
      </c>
      <c r="AG278" s="21" t="n">
        <f aca="false">IF($J278=0,0,MAX(0,NETWORKDAYS(MAX($K278,AG$4),MIN($L278,EOMONTH(AG$4,0)),Assumptions!$F$4:$F$44))/NETWORKDAYS($K278,$L278,Assumptions!$F$4:$F$44))</f>
        <v>0</v>
      </c>
      <c r="AH278" s="21" t="n">
        <f aca="false">IF($J278=0,0,MAX(0,NETWORKDAYS(MAX($K278,AH$4),MIN($L278,EOMONTH(AH$4,0)),Assumptions!$F$4:$F$44))/NETWORKDAYS($K278,$L278,Assumptions!$F$4:$F$44))</f>
        <v>0</v>
      </c>
      <c r="AI278" s="21" t="n">
        <f aca="false">IF($J278=0,0,MAX(0,NETWORKDAYS(MAX($K278,AI$4),MIN($L278,EOMONTH(AI$4,0)),Assumptions!$F$4:$F$44))/NETWORKDAYS($K278,$L278,Assumptions!$F$4:$F$44))</f>
        <v>0</v>
      </c>
      <c r="AJ278" s="21" t="n">
        <f aca="false">IF($J278=0,0,MAX(0,NETWORKDAYS(MAX($K278,AJ$4),MIN($L278,EOMONTH(AJ$4,0)),Assumptions!$F$4:$F$44))/NETWORKDAYS($K278,$L278,Assumptions!$F$4:$F$44))</f>
        <v>1</v>
      </c>
      <c r="AK278" s="21" t="n">
        <f aca="false">IF($J278=0,0,MAX(0,NETWORKDAYS(MAX($K278,AK$4),MIN($L278,EOMONTH(AK$4,0)),Assumptions!$F$4:$F$44))/NETWORKDAYS($K278,$L278,Assumptions!$F$4:$F$44))</f>
        <v>0</v>
      </c>
      <c r="AL278" s="21" t="n">
        <f aca="false">IF($J278=0,0,MAX(0,NETWORKDAYS(MAX($K278,AL$4),MIN($L278,EOMONTH(AL$4,0)),Assumptions!$F$4:$F$44))/NETWORKDAYS($K278,$L278,Assumptions!$F$4:$F$44))</f>
        <v>0</v>
      </c>
      <c r="AM278" s="21" t="n">
        <f aca="false">IF($J278=0,0,MAX(0,NETWORKDAYS(MAX($K278,AM$4),MIN($L278,EOMONTH(AM$4,0)),Assumptions!$F$4:$F$44))/NETWORKDAYS($K278,$L278,Assumptions!$F$4:$F$44))</f>
        <v>0</v>
      </c>
      <c r="AN278" s="21" t="n">
        <f aca="false">IF($J278=0,0,MAX(0,NETWORKDAYS(MAX($K278,AN$4),MIN($L278,EOMONTH(AN$4,0)),Assumptions!$F$4:$F$44))/NETWORKDAYS($K278,$L278,Assumptions!$F$4:$F$44))</f>
        <v>0</v>
      </c>
      <c r="AO278" s="21" t="n">
        <f aca="false">IF($J278=0,0,MAX(0,NETWORKDAYS(MAX($K278,AO$4),MIN($L278,EOMONTH(AO$4,0)),Assumptions!$F$4:$F$44))/NETWORKDAYS($K278,$L278,Assumptions!$F$4:$F$44))</f>
        <v>0</v>
      </c>
      <c r="AP278" s="21" t="n">
        <f aca="false">IF($J278=0,0,MAX(0,NETWORKDAYS(MAX($K278,AP$4),MIN($L278,EOMONTH(AP$4,0)),Assumptions!$F$4:$F$44))/NETWORKDAYS($K278,$L278,Assumptions!$F$4:$F$44))</f>
        <v>0</v>
      </c>
      <c r="AQ278" s="21" t="n">
        <f aca="false">IF($J278=0,0,MAX(0,NETWORKDAYS(MAX($K278,AQ$4),MIN($L278,EOMONTH(AQ$4,0)),Assumptions!$F$4:$F$44))/NETWORKDAYS($K278,$L278,Assumptions!$F$4:$F$44))</f>
        <v>0</v>
      </c>
      <c r="AR278" s="21" t="n">
        <f aca="false">IF($J278=0,0,MAX(0,NETWORKDAYS(MAX($K278,AR$4),MIN($L278,EOMONTH(AR$4,0)),Assumptions!$F$4:$F$44))/NETWORKDAYS($K278,$L278,Assumptions!$F$4:$F$44))</f>
        <v>0</v>
      </c>
      <c r="AS278" s="21" t="n">
        <f aca="false">IF($J278=0,0,MAX(0,NETWORKDAYS(MAX($K278,AS$4),MIN($L278,EOMONTH(AS$4,0)),Assumptions!$F$4:$F$44))/NETWORKDAYS($K278,$L278,Assumptions!$F$4:$F$44))</f>
        <v>0</v>
      </c>
      <c r="AT278" s="21" t="n">
        <f aca="false">IF($J278=0,0,MAX(0,NETWORKDAYS(MAX($K278,AT$4),MIN($L278,EOMONTH(AT$4,0)),Assumptions!$F$4:$F$44))/NETWORKDAYS($K278,$L278,Assumptions!$F$4:$F$44))</f>
        <v>0</v>
      </c>
      <c r="AU278" s="21" t="n">
        <f aca="false">IF($J278=0,0,MAX(0,NETWORKDAYS(MAX($K278,AU$4),MIN($L278,EOMONTH(AU$4,0)),Assumptions!$F$4:$F$44))/NETWORKDAYS($K278,$L278,Assumptions!$F$4:$F$44))</f>
        <v>0</v>
      </c>
      <c r="AV278" s="21" t="n">
        <f aca="false">IF($J278=0,0,MAX(0,NETWORKDAYS(MAX($K278,AV$4),MIN($L278,EOMONTH(AV$4,0)),Assumptions!$F$4:$F$44))/NETWORKDAYS($K278,$L278,Assumptions!$F$4:$F$44))</f>
        <v>0</v>
      </c>
      <c r="AW278" s="21" t="n">
        <f aca="false">IF($J278=0,0,MAX(0,NETWORKDAYS(MAX($K278,AW$4),MIN($L278,EOMONTH(AW$4,0)),Assumptions!$F$4:$F$44))/NETWORKDAYS($K278,$L278,Assumptions!$F$4:$F$44))</f>
        <v>0</v>
      </c>
      <c r="AX278" s="21" t="n">
        <f aca="false">IF($J278=0,0,MAX(0,NETWORKDAYS(MAX($K278,AX$4),MIN($L278,EOMONTH(AX$4,0)),Assumptions!$F$4:$F$44))/NETWORKDAYS($K278,$L278,Assumptions!$F$4:$F$44))</f>
        <v>0</v>
      </c>
      <c r="AY278" s="21" t="n">
        <f aca="false">IF($J278=0,0,MAX(0,NETWORKDAYS(MAX($K278,AY$4),MIN($L278,EOMONTH(AY$4,0)),Assumptions!$F$4:$F$44))/NETWORKDAYS($K278,$L278,Assumptions!$F$4:$F$44))</f>
        <v>0</v>
      </c>
      <c r="AZ278" s="21" t="n">
        <f aca="false">IF($J278=0,0,MAX(0,NETWORKDAYS(MAX($K278,AZ$4),MIN($L278,EOMONTH(AZ$4,0)),Assumptions!$F$4:$F$44))/NETWORKDAYS($K278,$L278,Assumptions!$F$4:$F$44))</f>
        <v>0</v>
      </c>
      <c r="BA278" s="21" t="n">
        <f aca="false">IF($J278=0,0,MAX(0,NETWORKDAYS(MAX($K278,BA$4),MIN($L278,EOMONTH(BA$4,0)),Assumptions!$F$4:$F$44))/NETWORKDAYS($K278,$L278,Assumptions!$F$4:$F$44))</f>
        <v>0</v>
      </c>
      <c r="BB278" s="21" t="n">
        <f aca="false">IF($J278=0,0,MAX(0,NETWORKDAYS(MAX($K278,BB$4),MIN($L278,EOMONTH(BB$4,0)),Assumptions!$F$4:$F$44))/NETWORKDAYS($K278,$L278,Assumptions!$F$4:$F$44))</f>
        <v>0</v>
      </c>
      <c r="BC278" s="21" t="n">
        <f aca="false">IF($J278=0,0,MAX(0,NETWORKDAYS(MAX($K278,BC$4),MIN($L278,EOMONTH(BC$4,0)),Assumptions!$F$4:$F$44))/NETWORKDAYS($K278,$L278,Assumptions!$F$4:$F$44))</f>
        <v>0</v>
      </c>
    </row>
    <row r="279" customFormat="false" ht="15" hidden="false" customHeight="false" outlineLevel="2" collapsed="false">
      <c r="A279" s="27" t="n">
        <v>275</v>
      </c>
      <c r="B279" s="27" t="s">
        <v>637</v>
      </c>
      <c r="C279" s="27" t="n">
        <v>3</v>
      </c>
      <c r="D279" s="27" t="s">
        <v>92</v>
      </c>
      <c r="E279" s="28" t="s">
        <v>296</v>
      </c>
      <c r="F279" s="27" t="s">
        <v>502</v>
      </c>
      <c r="G279" s="27" t="s">
        <v>634</v>
      </c>
      <c r="H279" s="27" t="s">
        <v>45</v>
      </c>
      <c r="I279" s="29" t="n">
        <v>99</v>
      </c>
      <c r="J279" s="29" t="n">
        <v>16</v>
      </c>
      <c r="K279" s="30" t="n">
        <f aca="false">WORKDAY(Assumptions!$C$4,I279,Assumptions!$F$4:$F$44)</f>
        <v>46465</v>
      </c>
      <c r="L279" s="30" t="n">
        <f aca="false">IF(J279=0,K279,WORKDAY(K279,J279-1,Assumptions!$F$4:$F$44))</f>
        <v>46486</v>
      </c>
      <c r="M279" s="29" t="s">
        <v>638</v>
      </c>
      <c r="N279" s="31" t="n">
        <v>0</v>
      </c>
      <c r="O279" s="31" t="n">
        <v>0</v>
      </c>
      <c r="P279" s="31" t="n">
        <v>4</v>
      </c>
      <c r="Q279" s="31" t="n">
        <v>4</v>
      </c>
      <c r="R279" s="31" t="n">
        <v>0</v>
      </c>
      <c r="S279" s="31" t="n">
        <v>0</v>
      </c>
      <c r="T279" s="31" t="n">
        <v>0</v>
      </c>
      <c r="U279" s="31" t="n">
        <v>0</v>
      </c>
      <c r="V279" s="31" t="n">
        <v>0</v>
      </c>
      <c r="W279" s="31" t="n">
        <v>0</v>
      </c>
      <c r="X279" s="31" t="n">
        <v>0</v>
      </c>
      <c r="Y279" s="32" t="n">
        <f aca="false">SUM(N279:X279)</f>
        <v>8</v>
      </c>
      <c r="Z279" s="32" t="n">
        <f aca="false">Y279*(1+Assumptions!$C$5)</f>
        <v>9.2</v>
      </c>
      <c r="AA279" s="27" t="s">
        <v>298</v>
      </c>
      <c r="AB279" s="27" t="s">
        <v>95</v>
      </c>
      <c r="AC279" s="27"/>
      <c r="AD279" s="33" t="n">
        <v>0</v>
      </c>
      <c r="AF279" s="21" t="n">
        <f aca="false">IF($J279=0,0,MAX(0,NETWORKDAYS(MAX($K279,AF$4),MIN($L279,EOMONTH(AF$4,0)),Assumptions!$F$4:$F$44))/NETWORKDAYS($K279,$L279,Assumptions!$F$4:$F$44))</f>
        <v>0</v>
      </c>
      <c r="AG279" s="21" t="n">
        <f aca="false">IF($J279=0,0,MAX(0,NETWORKDAYS(MAX($K279,AG$4),MIN($L279,EOMONTH(AG$4,0)),Assumptions!$F$4:$F$44))/NETWORKDAYS($K279,$L279,Assumptions!$F$4:$F$44))</f>
        <v>0</v>
      </c>
      <c r="AH279" s="21" t="n">
        <f aca="false">IF($J279=0,0,MAX(0,NETWORKDAYS(MAX($K279,AH$4),MIN($L279,EOMONTH(AH$4,0)),Assumptions!$F$4:$F$44))/NETWORKDAYS($K279,$L279,Assumptions!$F$4:$F$44))</f>
        <v>0</v>
      </c>
      <c r="AI279" s="21" t="n">
        <f aca="false">IF($J279=0,0,MAX(0,NETWORKDAYS(MAX($K279,AI$4),MIN($L279,EOMONTH(AI$4,0)),Assumptions!$F$4:$F$44))/NETWORKDAYS($K279,$L279,Assumptions!$F$4:$F$44))</f>
        <v>0</v>
      </c>
      <c r="AJ279" s="21" t="n">
        <f aca="false">IF($J279=0,0,MAX(0,NETWORKDAYS(MAX($K279,AJ$4),MIN($L279,EOMONTH(AJ$4,0)),Assumptions!$F$4:$F$44))/NETWORKDAYS($K279,$L279,Assumptions!$F$4:$F$44))</f>
        <v>0.5625</v>
      </c>
      <c r="AK279" s="21" t="n">
        <f aca="false">IF($J279=0,0,MAX(0,NETWORKDAYS(MAX($K279,AK$4),MIN($L279,EOMONTH(AK$4,0)),Assumptions!$F$4:$F$44))/NETWORKDAYS($K279,$L279,Assumptions!$F$4:$F$44))</f>
        <v>0.4375</v>
      </c>
      <c r="AL279" s="21" t="n">
        <f aca="false">IF($J279=0,0,MAX(0,NETWORKDAYS(MAX($K279,AL$4),MIN($L279,EOMONTH(AL$4,0)),Assumptions!$F$4:$F$44))/NETWORKDAYS($K279,$L279,Assumptions!$F$4:$F$44))</f>
        <v>0</v>
      </c>
      <c r="AM279" s="21" t="n">
        <f aca="false">IF($J279=0,0,MAX(0,NETWORKDAYS(MAX($K279,AM$4),MIN($L279,EOMONTH(AM$4,0)),Assumptions!$F$4:$F$44))/NETWORKDAYS($K279,$L279,Assumptions!$F$4:$F$44))</f>
        <v>0</v>
      </c>
      <c r="AN279" s="21" t="n">
        <f aca="false">IF($J279=0,0,MAX(0,NETWORKDAYS(MAX($K279,AN$4),MIN($L279,EOMONTH(AN$4,0)),Assumptions!$F$4:$F$44))/NETWORKDAYS($K279,$L279,Assumptions!$F$4:$F$44))</f>
        <v>0</v>
      </c>
      <c r="AO279" s="21" t="n">
        <f aca="false">IF($J279=0,0,MAX(0,NETWORKDAYS(MAX($K279,AO$4),MIN($L279,EOMONTH(AO$4,0)),Assumptions!$F$4:$F$44))/NETWORKDAYS($K279,$L279,Assumptions!$F$4:$F$44))</f>
        <v>0</v>
      </c>
      <c r="AP279" s="21" t="n">
        <f aca="false">IF($J279=0,0,MAX(0,NETWORKDAYS(MAX($K279,AP$4),MIN($L279,EOMONTH(AP$4,0)),Assumptions!$F$4:$F$44))/NETWORKDAYS($K279,$L279,Assumptions!$F$4:$F$44))</f>
        <v>0</v>
      </c>
      <c r="AQ279" s="21" t="n">
        <f aca="false">IF($J279=0,0,MAX(0,NETWORKDAYS(MAX($K279,AQ$4),MIN($L279,EOMONTH(AQ$4,0)),Assumptions!$F$4:$F$44))/NETWORKDAYS($K279,$L279,Assumptions!$F$4:$F$44))</f>
        <v>0</v>
      </c>
      <c r="AR279" s="21" t="n">
        <f aca="false">IF($J279=0,0,MAX(0,NETWORKDAYS(MAX($K279,AR$4),MIN($L279,EOMONTH(AR$4,0)),Assumptions!$F$4:$F$44))/NETWORKDAYS($K279,$L279,Assumptions!$F$4:$F$44))</f>
        <v>0</v>
      </c>
      <c r="AS279" s="21" t="n">
        <f aca="false">IF($J279=0,0,MAX(0,NETWORKDAYS(MAX($K279,AS$4),MIN($L279,EOMONTH(AS$4,0)),Assumptions!$F$4:$F$44))/NETWORKDAYS($K279,$L279,Assumptions!$F$4:$F$44))</f>
        <v>0</v>
      </c>
      <c r="AT279" s="21" t="n">
        <f aca="false">IF($J279=0,0,MAX(0,NETWORKDAYS(MAX($K279,AT$4),MIN($L279,EOMONTH(AT$4,0)),Assumptions!$F$4:$F$44))/NETWORKDAYS($K279,$L279,Assumptions!$F$4:$F$44))</f>
        <v>0</v>
      </c>
      <c r="AU279" s="21" t="n">
        <f aca="false">IF($J279=0,0,MAX(0,NETWORKDAYS(MAX($K279,AU$4),MIN($L279,EOMONTH(AU$4,0)),Assumptions!$F$4:$F$44))/NETWORKDAYS($K279,$L279,Assumptions!$F$4:$F$44))</f>
        <v>0</v>
      </c>
      <c r="AV279" s="21" t="n">
        <f aca="false">IF($J279=0,0,MAX(0,NETWORKDAYS(MAX($K279,AV$4),MIN($L279,EOMONTH(AV$4,0)),Assumptions!$F$4:$F$44))/NETWORKDAYS($K279,$L279,Assumptions!$F$4:$F$44))</f>
        <v>0</v>
      </c>
      <c r="AW279" s="21" t="n">
        <f aca="false">IF($J279=0,0,MAX(0,NETWORKDAYS(MAX($K279,AW$4),MIN($L279,EOMONTH(AW$4,0)),Assumptions!$F$4:$F$44))/NETWORKDAYS($K279,$L279,Assumptions!$F$4:$F$44))</f>
        <v>0</v>
      </c>
      <c r="AX279" s="21" t="n">
        <f aca="false">IF($J279=0,0,MAX(0,NETWORKDAYS(MAX($K279,AX$4),MIN($L279,EOMONTH(AX$4,0)),Assumptions!$F$4:$F$44))/NETWORKDAYS($K279,$L279,Assumptions!$F$4:$F$44))</f>
        <v>0</v>
      </c>
      <c r="AY279" s="21" t="n">
        <f aca="false">IF($J279=0,0,MAX(0,NETWORKDAYS(MAX($K279,AY$4),MIN($L279,EOMONTH(AY$4,0)),Assumptions!$F$4:$F$44))/NETWORKDAYS($K279,$L279,Assumptions!$F$4:$F$44))</f>
        <v>0</v>
      </c>
      <c r="AZ279" s="21" t="n">
        <f aca="false">IF($J279=0,0,MAX(0,NETWORKDAYS(MAX($K279,AZ$4),MIN($L279,EOMONTH(AZ$4,0)),Assumptions!$F$4:$F$44))/NETWORKDAYS($K279,$L279,Assumptions!$F$4:$F$44))</f>
        <v>0</v>
      </c>
      <c r="BA279" s="21" t="n">
        <f aca="false">IF($J279=0,0,MAX(0,NETWORKDAYS(MAX($K279,BA$4),MIN($L279,EOMONTH(BA$4,0)),Assumptions!$F$4:$F$44))/NETWORKDAYS($K279,$L279,Assumptions!$F$4:$F$44))</f>
        <v>0</v>
      </c>
      <c r="BB279" s="21" t="n">
        <f aca="false">IF($J279=0,0,MAX(0,NETWORKDAYS(MAX($K279,BB$4),MIN($L279,EOMONTH(BB$4,0)),Assumptions!$F$4:$F$44))/NETWORKDAYS($K279,$L279,Assumptions!$F$4:$F$44))</f>
        <v>0</v>
      </c>
      <c r="BC279" s="21" t="n">
        <f aca="false">IF($J279=0,0,MAX(0,NETWORKDAYS(MAX($K279,BC$4),MIN($L279,EOMONTH(BC$4,0)),Assumptions!$F$4:$F$44))/NETWORKDAYS($K279,$L279,Assumptions!$F$4:$F$44))</f>
        <v>0</v>
      </c>
    </row>
    <row r="280" customFormat="false" ht="15" hidden="false" customHeight="false" outlineLevel="2" collapsed="false">
      <c r="A280" s="27" t="n">
        <v>276</v>
      </c>
      <c r="B280" s="27" t="s">
        <v>639</v>
      </c>
      <c r="C280" s="27" t="n">
        <v>3</v>
      </c>
      <c r="D280" s="27" t="s">
        <v>92</v>
      </c>
      <c r="E280" s="28" t="s">
        <v>300</v>
      </c>
      <c r="F280" s="27" t="s">
        <v>502</v>
      </c>
      <c r="G280" s="27" t="s">
        <v>634</v>
      </c>
      <c r="H280" s="27" t="s">
        <v>49</v>
      </c>
      <c r="I280" s="29" t="n">
        <v>99</v>
      </c>
      <c r="J280" s="29" t="n">
        <v>16</v>
      </c>
      <c r="K280" s="30" t="n">
        <f aca="false">WORKDAY(Assumptions!$C$4,I280,Assumptions!$F$4:$F$44)</f>
        <v>46465</v>
      </c>
      <c r="L280" s="30" t="n">
        <f aca="false">IF(J280=0,K280,WORKDAY(K280,J280-1,Assumptions!$F$4:$F$44))</f>
        <v>46486</v>
      </c>
      <c r="M280" s="29" t="s">
        <v>638</v>
      </c>
      <c r="N280" s="31" t="n">
        <v>0</v>
      </c>
      <c r="O280" s="31" t="n">
        <v>2</v>
      </c>
      <c r="P280" s="31" t="n">
        <v>0</v>
      </c>
      <c r="Q280" s="31" t="n">
        <v>0</v>
      </c>
      <c r="R280" s="31" t="n">
        <v>5</v>
      </c>
      <c r="S280" s="31" t="n">
        <v>0</v>
      </c>
      <c r="T280" s="31" t="n">
        <v>0</v>
      </c>
      <c r="U280" s="31" t="n">
        <v>0</v>
      </c>
      <c r="V280" s="31" t="n">
        <v>0</v>
      </c>
      <c r="W280" s="31" t="n">
        <v>0</v>
      </c>
      <c r="X280" s="31" t="n">
        <v>0</v>
      </c>
      <c r="Y280" s="32" t="n">
        <f aca="false">SUM(N280:X280)</f>
        <v>7</v>
      </c>
      <c r="Z280" s="32" t="n">
        <f aca="false">Y280*(1+Assumptions!$C$5)</f>
        <v>8.05</v>
      </c>
      <c r="AA280" s="27" t="s">
        <v>301</v>
      </c>
      <c r="AB280" s="27" t="s">
        <v>95</v>
      </c>
      <c r="AC280" s="27"/>
      <c r="AD280" s="33" t="n">
        <v>0</v>
      </c>
      <c r="AF280" s="21" t="n">
        <f aca="false">IF($J280=0,0,MAX(0,NETWORKDAYS(MAX($K280,AF$4),MIN($L280,EOMONTH(AF$4,0)),Assumptions!$F$4:$F$44))/NETWORKDAYS($K280,$L280,Assumptions!$F$4:$F$44))</f>
        <v>0</v>
      </c>
      <c r="AG280" s="21" t="n">
        <f aca="false">IF($J280=0,0,MAX(0,NETWORKDAYS(MAX($K280,AG$4),MIN($L280,EOMONTH(AG$4,0)),Assumptions!$F$4:$F$44))/NETWORKDAYS($K280,$L280,Assumptions!$F$4:$F$44))</f>
        <v>0</v>
      </c>
      <c r="AH280" s="21" t="n">
        <f aca="false">IF($J280=0,0,MAX(0,NETWORKDAYS(MAX($K280,AH$4),MIN($L280,EOMONTH(AH$4,0)),Assumptions!$F$4:$F$44))/NETWORKDAYS($K280,$L280,Assumptions!$F$4:$F$44))</f>
        <v>0</v>
      </c>
      <c r="AI280" s="21" t="n">
        <f aca="false">IF($J280=0,0,MAX(0,NETWORKDAYS(MAX($K280,AI$4),MIN($L280,EOMONTH(AI$4,0)),Assumptions!$F$4:$F$44))/NETWORKDAYS($K280,$L280,Assumptions!$F$4:$F$44))</f>
        <v>0</v>
      </c>
      <c r="AJ280" s="21" t="n">
        <f aca="false">IF($J280=0,0,MAX(0,NETWORKDAYS(MAX($K280,AJ$4),MIN($L280,EOMONTH(AJ$4,0)),Assumptions!$F$4:$F$44))/NETWORKDAYS($K280,$L280,Assumptions!$F$4:$F$44))</f>
        <v>0.5625</v>
      </c>
      <c r="AK280" s="21" t="n">
        <f aca="false">IF($J280=0,0,MAX(0,NETWORKDAYS(MAX($K280,AK$4),MIN($L280,EOMONTH(AK$4,0)),Assumptions!$F$4:$F$44))/NETWORKDAYS($K280,$L280,Assumptions!$F$4:$F$44))</f>
        <v>0.4375</v>
      </c>
      <c r="AL280" s="21" t="n">
        <f aca="false">IF($J280=0,0,MAX(0,NETWORKDAYS(MAX($K280,AL$4),MIN($L280,EOMONTH(AL$4,0)),Assumptions!$F$4:$F$44))/NETWORKDAYS($K280,$L280,Assumptions!$F$4:$F$44))</f>
        <v>0</v>
      </c>
      <c r="AM280" s="21" t="n">
        <f aca="false">IF($J280=0,0,MAX(0,NETWORKDAYS(MAX($K280,AM$4),MIN($L280,EOMONTH(AM$4,0)),Assumptions!$F$4:$F$44))/NETWORKDAYS($K280,$L280,Assumptions!$F$4:$F$44))</f>
        <v>0</v>
      </c>
      <c r="AN280" s="21" t="n">
        <f aca="false">IF($J280=0,0,MAX(0,NETWORKDAYS(MAX($K280,AN$4),MIN($L280,EOMONTH(AN$4,0)),Assumptions!$F$4:$F$44))/NETWORKDAYS($K280,$L280,Assumptions!$F$4:$F$44))</f>
        <v>0</v>
      </c>
      <c r="AO280" s="21" t="n">
        <f aca="false">IF($J280=0,0,MAX(0,NETWORKDAYS(MAX($K280,AO$4),MIN($L280,EOMONTH(AO$4,0)),Assumptions!$F$4:$F$44))/NETWORKDAYS($K280,$L280,Assumptions!$F$4:$F$44))</f>
        <v>0</v>
      </c>
      <c r="AP280" s="21" t="n">
        <f aca="false">IF($J280=0,0,MAX(0,NETWORKDAYS(MAX($K280,AP$4),MIN($L280,EOMONTH(AP$4,0)),Assumptions!$F$4:$F$44))/NETWORKDAYS($K280,$L280,Assumptions!$F$4:$F$44))</f>
        <v>0</v>
      </c>
      <c r="AQ280" s="21" t="n">
        <f aca="false">IF($J280=0,0,MAX(0,NETWORKDAYS(MAX($K280,AQ$4),MIN($L280,EOMONTH(AQ$4,0)),Assumptions!$F$4:$F$44))/NETWORKDAYS($K280,$L280,Assumptions!$F$4:$F$44))</f>
        <v>0</v>
      </c>
      <c r="AR280" s="21" t="n">
        <f aca="false">IF($J280=0,0,MAX(0,NETWORKDAYS(MAX($K280,AR$4),MIN($L280,EOMONTH(AR$4,0)),Assumptions!$F$4:$F$44))/NETWORKDAYS($K280,$L280,Assumptions!$F$4:$F$44))</f>
        <v>0</v>
      </c>
      <c r="AS280" s="21" t="n">
        <f aca="false">IF($J280=0,0,MAX(0,NETWORKDAYS(MAX($K280,AS$4),MIN($L280,EOMONTH(AS$4,0)),Assumptions!$F$4:$F$44))/NETWORKDAYS($K280,$L280,Assumptions!$F$4:$F$44))</f>
        <v>0</v>
      </c>
      <c r="AT280" s="21" t="n">
        <f aca="false">IF($J280=0,0,MAX(0,NETWORKDAYS(MAX($K280,AT$4),MIN($L280,EOMONTH(AT$4,0)),Assumptions!$F$4:$F$44))/NETWORKDAYS($K280,$L280,Assumptions!$F$4:$F$44))</f>
        <v>0</v>
      </c>
      <c r="AU280" s="21" t="n">
        <f aca="false">IF($J280=0,0,MAX(0,NETWORKDAYS(MAX($K280,AU$4),MIN($L280,EOMONTH(AU$4,0)),Assumptions!$F$4:$F$44))/NETWORKDAYS($K280,$L280,Assumptions!$F$4:$F$44))</f>
        <v>0</v>
      </c>
      <c r="AV280" s="21" t="n">
        <f aca="false">IF($J280=0,0,MAX(0,NETWORKDAYS(MAX($K280,AV$4),MIN($L280,EOMONTH(AV$4,0)),Assumptions!$F$4:$F$44))/NETWORKDAYS($K280,$L280,Assumptions!$F$4:$F$44))</f>
        <v>0</v>
      </c>
      <c r="AW280" s="21" t="n">
        <f aca="false">IF($J280=0,0,MAX(0,NETWORKDAYS(MAX($K280,AW$4),MIN($L280,EOMONTH(AW$4,0)),Assumptions!$F$4:$F$44))/NETWORKDAYS($K280,$L280,Assumptions!$F$4:$F$44))</f>
        <v>0</v>
      </c>
      <c r="AX280" s="21" t="n">
        <f aca="false">IF($J280=0,0,MAX(0,NETWORKDAYS(MAX($K280,AX$4),MIN($L280,EOMONTH(AX$4,0)),Assumptions!$F$4:$F$44))/NETWORKDAYS($K280,$L280,Assumptions!$F$4:$F$44))</f>
        <v>0</v>
      </c>
      <c r="AY280" s="21" t="n">
        <f aca="false">IF($J280=0,0,MAX(0,NETWORKDAYS(MAX($K280,AY$4),MIN($L280,EOMONTH(AY$4,0)),Assumptions!$F$4:$F$44))/NETWORKDAYS($K280,$L280,Assumptions!$F$4:$F$44))</f>
        <v>0</v>
      </c>
      <c r="AZ280" s="21" t="n">
        <f aca="false">IF($J280=0,0,MAX(0,NETWORKDAYS(MAX($K280,AZ$4),MIN($L280,EOMONTH(AZ$4,0)),Assumptions!$F$4:$F$44))/NETWORKDAYS($K280,$L280,Assumptions!$F$4:$F$44))</f>
        <v>0</v>
      </c>
      <c r="BA280" s="21" t="n">
        <f aca="false">IF($J280=0,0,MAX(0,NETWORKDAYS(MAX($K280,BA$4),MIN($L280,EOMONTH(BA$4,0)),Assumptions!$F$4:$F$44))/NETWORKDAYS($K280,$L280,Assumptions!$F$4:$F$44))</f>
        <v>0</v>
      </c>
      <c r="BB280" s="21" t="n">
        <f aca="false">IF($J280=0,0,MAX(0,NETWORKDAYS(MAX($K280,BB$4),MIN($L280,EOMONTH(BB$4,0)),Assumptions!$F$4:$F$44))/NETWORKDAYS($K280,$L280,Assumptions!$F$4:$F$44))</f>
        <v>0</v>
      </c>
      <c r="BC280" s="21" t="n">
        <f aca="false">IF($J280=0,0,MAX(0,NETWORKDAYS(MAX($K280,BC$4),MIN($L280,EOMONTH(BC$4,0)),Assumptions!$F$4:$F$44))/NETWORKDAYS($K280,$L280,Assumptions!$F$4:$F$44))</f>
        <v>0</v>
      </c>
    </row>
    <row r="281" customFormat="false" ht="15" hidden="false" customHeight="false" outlineLevel="2" collapsed="false">
      <c r="A281" s="27" t="n">
        <v>277</v>
      </c>
      <c r="B281" s="27" t="s">
        <v>640</v>
      </c>
      <c r="C281" s="27" t="n">
        <v>3</v>
      </c>
      <c r="D281" s="27" t="s">
        <v>92</v>
      </c>
      <c r="E281" s="28" t="s">
        <v>303</v>
      </c>
      <c r="F281" s="27" t="s">
        <v>502</v>
      </c>
      <c r="G281" s="27" t="s">
        <v>634</v>
      </c>
      <c r="H281" s="27" t="s">
        <v>47</v>
      </c>
      <c r="I281" s="29" t="n">
        <v>112</v>
      </c>
      <c r="J281" s="29" t="n">
        <v>55</v>
      </c>
      <c r="K281" s="30" t="n">
        <f aca="false">WORKDAY(Assumptions!$C$4,I281,Assumptions!$F$4:$F$44)</f>
        <v>46484</v>
      </c>
      <c r="L281" s="30" t="n">
        <f aca="false">IF(J281=0,K281,WORKDAY(K281,J281-1,Assumptions!$F$4:$F$44))</f>
        <v>46560</v>
      </c>
      <c r="M281" s="29" t="s">
        <v>641</v>
      </c>
      <c r="N281" s="31" t="n">
        <v>0</v>
      </c>
      <c r="O281" s="31" t="n">
        <v>0</v>
      </c>
      <c r="P281" s="31" t="n">
        <v>0</v>
      </c>
      <c r="Q281" s="31" t="n">
        <v>26</v>
      </c>
      <c r="R281" s="31" t="n">
        <v>0</v>
      </c>
      <c r="S281" s="31" t="n">
        <v>0</v>
      </c>
      <c r="T281" s="31" t="n">
        <v>0</v>
      </c>
      <c r="U281" s="31" t="n">
        <v>0</v>
      </c>
      <c r="V281" s="31" t="n">
        <v>0</v>
      </c>
      <c r="W281" s="31" t="n">
        <v>0</v>
      </c>
      <c r="X281" s="31" t="n">
        <v>0</v>
      </c>
      <c r="Y281" s="32" t="n">
        <f aca="false">SUM(N281:X281)</f>
        <v>26</v>
      </c>
      <c r="Z281" s="32" t="n">
        <f aca="false">Y281*(1+Assumptions!$C$5)</f>
        <v>29.9</v>
      </c>
      <c r="AA281" s="27" t="s">
        <v>305</v>
      </c>
      <c r="AB281" s="27" t="s">
        <v>95</v>
      </c>
      <c r="AC281" s="27"/>
      <c r="AD281" s="33" t="n">
        <v>0</v>
      </c>
      <c r="AF281" s="21" t="n">
        <f aca="false">IF($J281=0,0,MAX(0,NETWORKDAYS(MAX($K281,AF$4),MIN($L281,EOMONTH(AF$4,0)),Assumptions!$F$4:$F$44))/NETWORKDAYS($K281,$L281,Assumptions!$F$4:$F$44))</f>
        <v>0</v>
      </c>
      <c r="AG281" s="21" t="n">
        <f aca="false">IF($J281=0,0,MAX(0,NETWORKDAYS(MAX($K281,AG$4),MIN($L281,EOMONTH(AG$4,0)),Assumptions!$F$4:$F$44))/NETWORKDAYS($K281,$L281,Assumptions!$F$4:$F$44))</f>
        <v>0</v>
      </c>
      <c r="AH281" s="21" t="n">
        <f aca="false">IF($J281=0,0,MAX(0,NETWORKDAYS(MAX($K281,AH$4),MIN($L281,EOMONTH(AH$4,0)),Assumptions!$F$4:$F$44))/NETWORKDAYS($K281,$L281,Assumptions!$F$4:$F$44))</f>
        <v>0</v>
      </c>
      <c r="AI281" s="21" t="n">
        <f aca="false">IF($J281=0,0,MAX(0,NETWORKDAYS(MAX($K281,AI$4),MIN($L281,EOMONTH(AI$4,0)),Assumptions!$F$4:$F$44))/NETWORKDAYS($K281,$L281,Assumptions!$F$4:$F$44))</f>
        <v>0</v>
      </c>
      <c r="AJ281" s="21" t="n">
        <f aca="false">IF($J281=0,0,MAX(0,NETWORKDAYS(MAX($K281,AJ$4),MIN($L281,EOMONTH(AJ$4,0)),Assumptions!$F$4:$F$44))/NETWORKDAYS($K281,$L281,Assumptions!$F$4:$F$44))</f>
        <v>0</v>
      </c>
      <c r="AK281" s="21" t="n">
        <f aca="false">IF($J281=0,0,MAX(0,NETWORKDAYS(MAX($K281,AK$4),MIN($L281,EOMONTH(AK$4,0)),Assumptions!$F$4:$F$44))/NETWORKDAYS($K281,$L281,Assumptions!$F$4:$F$44))</f>
        <v>0.327272727272727</v>
      </c>
      <c r="AL281" s="21" t="n">
        <f aca="false">IF($J281=0,0,MAX(0,NETWORKDAYS(MAX($K281,AL$4),MIN($L281,EOMONTH(AL$4,0)),Assumptions!$F$4:$F$44))/NETWORKDAYS($K281,$L281,Assumptions!$F$4:$F$44))</f>
        <v>0.381818181818182</v>
      </c>
      <c r="AM281" s="21" t="n">
        <f aca="false">IF($J281=0,0,MAX(0,NETWORKDAYS(MAX($K281,AM$4),MIN($L281,EOMONTH(AM$4,0)),Assumptions!$F$4:$F$44))/NETWORKDAYS($K281,$L281,Assumptions!$F$4:$F$44))</f>
        <v>0.290909090909091</v>
      </c>
      <c r="AN281" s="21" t="n">
        <f aca="false">IF($J281=0,0,MAX(0,NETWORKDAYS(MAX($K281,AN$4),MIN($L281,EOMONTH(AN$4,0)),Assumptions!$F$4:$F$44))/NETWORKDAYS($K281,$L281,Assumptions!$F$4:$F$44))</f>
        <v>0</v>
      </c>
      <c r="AO281" s="21" t="n">
        <f aca="false">IF($J281=0,0,MAX(0,NETWORKDAYS(MAX($K281,AO$4),MIN($L281,EOMONTH(AO$4,0)),Assumptions!$F$4:$F$44))/NETWORKDAYS($K281,$L281,Assumptions!$F$4:$F$44))</f>
        <v>0</v>
      </c>
      <c r="AP281" s="21" t="n">
        <f aca="false">IF($J281=0,0,MAX(0,NETWORKDAYS(MAX($K281,AP$4),MIN($L281,EOMONTH(AP$4,0)),Assumptions!$F$4:$F$44))/NETWORKDAYS($K281,$L281,Assumptions!$F$4:$F$44))</f>
        <v>0</v>
      </c>
      <c r="AQ281" s="21" t="n">
        <f aca="false">IF($J281=0,0,MAX(0,NETWORKDAYS(MAX($K281,AQ$4),MIN($L281,EOMONTH(AQ$4,0)),Assumptions!$F$4:$F$44))/NETWORKDAYS($K281,$L281,Assumptions!$F$4:$F$44))</f>
        <v>0</v>
      </c>
      <c r="AR281" s="21" t="n">
        <f aca="false">IF($J281=0,0,MAX(0,NETWORKDAYS(MAX($K281,AR$4),MIN($L281,EOMONTH(AR$4,0)),Assumptions!$F$4:$F$44))/NETWORKDAYS($K281,$L281,Assumptions!$F$4:$F$44))</f>
        <v>0</v>
      </c>
      <c r="AS281" s="21" t="n">
        <f aca="false">IF($J281=0,0,MAX(0,NETWORKDAYS(MAX($K281,AS$4),MIN($L281,EOMONTH(AS$4,0)),Assumptions!$F$4:$F$44))/NETWORKDAYS($K281,$L281,Assumptions!$F$4:$F$44))</f>
        <v>0</v>
      </c>
      <c r="AT281" s="21" t="n">
        <f aca="false">IF($J281=0,0,MAX(0,NETWORKDAYS(MAX($K281,AT$4),MIN($L281,EOMONTH(AT$4,0)),Assumptions!$F$4:$F$44))/NETWORKDAYS($K281,$L281,Assumptions!$F$4:$F$44))</f>
        <v>0</v>
      </c>
      <c r="AU281" s="21" t="n">
        <f aca="false">IF($J281=0,0,MAX(0,NETWORKDAYS(MAX($K281,AU$4),MIN($L281,EOMONTH(AU$4,0)),Assumptions!$F$4:$F$44))/NETWORKDAYS($K281,$L281,Assumptions!$F$4:$F$44))</f>
        <v>0</v>
      </c>
      <c r="AV281" s="21" t="n">
        <f aca="false">IF($J281=0,0,MAX(0,NETWORKDAYS(MAX($K281,AV$4),MIN($L281,EOMONTH(AV$4,0)),Assumptions!$F$4:$F$44))/NETWORKDAYS($K281,$L281,Assumptions!$F$4:$F$44))</f>
        <v>0</v>
      </c>
      <c r="AW281" s="21" t="n">
        <f aca="false">IF($J281=0,0,MAX(0,NETWORKDAYS(MAX($K281,AW$4),MIN($L281,EOMONTH(AW$4,0)),Assumptions!$F$4:$F$44))/NETWORKDAYS($K281,$L281,Assumptions!$F$4:$F$44))</f>
        <v>0</v>
      </c>
      <c r="AX281" s="21" t="n">
        <f aca="false">IF($J281=0,0,MAX(0,NETWORKDAYS(MAX($K281,AX$4),MIN($L281,EOMONTH(AX$4,0)),Assumptions!$F$4:$F$44))/NETWORKDAYS($K281,$L281,Assumptions!$F$4:$F$44))</f>
        <v>0</v>
      </c>
      <c r="AY281" s="21" t="n">
        <f aca="false">IF($J281=0,0,MAX(0,NETWORKDAYS(MAX($K281,AY$4),MIN($L281,EOMONTH(AY$4,0)),Assumptions!$F$4:$F$44))/NETWORKDAYS($K281,$L281,Assumptions!$F$4:$F$44))</f>
        <v>0</v>
      </c>
      <c r="AZ281" s="21" t="n">
        <f aca="false">IF($J281=0,0,MAX(0,NETWORKDAYS(MAX($K281,AZ$4),MIN($L281,EOMONTH(AZ$4,0)),Assumptions!$F$4:$F$44))/NETWORKDAYS($K281,$L281,Assumptions!$F$4:$F$44))</f>
        <v>0</v>
      </c>
      <c r="BA281" s="21" t="n">
        <f aca="false">IF($J281=0,0,MAX(0,NETWORKDAYS(MAX($K281,BA$4),MIN($L281,EOMONTH(BA$4,0)),Assumptions!$F$4:$F$44))/NETWORKDAYS($K281,$L281,Assumptions!$F$4:$F$44))</f>
        <v>0</v>
      </c>
      <c r="BB281" s="21" t="n">
        <f aca="false">IF($J281=0,0,MAX(0,NETWORKDAYS(MAX($K281,BB$4),MIN($L281,EOMONTH(BB$4,0)),Assumptions!$F$4:$F$44))/NETWORKDAYS($K281,$L281,Assumptions!$F$4:$F$44))</f>
        <v>0</v>
      </c>
      <c r="BC281" s="21" t="n">
        <f aca="false">IF($J281=0,0,MAX(0,NETWORKDAYS(MAX($K281,BC$4),MIN($L281,EOMONTH(BC$4,0)),Assumptions!$F$4:$F$44))/NETWORKDAYS($K281,$L281,Assumptions!$F$4:$F$44))</f>
        <v>0</v>
      </c>
    </row>
    <row r="282" customFormat="false" ht="15" hidden="false" customHeight="false" outlineLevel="2" collapsed="false">
      <c r="A282" s="27" t="n">
        <v>278</v>
      </c>
      <c r="B282" s="27" t="s">
        <v>642</v>
      </c>
      <c r="C282" s="27" t="n">
        <v>3</v>
      </c>
      <c r="D282" s="27" t="s">
        <v>92</v>
      </c>
      <c r="E282" s="28" t="s">
        <v>307</v>
      </c>
      <c r="F282" s="27" t="s">
        <v>502</v>
      </c>
      <c r="G282" s="27" t="s">
        <v>634</v>
      </c>
      <c r="H282" s="27" t="s">
        <v>47</v>
      </c>
      <c r="I282" s="29" t="n">
        <v>128</v>
      </c>
      <c r="J282" s="29" t="n">
        <v>40</v>
      </c>
      <c r="K282" s="30" t="n">
        <f aca="false">WORKDAY(Assumptions!$C$4,I282,Assumptions!$F$4:$F$44)</f>
        <v>46506</v>
      </c>
      <c r="L282" s="30" t="n">
        <f aca="false">IF(J282=0,K282,WORKDAY(K282,J282-1,Assumptions!$F$4:$F$44))</f>
        <v>46561</v>
      </c>
      <c r="M282" s="29" t="s">
        <v>641</v>
      </c>
      <c r="N282" s="31" t="n">
        <v>0</v>
      </c>
      <c r="O282" s="31" t="n">
        <v>4</v>
      </c>
      <c r="P282" s="31" t="n">
        <v>0</v>
      </c>
      <c r="Q282" s="31" t="n">
        <v>9</v>
      </c>
      <c r="R282" s="31" t="n">
        <v>0</v>
      </c>
      <c r="S282" s="31" t="n">
        <v>0</v>
      </c>
      <c r="T282" s="31" t="n">
        <v>0</v>
      </c>
      <c r="U282" s="31" t="n">
        <v>0</v>
      </c>
      <c r="V282" s="31" t="n">
        <v>0</v>
      </c>
      <c r="W282" s="31" t="n">
        <v>0</v>
      </c>
      <c r="X282" s="31" t="n">
        <v>0</v>
      </c>
      <c r="Y282" s="32" t="n">
        <f aca="false">SUM(N282:X282)</f>
        <v>13</v>
      </c>
      <c r="Z282" s="32" t="n">
        <f aca="false">Y282*(1+Assumptions!$C$5)</f>
        <v>14.95</v>
      </c>
      <c r="AA282" s="27" t="s">
        <v>308</v>
      </c>
      <c r="AB282" s="27" t="s">
        <v>95</v>
      </c>
      <c r="AC282" s="27"/>
      <c r="AD282" s="33" t="n">
        <v>0</v>
      </c>
      <c r="AF282" s="21" t="n">
        <f aca="false">IF($J282=0,0,MAX(0,NETWORKDAYS(MAX($K282,AF$4),MIN($L282,EOMONTH(AF$4,0)),Assumptions!$F$4:$F$44))/NETWORKDAYS($K282,$L282,Assumptions!$F$4:$F$44))</f>
        <v>0</v>
      </c>
      <c r="AG282" s="21" t="n">
        <f aca="false">IF($J282=0,0,MAX(0,NETWORKDAYS(MAX($K282,AG$4),MIN($L282,EOMONTH(AG$4,0)),Assumptions!$F$4:$F$44))/NETWORKDAYS($K282,$L282,Assumptions!$F$4:$F$44))</f>
        <v>0</v>
      </c>
      <c r="AH282" s="21" t="n">
        <f aca="false">IF($J282=0,0,MAX(0,NETWORKDAYS(MAX($K282,AH$4),MIN($L282,EOMONTH(AH$4,0)),Assumptions!$F$4:$F$44))/NETWORKDAYS($K282,$L282,Assumptions!$F$4:$F$44))</f>
        <v>0</v>
      </c>
      <c r="AI282" s="21" t="n">
        <f aca="false">IF($J282=0,0,MAX(0,NETWORKDAYS(MAX($K282,AI$4),MIN($L282,EOMONTH(AI$4,0)),Assumptions!$F$4:$F$44))/NETWORKDAYS($K282,$L282,Assumptions!$F$4:$F$44))</f>
        <v>0</v>
      </c>
      <c r="AJ282" s="21" t="n">
        <f aca="false">IF($J282=0,0,MAX(0,NETWORKDAYS(MAX($K282,AJ$4),MIN($L282,EOMONTH(AJ$4,0)),Assumptions!$F$4:$F$44))/NETWORKDAYS($K282,$L282,Assumptions!$F$4:$F$44))</f>
        <v>0</v>
      </c>
      <c r="AK282" s="21" t="n">
        <f aca="false">IF($J282=0,0,MAX(0,NETWORKDAYS(MAX($K282,AK$4),MIN($L282,EOMONTH(AK$4,0)),Assumptions!$F$4:$F$44))/NETWORKDAYS($K282,$L282,Assumptions!$F$4:$F$44))</f>
        <v>0.05</v>
      </c>
      <c r="AL282" s="21" t="n">
        <f aca="false">IF($J282=0,0,MAX(0,NETWORKDAYS(MAX($K282,AL$4),MIN($L282,EOMONTH(AL$4,0)),Assumptions!$F$4:$F$44))/NETWORKDAYS($K282,$L282,Assumptions!$F$4:$F$44))</f>
        <v>0.525</v>
      </c>
      <c r="AM282" s="21" t="n">
        <f aca="false">IF($J282=0,0,MAX(0,NETWORKDAYS(MAX($K282,AM$4),MIN($L282,EOMONTH(AM$4,0)),Assumptions!$F$4:$F$44))/NETWORKDAYS($K282,$L282,Assumptions!$F$4:$F$44))</f>
        <v>0.425</v>
      </c>
      <c r="AN282" s="21" t="n">
        <f aca="false">IF($J282=0,0,MAX(0,NETWORKDAYS(MAX($K282,AN$4),MIN($L282,EOMONTH(AN$4,0)),Assumptions!$F$4:$F$44))/NETWORKDAYS($K282,$L282,Assumptions!$F$4:$F$44))</f>
        <v>0</v>
      </c>
      <c r="AO282" s="21" t="n">
        <f aca="false">IF($J282=0,0,MAX(0,NETWORKDAYS(MAX($K282,AO$4),MIN($L282,EOMONTH(AO$4,0)),Assumptions!$F$4:$F$44))/NETWORKDAYS($K282,$L282,Assumptions!$F$4:$F$44))</f>
        <v>0</v>
      </c>
      <c r="AP282" s="21" t="n">
        <f aca="false">IF($J282=0,0,MAX(0,NETWORKDAYS(MAX($K282,AP$4),MIN($L282,EOMONTH(AP$4,0)),Assumptions!$F$4:$F$44))/NETWORKDAYS($K282,$L282,Assumptions!$F$4:$F$44))</f>
        <v>0</v>
      </c>
      <c r="AQ282" s="21" t="n">
        <f aca="false">IF($J282=0,0,MAX(0,NETWORKDAYS(MAX($K282,AQ$4),MIN($L282,EOMONTH(AQ$4,0)),Assumptions!$F$4:$F$44))/NETWORKDAYS($K282,$L282,Assumptions!$F$4:$F$44))</f>
        <v>0</v>
      </c>
      <c r="AR282" s="21" t="n">
        <f aca="false">IF($J282=0,0,MAX(0,NETWORKDAYS(MAX($K282,AR$4),MIN($L282,EOMONTH(AR$4,0)),Assumptions!$F$4:$F$44))/NETWORKDAYS($K282,$L282,Assumptions!$F$4:$F$44))</f>
        <v>0</v>
      </c>
      <c r="AS282" s="21" t="n">
        <f aca="false">IF($J282=0,0,MAX(0,NETWORKDAYS(MAX($K282,AS$4),MIN($L282,EOMONTH(AS$4,0)),Assumptions!$F$4:$F$44))/NETWORKDAYS($K282,$L282,Assumptions!$F$4:$F$44))</f>
        <v>0</v>
      </c>
      <c r="AT282" s="21" t="n">
        <f aca="false">IF($J282=0,0,MAX(0,NETWORKDAYS(MAX($K282,AT$4),MIN($L282,EOMONTH(AT$4,0)),Assumptions!$F$4:$F$44))/NETWORKDAYS($K282,$L282,Assumptions!$F$4:$F$44))</f>
        <v>0</v>
      </c>
      <c r="AU282" s="21" t="n">
        <f aca="false">IF($J282=0,0,MAX(0,NETWORKDAYS(MAX($K282,AU$4),MIN($L282,EOMONTH(AU$4,0)),Assumptions!$F$4:$F$44))/NETWORKDAYS($K282,$L282,Assumptions!$F$4:$F$44))</f>
        <v>0</v>
      </c>
      <c r="AV282" s="21" t="n">
        <f aca="false">IF($J282=0,0,MAX(0,NETWORKDAYS(MAX($K282,AV$4),MIN($L282,EOMONTH(AV$4,0)),Assumptions!$F$4:$F$44))/NETWORKDAYS($K282,$L282,Assumptions!$F$4:$F$44))</f>
        <v>0</v>
      </c>
      <c r="AW282" s="21" t="n">
        <f aca="false">IF($J282=0,0,MAX(0,NETWORKDAYS(MAX($K282,AW$4),MIN($L282,EOMONTH(AW$4,0)),Assumptions!$F$4:$F$44))/NETWORKDAYS($K282,$L282,Assumptions!$F$4:$F$44))</f>
        <v>0</v>
      </c>
      <c r="AX282" s="21" t="n">
        <f aca="false">IF($J282=0,0,MAX(0,NETWORKDAYS(MAX($K282,AX$4),MIN($L282,EOMONTH(AX$4,0)),Assumptions!$F$4:$F$44))/NETWORKDAYS($K282,$L282,Assumptions!$F$4:$F$44))</f>
        <v>0</v>
      </c>
      <c r="AY282" s="21" t="n">
        <f aca="false">IF($J282=0,0,MAX(0,NETWORKDAYS(MAX($K282,AY$4),MIN($L282,EOMONTH(AY$4,0)),Assumptions!$F$4:$F$44))/NETWORKDAYS($K282,$L282,Assumptions!$F$4:$F$44))</f>
        <v>0</v>
      </c>
      <c r="AZ282" s="21" t="n">
        <f aca="false">IF($J282=0,0,MAX(0,NETWORKDAYS(MAX($K282,AZ$4),MIN($L282,EOMONTH(AZ$4,0)),Assumptions!$F$4:$F$44))/NETWORKDAYS($K282,$L282,Assumptions!$F$4:$F$44))</f>
        <v>0</v>
      </c>
      <c r="BA282" s="21" t="n">
        <f aca="false">IF($J282=0,0,MAX(0,NETWORKDAYS(MAX($K282,BA$4),MIN($L282,EOMONTH(BA$4,0)),Assumptions!$F$4:$F$44))/NETWORKDAYS($K282,$L282,Assumptions!$F$4:$F$44))</f>
        <v>0</v>
      </c>
      <c r="BB282" s="21" t="n">
        <f aca="false">IF($J282=0,0,MAX(0,NETWORKDAYS(MAX($K282,BB$4),MIN($L282,EOMONTH(BB$4,0)),Assumptions!$F$4:$F$44))/NETWORKDAYS($K282,$L282,Assumptions!$F$4:$F$44))</f>
        <v>0</v>
      </c>
      <c r="BC282" s="21" t="n">
        <f aca="false">IF($J282=0,0,MAX(0,NETWORKDAYS(MAX($K282,BC$4),MIN($L282,EOMONTH(BC$4,0)),Assumptions!$F$4:$F$44))/NETWORKDAYS($K282,$L282,Assumptions!$F$4:$F$44))</f>
        <v>0</v>
      </c>
    </row>
    <row r="283" customFormat="false" ht="15" hidden="false" customHeight="false" outlineLevel="2" collapsed="false">
      <c r="A283" s="27" t="n">
        <v>279</v>
      </c>
      <c r="B283" s="27" t="s">
        <v>643</v>
      </c>
      <c r="C283" s="27" t="n">
        <v>3</v>
      </c>
      <c r="D283" s="27" t="s">
        <v>92</v>
      </c>
      <c r="E283" s="28" t="s">
        <v>310</v>
      </c>
      <c r="F283" s="27" t="s">
        <v>502</v>
      </c>
      <c r="G283" s="27" t="s">
        <v>634</v>
      </c>
      <c r="H283" s="27" t="s">
        <v>49</v>
      </c>
      <c r="I283" s="29" t="n">
        <v>121</v>
      </c>
      <c r="J283" s="29" t="n">
        <v>53</v>
      </c>
      <c r="K283" s="30" t="n">
        <f aca="false">WORKDAY(Assumptions!$C$4,I283,Assumptions!$F$4:$F$44)</f>
        <v>46497</v>
      </c>
      <c r="L283" s="30" t="n">
        <f aca="false">IF(J283=0,K283,WORKDAY(K283,J283-1,Assumptions!$F$4:$F$44))</f>
        <v>46569</v>
      </c>
      <c r="M283" s="29" t="s">
        <v>644</v>
      </c>
      <c r="N283" s="31" t="n">
        <v>0</v>
      </c>
      <c r="O283" s="31" t="n">
        <v>0</v>
      </c>
      <c r="P283" s="31" t="n">
        <v>0</v>
      </c>
      <c r="Q283" s="31" t="n">
        <v>0</v>
      </c>
      <c r="R283" s="31" t="n">
        <v>22</v>
      </c>
      <c r="S283" s="31" t="n">
        <v>0</v>
      </c>
      <c r="T283" s="31" t="n">
        <v>0</v>
      </c>
      <c r="U283" s="31" t="n">
        <v>0</v>
      </c>
      <c r="V283" s="31" t="n">
        <v>0</v>
      </c>
      <c r="W283" s="31" t="n">
        <v>0</v>
      </c>
      <c r="X283" s="31" t="n">
        <v>0</v>
      </c>
      <c r="Y283" s="32" t="n">
        <f aca="false">SUM(N283:X283)</f>
        <v>22</v>
      </c>
      <c r="Z283" s="32" t="n">
        <f aca="false">Y283*(1+Assumptions!$C$5)</f>
        <v>25.3</v>
      </c>
      <c r="AA283" s="27" t="s">
        <v>312</v>
      </c>
      <c r="AB283" s="27" t="s">
        <v>95</v>
      </c>
      <c r="AC283" s="27"/>
      <c r="AD283" s="33" t="n">
        <v>0</v>
      </c>
      <c r="AF283" s="21" t="n">
        <f aca="false">IF($J283=0,0,MAX(0,NETWORKDAYS(MAX($K283,AF$4),MIN($L283,EOMONTH(AF$4,0)),Assumptions!$F$4:$F$44))/NETWORKDAYS($K283,$L283,Assumptions!$F$4:$F$44))</f>
        <v>0</v>
      </c>
      <c r="AG283" s="21" t="n">
        <f aca="false">IF($J283=0,0,MAX(0,NETWORKDAYS(MAX($K283,AG$4),MIN($L283,EOMONTH(AG$4,0)),Assumptions!$F$4:$F$44))/NETWORKDAYS($K283,$L283,Assumptions!$F$4:$F$44))</f>
        <v>0</v>
      </c>
      <c r="AH283" s="21" t="n">
        <f aca="false">IF($J283=0,0,MAX(0,NETWORKDAYS(MAX($K283,AH$4),MIN($L283,EOMONTH(AH$4,0)),Assumptions!$F$4:$F$44))/NETWORKDAYS($K283,$L283,Assumptions!$F$4:$F$44))</f>
        <v>0</v>
      </c>
      <c r="AI283" s="21" t="n">
        <f aca="false">IF($J283=0,0,MAX(0,NETWORKDAYS(MAX($K283,AI$4),MIN($L283,EOMONTH(AI$4,0)),Assumptions!$F$4:$F$44))/NETWORKDAYS($K283,$L283,Assumptions!$F$4:$F$44))</f>
        <v>0</v>
      </c>
      <c r="AJ283" s="21" t="n">
        <f aca="false">IF($J283=0,0,MAX(0,NETWORKDAYS(MAX($K283,AJ$4),MIN($L283,EOMONTH(AJ$4,0)),Assumptions!$F$4:$F$44))/NETWORKDAYS($K283,$L283,Assumptions!$F$4:$F$44))</f>
        <v>0</v>
      </c>
      <c r="AK283" s="21" t="n">
        <f aca="false">IF($J283=0,0,MAX(0,NETWORKDAYS(MAX($K283,AK$4),MIN($L283,EOMONTH(AK$4,0)),Assumptions!$F$4:$F$44))/NETWORKDAYS($K283,$L283,Assumptions!$F$4:$F$44))</f>
        <v>0.169811320754717</v>
      </c>
      <c r="AL283" s="21" t="n">
        <f aca="false">IF($J283=0,0,MAX(0,NETWORKDAYS(MAX($K283,AL$4),MIN($L283,EOMONTH(AL$4,0)),Assumptions!$F$4:$F$44))/NETWORKDAYS($K283,$L283,Assumptions!$F$4:$F$44))</f>
        <v>0.39622641509434</v>
      </c>
      <c r="AM283" s="21" t="n">
        <f aca="false">IF($J283=0,0,MAX(0,NETWORKDAYS(MAX($K283,AM$4),MIN($L283,EOMONTH(AM$4,0)),Assumptions!$F$4:$F$44))/NETWORKDAYS($K283,$L283,Assumptions!$F$4:$F$44))</f>
        <v>0.415094339622642</v>
      </c>
      <c r="AN283" s="21" t="n">
        <f aca="false">IF($J283=0,0,MAX(0,NETWORKDAYS(MAX($K283,AN$4),MIN($L283,EOMONTH(AN$4,0)),Assumptions!$F$4:$F$44))/NETWORKDAYS($K283,$L283,Assumptions!$F$4:$F$44))</f>
        <v>0.0188679245283019</v>
      </c>
      <c r="AO283" s="21" t="n">
        <f aca="false">IF($J283=0,0,MAX(0,NETWORKDAYS(MAX($K283,AO$4),MIN($L283,EOMONTH(AO$4,0)),Assumptions!$F$4:$F$44))/NETWORKDAYS($K283,$L283,Assumptions!$F$4:$F$44))</f>
        <v>0</v>
      </c>
      <c r="AP283" s="21" t="n">
        <f aca="false">IF($J283=0,0,MAX(0,NETWORKDAYS(MAX($K283,AP$4),MIN($L283,EOMONTH(AP$4,0)),Assumptions!$F$4:$F$44))/NETWORKDAYS($K283,$L283,Assumptions!$F$4:$F$44))</f>
        <v>0</v>
      </c>
      <c r="AQ283" s="21" t="n">
        <f aca="false">IF($J283=0,0,MAX(0,NETWORKDAYS(MAX($K283,AQ$4),MIN($L283,EOMONTH(AQ$4,0)),Assumptions!$F$4:$F$44))/NETWORKDAYS($K283,$L283,Assumptions!$F$4:$F$44))</f>
        <v>0</v>
      </c>
      <c r="AR283" s="21" t="n">
        <f aca="false">IF($J283=0,0,MAX(0,NETWORKDAYS(MAX($K283,AR$4),MIN($L283,EOMONTH(AR$4,0)),Assumptions!$F$4:$F$44))/NETWORKDAYS($K283,$L283,Assumptions!$F$4:$F$44))</f>
        <v>0</v>
      </c>
      <c r="AS283" s="21" t="n">
        <f aca="false">IF($J283=0,0,MAX(0,NETWORKDAYS(MAX($K283,AS$4),MIN($L283,EOMONTH(AS$4,0)),Assumptions!$F$4:$F$44))/NETWORKDAYS($K283,$L283,Assumptions!$F$4:$F$44))</f>
        <v>0</v>
      </c>
      <c r="AT283" s="21" t="n">
        <f aca="false">IF($J283=0,0,MAX(0,NETWORKDAYS(MAX($K283,AT$4),MIN($L283,EOMONTH(AT$4,0)),Assumptions!$F$4:$F$44))/NETWORKDAYS($K283,$L283,Assumptions!$F$4:$F$44))</f>
        <v>0</v>
      </c>
      <c r="AU283" s="21" t="n">
        <f aca="false">IF($J283=0,0,MAX(0,NETWORKDAYS(MAX($K283,AU$4),MIN($L283,EOMONTH(AU$4,0)),Assumptions!$F$4:$F$44))/NETWORKDAYS($K283,$L283,Assumptions!$F$4:$F$44))</f>
        <v>0</v>
      </c>
      <c r="AV283" s="21" t="n">
        <f aca="false">IF($J283=0,0,MAX(0,NETWORKDAYS(MAX($K283,AV$4),MIN($L283,EOMONTH(AV$4,0)),Assumptions!$F$4:$F$44))/NETWORKDAYS($K283,$L283,Assumptions!$F$4:$F$44))</f>
        <v>0</v>
      </c>
      <c r="AW283" s="21" t="n">
        <f aca="false">IF($J283=0,0,MAX(0,NETWORKDAYS(MAX($K283,AW$4),MIN($L283,EOMONTH(AW$4,0)),Assumptions!$F$4:$F$44))/NETWORKDAYS($K283,$L283,Assumptions!$F$4:$F$44))</f>
        <v>0</v>
      </c>
      <c r="AX283" s="21" t="n">
        <f aca="false">IF($J283=0,0,MAX(0,NETWORKDAYS(MAX($K283,AX$4),MIN($L283,EOMONTH(AX$4,0)),Assumptions!$F$4:$F$44))/NETWORKDAYS($K283,$L283,Assumptions!$F$4:$F$44))</f>
        <v>0</v>
      </c>
      <c r="AY283" s="21" t="n">
        <f aca="false">IF($J283=0,0,MAX(0,NETWORKDAYS(MAX($K283,AY$4),MIN($L283,EOMONTH(AY$4,0)),Assumptions!$F$4:$F$44))/NETWORKDAYS($K283,$L283,Assumptions!$F$4:$F$44))</f>
        <v>0</v>
      </c>
      <c r="AZ283" s="21" t="n">
        <f aca="false">IF($J283=0,0,MAX(0,NETWORKDAYS(MAX($K283,AZ$4),MIN($L283,EOMONTH(AZ$4,0)),Assumptions!$F$4:$F$44))/NETWORKDAYS($K283,$L283,Assumptions!$F$4:$F$44))</f>
        <v>0</v>
      </c>
      <c r="BA283" s="21" t="n">
        <f aca="false">IF($J283=0,0,MAX(0,NETWORKDAYS(MAX($K283,BA$4),MIN($L283,EOMONTH(BA$4,0)),Assumptions!$F$4:$F$44))/NETWORKDAYS($K283,$L283,Assumptions!$F$4:$F$44))</f>
        <v>0</v>
      </c>
      <c r="BB283" s="21" t="n">
        <f aca="false">IF($J283=0,0,MAX(0,NETWORKDAYS(MAX($K283,BB$4),MIN($L283,EOMONTH(BB$4,0)),Assumptions!$F$4:$F$44))/NETWORKDAYS($K283,$L283,Assumptions!$F$4:$F$44))</f>
        <v>0</v>
      </c>
      <c r="BC283" s="21" t="n">
        <f aca="false">IF($J283=0,0,MAX(0,NETWORKDAYS(MAX($K283,BC$4),MIN($L283,EOMONTH(BC$4,0)),Assumptions!$F$4:$F$44))/NETWORKDAYS($K283,$L283,Assumptions!$F$4:$F$44))</f>
        <v>0</v>
      </c>
    </row>
    <row r="284" customFormat="false" ht="15" hidden="false" customHeight="false" outlineLevel="2" collapsed="false">
      <c r="A284" s="27" t="n">
        <v>280</v>
      </c>
      <c r="B284" s="27" t="s">
        <v>645</v>
      </c>
      <c r="C284" s="27" t="n">
        <v>3</v>
      </c>
      <c r="D284" s="27" t="s">
        <v>92</v>
      </c>
      <c r="E284" s="28" t="s">
        <v>314</v>
      </c>
      <c r="F284" s="27" t="s">
        <v>502</v>
      </c>
      <c r="G284" s="27" t="s">
        <v>634</v>
      </c>
      <c r="H284" s="27" t="s">
        <v>49</v>
      </c>
      <c r="I284" s="29" t="n">
        <v>134</v>
      </c>
      <c r="J284" s="29" t="n">
        <v>40</v>
      </c>
      <c r="K284" s="30" t="n">
        <f aca="false">WORKDAY(Assumptions!$C$4,I284,Assumptions!$F$4:$F$44)</f>
        <v>46514</v>
      </c>
      <c r="L284" s="30" t="n">
        <f aca="false">IF(J284=0,K284,WORKDAY(K284,J284-1,Assumptions!$F$4:$F$44))</f>
        <v>46569</v>
      </c>
      <c r="M284" s="29" t="s">
        <v>644</v>
      </c>
      <c r="N284" s="31" t="n">
        <v>0</v>
      </c>
      <c r="O284" s="31" t="n">
        <v>0</v>
      </c>
      <c r="P284" s="31" t="n">
        <v>0</v>
      </c>
      <c r="Q284" s="31" t="n">
        <v>0</v>
      </c>
      <c r="R284" s="31" t="n">
        <v>10</v>
      </c>
      <c r="S284" s="31" t="n">
        <v>5</v>
      </c>
      <c r="T284" s="31" t="n">
        <v>0</v>
      </c>
      <c r="U284" s="31" t="n">
        <v>0</v>
      </c>
      <c r="V284" s="31" t="n">
        <v>0</v>
      </c>
      <c r="W284" s="31" t="n">
        <v>0</v>
      </c>
      <c r="X284" s="31" t="n">
        <v>0</v>
      </c>
      <c r="Y284" s="32" t="n">
        <f aca="false">SUM(N284:X284)</f>
        <v>15</v>
      </c>
      <c r="Z284" s="32" t="n">
        <f aca="false">Y284*(1+Assumptions!$C$5)</f>
        <v>17.25</v>
      </c>
      <c r="AA284" s="27" t="s">
        <v>315</v>
      </c>
      <c r="AB284" s="27" t="s">
        <v>95</v>
      </c>
      <c r="AC284" s="27"/>
      <c r="AD284" s="33" t="n">
        <v>0</v>
      </c>
      <c r="AF284" s="21" t="n">
        <f aca="false">IF($J284=0,0,MAX(0,NETWORKDAYS(MAX($K284,AF$4),MIN($L284,EOMONTH(AF$4,0)),Assumptions!$F$4:$F$44))/NETWORKDAYS($K284,$L284,Assumptions!$F$4:$F$44))</f>
        <v>0</v>
      </c>
      <c r="AG284" s="21" t="n">
        <f aca="false">IF($J284=0,0,MAX(0,NETWORKDAYS(MAX($K284,AG$4),MIN($L284,EOMONTH(AG$4,0)),Assumptions!$F$4:$F$44))/NETWORKDAYS($K284,$L284,Assumptions!$F$4:$F$44))</f>
        <v>0</v>
      </c>
      <c r="AH284" s="21" t="n">
        <f aca="false">IF($J284=0,0,MAX(0,NETWORKDAYS(MAX($K284,AH$4),MIN($L284,EOMONTH(AH$4,0)),Assumptions!$F$4:$F$44))/NETWORKDAYS($K284,$L284,Assumptions!$F$4:$F$44))</f>
        <v>0</v>
      </c>
      <c r="AI284" s="21" t="n">
        <f aca="false">IF($J284=0,0,MAX(0,NETWORKDAYS(MAX($K284,AI$4),MIN($L284,EOMONTH(AI$4,0)),Assumptions!$F$4:$F$44))/NETWORKDAYS($K284,$L284,Assumptions!$F$4:$F$44))</f>
        <v>0</v>
      </c>
      <c r="AJ284" s="21" t="n">
        <f aca="false">IF($J284=0,0,MAX(0,NETWORKDAYS(MAX($K284,AJ$4),MIN($L284,EOMONTH(AJ$4,0)),Assumptions!$F$4:$F$44))/NETWORKDAYS($K284,$L284,Assumptions!$F$4:$F$44))</f>
        <v>0</v>
      </c>
      <c r="AK284" s="21" t="n">
        <f aca="false">IF($J284=0,0,MAX(0,NETWORKDAYS(MAX($K284,AK$4),MIN($L284,EOMONTH(AK$4,0)),Assumptions!$F$4:$F$44))/NETWORKDAYS($K284,$L284,Assumptions!$F$4:$F$44))</f>
        <v>0</v>
      </c>
      <c r="AL284" s="21" t="n">
        <f aca="false">IF($J284=0,0,MAX(0,NETWORKDAYS(MAX($K284,AL$4),MIN($L284,EOMONTH(AL$4,0)),Assumptions!$F$4:$F$44))/NETWORKDAYS($K284,$L284,Assumptions!$F$4:$F$44))</f>
        <v>0.425</v>
      </c>
      <c r="AM284" s="21" t="n">
        <f aca="false">IF($J284=0,0,MAX(0,NETWORKDAYS(MAX($K284,AM$4),MIN($L284,EOMONTH(AM$4,0)),Assumptions!$F$4:$F$44))/NETWORKDAYS($K284,$L284,Assumptions!$F$4:$F$44))</f>
        <v>0.55</v>
      </c>
      <c r="AN284" s="21" t="n">
        <f aca="false">IF($J284=0,0,MAX(0,NETWORKDAYS(MAX($K284,AN$4),MIN($L284,EOMONTH(AN$4,0)),Assumptions!$F$4:$F$44))/NETWORKDAYS($K284,$L284,Assumptions!$F$4:$F$44))</f>
        <v>0.025</v>
      </c>
      <c r="AO284" s="21" t="n">
        <f aca="false">IF($J284=0,0,MAX(0,NETWORKDAYS(MAX($K284,AO$4),MIN($L284,EOMONTH(AO$4,0)),Assumptions!$F$4:$F$44))/NETWORKDAYS($K284,$L284,Assumptions!$F$4:$F$44))</f>
        <v>0</v>
      </c>
      <c r="AP284" s="21" t="n">
        <f aca="false">IF($J284=0,0,MAX(0,NETWORKDAYS(MAX($K284,AP$4),MIN($L284,EOMONTH(AP$4,0)),Assumptions!$F$4:$F$44))/NETWORKDAYS($K284,$L284,Assumptions!$F$4:$F$44))</f>
        <v>0</v>
      </c>
      <c r="AQ284" s="21" t="n">
        <f aca="false">IF($J284=0,0,MAX(0,NETWORKDAYS(MAX($K284,AQ$4),MIN($L284,EOMONTH(AQ$4,0)),Assumptions!$F$4:$F$44))/NETWORKDAYS($K284,$L284,Assumptions!$F$4:$F$44))</f>
        <v>0</v>
      </c>
      <c r="AR284" s="21" t="n">
        <f aca="false">IF($J284=0,0,MAX(0,NETWORKDAYS(MAX($K284,AR$4),MIN($L284,EOMONTH(AR$4,0)),Assumptions!$F$4:$F$44))/NETWORKDAYS($K284,$L284,Assumptions!$F$4:$F$44))</f>
        <v>0</v>
      </c>
      <c r="AS284" s="21" t="n">
        <f aca="false">IF($J284=0,0,MAX(0,NETWORKDAYS(MAX($K284,AS$4),MIN($L284,EOMONTH(AS$4,0)),Assumptions!$F$4:$F$44))/NETWORKDAYS($K284,$L284,Assumptions!$F$4:$F$44))</f>
        <v>0</v>
      </c>
      <c r="AT284" s="21" t="n">
        <f aca="false">IF($J284=0,0,MAX(0,NETWORKDAYS(MAX($K284,AT$4),MIN($L284,EOMONTH(AT$4,0)),Assumptions!$F$4:$F$44))/NETWORKDAYS($K284,$L284,Assumptions!$F$4:$F$44))</f>
        <v>0</v>
      </c>
      <c r="AU284" s="21" t="n">
        <f aca="false">IF($J284=0,0,MAX(0,NETWORKDAYS(MAX($K284,AU$4),MIN($L284,EOMONTH(AU$4,0)),Assumptions!$F$4:$F$44))/NETWORKDAYS($K284,$L284,Assumptions!$F$4:$F$44))</f>
        <v>0</v>
      </c>
      <c r="AV284" s="21" t="n">
        <f aca="false">IF($J284=0,0,MAX(0,NETWORKDAYS(MAX($K284,AV$4),MIN($L284,EOMONTH(AV$4,0)),Assumptions!$F$4:$F$44))/NETWORKDAYS($K284,$L284,Assumptions!$F$4:$F$44))</f>
        <v>0</v>
      </c>
      <c r="AW284" s="21" t="n">
        <f aca="false">IF($J284=0,0,MAX(0,NETWORKDAYS(MAX($K284,AW$4),MIN($L284,EOMONTH(AW$4,0)),Assumptions!$F$4:$F$44))/NETWORKDAYS($K284,$L284,Assumptions!$F$4:$F$44))</f>
        <v>0</v>
      </c>
      <c r="AX284" s="21" t="n">
        <f aca="false">IF($J284=0,0,MAX(0,NETWORKDAYS(MAX($K284,AX$4),MIN($L284,EOMONTH(AX$4,0)),Assumptions!$F$4:$F$44))/NETWORKDAYS($K284,$L284,Assumptions!$F$4:$F$44))</f>
        <v>0</v>
      </c>
      <c r="AY284" s="21" t="n">
        <f aca="false">IF($J284=0,0,MAX(0,NETWORKDAYS(MAX($K284,AY$4),MIN($L284,EOMONTH(AY$4,0)),Assumptions!$F$4:$F$44))/NETWORKDAYS($K284,$L284,Assumptions!$F$4:$F$44))</f>
        <v>0</v>
      </c>
      <c r="AZ284" s="21" t="n">
        <f aca="false">IF($J284=0,0,MAX(0,NETWORKDAYS(MAX($K284,AZ$4),MIN($L284,EOMONTH(AZ$4,0)),Assumptions!$F$4:$F$44))/NETWORKDAYS($K284,$L284,Assumptions!$F$4:$F$44))</f>
        <v>0</v>
      </c>
      <c r="BA284" s="21" t="n">
        <f aca="false">IF($J284=0,0,MAX(0,NETWORKDAYS(MAX($K284,BA$4),MIN($L284,EOMONTH(BA$4,0)),Assumptions!$F$4:$F$44))/NETWORKDAYS($K284,$L284,Assumptions!$F$4:$F$44))</f>
        <v>0</v>
      </c>
      <c r="BB284" s="21" t="n">
        <f aca="false">IF($J284=0,0,MAX(0,NETWORKDAYS(MAX($K284,BB$4),MIN($L284,EOMONTH(BB$4,0)),Assumptions!$F$4:$F$44))/NETWORKDAYS($K284,$L284,Assumptions!$F$4:$F$44))</f>
        <v>0</v>
      </c>
      <c r="BC284" s="21" t="n">
        <f aca="false">IF($J284=0,0,MAX(0,NETWORKDAYS(MAX($K284,BC$4),MIN($L284,EOMONTH(BC$4,0)),Assumptions!$F$4:$F$44))/NETWORKDAYS($K284,$L284,Assumptions!$F$4:$F$44))</f>
        <v>0</v>
      </c>
    </row>
    <row r="285" customFormat="false" ht="15" hidden="false" customHeight="false" outlineLevel="2" collapsed="false">
      <c r="A285" s="27" t="n">
        <v>281</v>
      </c>
      <c r="B285" s="27" t="s">
        <v>646</v>
      </c>
      <c r="C285" s="27" t="n">
        <v>3</v>
      </c>
      <c r="D285" s="27" t="s">
        <v>92</v>
      </c>
      <c r="E285" s="28" t="s">
        <v>317</v>
      </c>
      <c r="F285" s="27" t="s">
        <v>502</v>
      </c>
      <c r="G285" s="27" t="s">
        <v>634</v>
      </c>
      <c r="H285" s="27" t="s">
        <v>51</v>
      </c>
      <c r="I285" s="29" t="n">
        <v>134</v>
      </c>
      <c r="J285" s="29" t="n">
        <v>40</v>
      </c>
      <c r="K285" s="30" t="n">
        <f aca="false">WORKDAY(Assumptions!$C$4,I285,Assumptions!$F$4:$F$44)</f>
        <v>46514</v>
      </c>
      <c r="L285" s="30" t="n">
        <f aca="false">IF(J285=0,K285,WORKDAY(K285,J285-1,Assumptions!$F$4:$F$44))</f>
        <v>46569</v>
      </c>
      <c r="M285" s="29" t="s">
        <v>644</v>
      </c>
      <c r="N285" s="31" t="n">
        <v>0</v>
      </c>
      <c r="O285" s="31" t="n">
        <v>0</v>
      </c>
      <c r="P285" s="31" t="n">
        <v>0</v>
      </c>
      <c r="Q285" s="31" t="n">
        <v>0</v>
      </c>
      <c r="R285" s="31" t="n">
        <v>0</v>
      </c>
      <c r="S285" s="31" t="n">
        <v>10</v>
      </c>
      <c r="T285" s="31" t="n">
        <v>0</v>
      </c>
      <c r="U285" s="31" t="n">
        <v>0</v>
      </c>
      <c r="V285" s="31" t="n">
        <v>0</v>
      </c>
      <c r="W285" s="31" t="n">
        <v>0</v>
      </c>
      <c r="X285" s="31" t="n">
        <v>0</v>
      </c>
      <c r="Y285" s="32" t="n">
        <f aca="false">SUM(N285:X285)</f>
        <v>10</v>
      </c>
      <c r="Z285" s="32" t="n">
        <f aca="false">Y285*(1+Assumptions!$C$5)</f>
        <v>11.5</v>
      </c>
      <c r="AA285" s="27" t="s">
        <v>318</v>
      </c>
      <c r="AB285" s="27" t="s">
        <v>95</v>
      </c>
      <c r="AC285" s="27"/>
      <c r="AD285" s="33" t="n">
        <v>0</v>
      </c>
      <c r="AF285" s="21" t="n">
        <f aca="false">IF($J285=0,0,MAX(0,NETWORKDAYS(MAX($K285,AF$4),MIN($L285,EOMONTH(AF$4,0)),Assumptions!$F$4:$F$44))/NETWORKDAYS($K285,$L285,Assumptions!$F$4:$F$44))</f>
        <v>0</v>
      </c>
      <c r="AG285" s="21" t="n">
        <f aca="false">IF($J285=0,0,MAX(0,NETWORKDAYS(MAX($K285,AG$4),MIN($L285,EOMONTH(AG$4,0)),Assumptions!$F$4:$F$44))/NETWORKDAYS($K285,$L285,Assumptions!$F$4:$F$44))</f>
        <v>0</v>
      </c>
      <c r="AH285" s="21" t="n">
        <f aca="false">IF($J285=0,0,MAX(0,NETWORKDAYS(MAX($K285,AH$4),MIN($L285,EOMONTH(AH$4,0)),Assumptions!$F$4:$F$44))/NETWORKDAYS($K285,$L285,Assumptions!$F$4:$F$44))</f>
        <v>0</v>
      </c>
      <c r="AI285" s="21" t="n">
        <f aca="false">IF($J285=0,0,MAX(0,NETWORKDAYS(MAX($K285,AI$4),MIN($L285,EOMONTH(AI$4,0)),Assumptions!$F$4:$F$44))/NETWORKDAYS($K285,$L285,Assumptions!$F$4:$F$44))</f>
        <v>0</v>
      </c>
      <c r="AJ285" s="21" t="n">
        <f aca="false">IF($J285=0,0,MAX(0,NETWORKDAYS(MAX($K285,AJ$4),MIN($L285,EOMONTH(AJ$4,0)),Assumptions!$F$4:$F$44))/NETWORKDAYS($K285,$L285,Assumptions!$F$4:$F$44))</f>
        <v>0</v>
      </c>
      <c r="AK285" s="21" t="n">
        <f aca="false">IF($J285=0,0,MAX(0,NETWORKDAYS(MAX($K285,AK$4),MIN($L285,EOMONTH(AK$4,0)),Assumptions!$F$4:$F$44))/NETWORKDAYS($K285,$L285,Assumptions!$F$4:$F$44))</f>
        <v>0</v>
      </c>
      <c r="AL285" s="21" t="n">
        <f aca="false">IF($J285=0,0,MAX(0,NETWORKDAYS(MAX($K285,AL$4),MIN($L285,EOMONTH(AL$4,0)),Assumptions!$F$4:$F$44))/NETWORKDAYS($K285,$L285,Assumptions!$F$4:$F$44))</f>
        <v>0.425</v>
      </c>
      <c r="AM285" s="21" t="n">
        <f aca="false">IF($J285=0,0,MAX(0,NETWORKDAYS(MAX($K285,AM$4),MIN($L285,EOMONTH(AM$4,0)),Assumptions!$F$4:$F$44))/NETWORKDAYS($K285,$L285,Assumptions!$F$4:$F$44))</f>
        <v>0.55</v>
      </c>
      <c r="AN285" s="21" t="n">
        <f aca="false">IF($J285=0,0,MAX(0,NETWORKDAYS(MAX($K285,AN$4),MIN($L285,EOMONTH(AN$4,0)),Assumptions!$F$4:$F$44))/NETWORKDAYS($K285,$L285,Assumptions!$F$4:$F$44))</f>
        <v>0.025</v>
      </c>
      <c r="AO285" s="21" t="n">
        <f aca="false">IF($J285=0,0,MAX(0,NETWORKDAYS(MAX($K285,AO$4),MIN($L285,EOMONTH(AO$4,0)),Assumptions!$F$4:$F$44))/NETWORKDAYS($K285,$L285,Assumptions!$F$4:$F$44))</f>
        <v>0</v>
      </c>
      <c r="AP285" s="21" t="n">
        <f aca="false">IF($J285=0,0,MAX(0,NETWORKDAYS(MAX($K285,AP$4),MIN($L285,EOMONTH(AP$4,0)),Assumptions!$F$4:$F$44))/NETWORKDAYS($K285,$L285,Assumptions!$F$4:$F$44))</f>
        <v>0</v>
      </c>
      <c r="AQ285" s="21" t="n">
        <f aca="false">IF($J285=0,0,MAX(0,NETWORKDAYS(MAX($K285,AQ$4),MIN($L285,EOMONTH(AQ$4,0)),Assumptions!$F$4:$F$44))/NETWORKDAYS($K285,$L285,Assumptions!$F$4:$F$44))</f>
        <v>0</v>
      </c>
      <c r="AR285" s="21" t="n">
        <f aca="false">IF($J285=0,0,MAX(0,NETWORKDAYS(MAX($K285,AR$4),MIN($L285,EOMONTH(AR$4,0)),Assumptions!$F$4:$F$44))/NETWORKDAYS($K285,$L285,Assumptions!$F$4:$F$44))</f>
        <v>0</v>
      </c>
      <c r="AS285" s="21" t="n">
        <f aca="false">IF($J285=0,0,MAX(0,NETWORKDAYS(MAX($K285,AS$4),MIN($L285,EOMONTH(AS$4,0)),Assumptions!$F$4:$F$44))/NETWORKDAYS($K285,$L285,Assumptions!$F$4:$F$44))</f>
        <v>0</v>
      </c>
      <c r="AT285" s="21" t="n">
        <f aca="false">IF($J285=0,0,MAX(0,NETWORKDAYS(MAX($K285,AT$4),MIN($L285,EOMONTH(AT$4,0)),Assumptions!$F$4:$F$44))/NETWORKDAYS($K285,$L285,Assumptions!$F$4:$F$44))</f>
        <v>0</v>
      </c>
      <c r="AU285" s="21" t="n">
        <f aca="false">IF($J285=0,0,MAX(0,NETWORKDAYS(MAX($K285,AU$4),MIN($L285,EOMONTH(AU$4,0)),Assumptions!$F$4:$F$44))/NETWORKDAYS($K285,$L285,Assumptions!$F$4:$F$44))</f>
        <v>0</v>
      </c>
      <c r="AV285" s="21" t="n">
        <f aca="false">IF($J285=0,0,MAX(0,NETWORKDAYS(MAX($K285,AV$4),MIN($L285,EOMONTH(AV$4,0)),Assumptions!$F$4:$F$44))/NETWORKDAYS($K285,$L285,Assumptions!$F$4:$F$44))</f>
        <v>0</v>
      </c>
      <c r="AW285" s="21" t="n">
        <f aca="false">IF($J285=0,0,MAX(0,NETWORKDAYS(MAX($K285,AW$4),MIN($L285,EOMONTH(AW$4,0)),Assumptions!$F$4:$F$44))/NETWORKDAYS($K285,$L285,Assumptions!$F$4:$F$44))</f>
        <v>0</v>
      </c>
      <c r="AX285" s="21" t="n">
        <f aca="false">IF($J285=0,0,MAX(0,NETWORKDAYS(MAX($K285,AX$4),MIN($L285,EOMONTH(AX$4,0)),Assumptions!$F$4:$F$44))/NETWORKDAYS($K285,$L285,Assumptions!$F$4:$F$44))</f>
        <v>0</v>
      </c>
      <c r="AY285" s="21" t="n">
        <f aca="false">IF($J285=0,0,MAX(0,NETWORKDAYS(MAX($K285,AY$4),MIN($L285,EOMONTH(AY$4,0)),Assumptions!$F$4:$F$44))/NETWORKDAYS($K285,$L285,Assumptions!$F$4:$F$44))</f>
        <v>0</v>
      </c>
      <c r="AZ285" s="21" t="n">
        <f aca="false">IF($J285=0,0,MAX(0,NETWORKDAYS(MAX($K285,AZ$4),MIN($L285,EOMONTH(AZ$4,0)),Assumptions!$F$4:$F$44))/NETWORKDAYS($K285,$L285,Assumptions!$F$4:$F$44))</f>
        <v>0</v>
      </c>
      <c r="BA285" s="21" t="n">
        <f aca="false">IF($J285=0,0,MAX(0,NETWORKDAYS(MAX($K285,BA$4),MIN($L285,EOMONTH(BA$4,0)),Assumptions!$F$4:$F$44))/NETWORKDAYS($K285,$L285,Assumptions!$F$4:$F$44))</f>
        <v>0</v>
      </c>
      <c r="BB285" s="21" t="n">
        <f aca="false">IF($J285=0,0,MAX(0,NETWORKDAYS(MAX($K285,BB$4),MIN($L285,EOMONTH(BB$4,0)),Assumptions!$F$4:$F$44))/NETWORKDAYS($K285,$L285,Assumptions!$F$4:$F$44))</f>
        <v>0</v>
      </c>
      <c r="BC285" s="21" t="n">
        <f aca="false">IF($J285=0,0,MAX(0,NETWORKDAYS(MAX($K285,BC$4),MIN($L285,EOMONTH(BC$4,0)),Assumptions!$F$4:$F$44))/NETWORKDAYS($K285,$L285,Assumptions!$F$4:$F$44))</f>
        <v>0</v>
      </c>
    </row>
    <row r="286" customFormat="false" ht="15" hidden="false" customHeight="false" outlineLevel="2" collapsed="false">
      <c r="A286" s="27" t="n">
        <v>282</v>
      </c>
      <c r="B286" s="27" t="s">
        <v>647</v>
      </c>
      <c r="C286" s="27" t="n">
        <v>3</v>
      </c>
      <c r="D286" s="27" t="s">
        <v>92</v>
      </c>
      <c r="E286" s="28" t="s">
        <v>320</v>
      </c>
      <c r="F286" s="27" t="s">
        <v>502</v>
      </c>
      <c r="G286" s="27" t="s">
        <v>634</v>
      </c>
      <c r="H286" s="27" t="s">
        <v>53</v>
      </c>
      <c r="I286" s="29" t="n">
        <v>121</v>
      </c>
      <c r="J286" s="29" t="n">
        <v>46</v>
      </c>
      <c r="K286" s="30" t="n">
        <f aca="false">WORKDAY(Assumptions!$C$4,I286,Assumptions!$F$4:$F$44)</f>
        <v>46497</v>
      </c>
      <c r="L286" s="30" t="n">
        <f aca="false">IF(J286=0,K286,WORKDAY(K286,J286-1,Assumptions!$F$4:$F$44))</f>
        <v>46560</v>
      </c>
      <c r="M286" s="29" t="s">
        <v>641</v>
      </c>
      <c r="N286" s="31" t="n">
        <v>0</v>
      </c>
      <c r="O286" s="31" t="n">
        <v>0</v>
      </c>
      <c r="P286" s="31" t="n">
        <v>0</v>
      </c>
      <c r="Q286" s="31" t="n">
        <v>0</v>
      </c>
      <c r="R286" s="31" t="n">
        <v>0</v>
      </c>
      <c r="S286" s="31" t="n">
        <v>0</v>
      </c>
      <c r="T286" s="31" t="n">
        <v>9</v>
      </c>
      <c r="U286" s="31" t="n">
        <v>0</v>
      </c>
      <c r="V286" s="31" t="n">
        <v>0</v>
      </c>
      <c r="W286" s="31" t="n">
        <v>0</v>
      </c>
      <c r="X286" s="31" t="n">
        <v>0</v>
      </c>
      <c r="Y286" s="32" t="n">
        <f aca="false">SUM(N286:X286)</f>
        <v>9</v>
      </c>
      <c r="Z286" s="32" t="n">
        <f aca="false">Y286*(1+Assumptions!$C$5)</f>
        <v>10.35</v>
      </c>
      <c r="AA286" s="27" t="s">
        <v>321</v>
      </c>
      <c r="AB286" s="27" t="s">
        <v>95</v>
      </c>
      <c r="AC286" s="27"/>
      <c r="AD286" s="33" t="n">
        <v>0</v>
      </c>
      <c r="AF286" s="21" t="n">
        <f aca="false">IF($J286=0,0,MAX(0,NETWORKDAYS(MAX($K286,AF$4),MIN($L286,EOMONTH(AF$4,0)),Assumptions!$F$4:$F$44))/NETWORKDAYS($K286,$L286,Assumptions!$F$4:$F$44))</f>
        <v>0</v>
      </c>
      <c r="AG286" s="21" t="n">
        <f aca="false">IF($J286=0,0,MAX(0,NETWORKDAYS(MAX($K286,AG$4),MIN($L286,EOMONTH(AG$4,0)),Assumptions!$F$4:$F$44))/NETWORKDAYS($K286,$L286,Assumptions!$F$4:$F$44))</f>
        <v>0</v>
      </c>
      <c r="AH286" s="21" t="n">
        <f aca="false">IF($J286=0,0,MAX(0,NETWORKDAYS(MAX($K286,AH$4),MIN($L286,EOMONTH(AH$4,0)),Assumptions!$F$4:$F$44))/NETWORKDAYS($K286,$L286,Assumptions!$F$4:$F$44))</f>
        <v>0</v>
      </c>
      <c r="AI286" s="21" t="n">
        <f aca="false">IF($J286=0,0,MAX(0,NETWORKDAYS(MAX($K286,AI$4),MIN($L286,EOMONTH(AI$4,0)),Assumptions!$F$4:$F$44))/NETWORKDAYS($K286,$L286,Assumptions!$F$4:$F$44))</f>
        <v>0</v>
      </c>
      <c r="AJ286" s="21" t="n">
        <f aca="false">IF($J286=0,0,MAX(0,NETWORKDAYS(MAX($K286,AJ$4),MIN($L286,EOMONTH(AJ$4,0)),Assumptions!$F$4:$F$44))/NETWORKDAYS($K286,$L286,Assumptions!$F$4:$F$44))</f>
        <v>0</v>
      </c>
      <c r="AK286" s="21" t="n">
        <f aca="false">IF($J286=0,0,MAX(0,NETWORKDAYS(MAX($K286,AK$4),MIN($L286,EOMONTH(AK$4,0)),Assumptions!$F$4:$F$44))/NETWORKDAYS($K286,$L286,Assumptions!$F$4:$F$44))</f>
        <v>0.195652173913044</v>
      </c>
      <c r="AL286" s="21" t="n">
        <f aca="false">IF($J286=0,0,MAX(0,NETWORKDAYS(MAX($K286,AL$4),MIN($L286,EOMONTH(AL$4,0)),Assumptions!$F$4:$F$44))/NETWORKDAYS($K286,$L286,Assumptions!$F$4:$F$44))</f>
        <v>0.456521739130435</v>
      </c>
      <c r="AM286" s="21" t="n">
        <f aca="false">IF($J286=0,0,MAX(0,NETWORKDAYS(MAX($K286,AM$4),MIN($L286,EOMONTH(AM$4,0)),Assumptions!$F$4:$F$44))/NETWORKDAYS($K286,$L286,Assumptions!$F$4:$F$44))</f>
        <v>0.347826086956522</v>
      </c>
      <c r="AN286" s="21" t="n">
        <f aca="false">IF($J286=0,0,MAX(0,NETWORKDAYS(MAX($K286,AN$4),MIN($L286,EOMONTH(AN$4,0)),Assumptions!$F$4:$F$44))/NETWORKDAYS($K286,$L286,Assumptions!$F$4:$F$44))</f>
        <v>0</v>
      </c>
      <c r="AO286" s="21" t="n">
        <f aca="false">IF($J286=0,0,MAX(0,NETWORKDAYS(MAX($K286,AO$4),MIN($L286,EOMONTH(AO$4,0)),Assumptions!$F$4:$F$44))/NETWORKDAYS($K286,$L286,Assumptions!$F$4:$F$44))</f>
        <v>0</v>
      </c>
      <c r="AP286" s="21" t="n">
        <f aca="false">IF($J286=0,0,MAX(0,NETWORKDAYS(MAX($K286,AP$4),MIN($L286,EOMONTH(AP$4,0)),Assumptions!$F$4:$F$44))/NETWORKDAYS($K286,$L286,Assumptions!$F$4:$F$44))</f>
        <v>0</v>
      </c>
      <c r="AQ286" s="21" t="n">
        <f aca="false">IF($J286=0,0,MAX(0,NETWORKDAYS(MAX($K286,AQ$4),MIN($L286,EOMONTH(AQ$4,0)),Assumptions!$F$4:$F$44))/NETWORKDAYS($K286,$L286,Assumptions!$F$4:$F$44))</f>
        <v>0</v>
      </c>
      <c r="AR286" s="21" t="n">
        <f aca="false">IF($J286=0,0,MAX(0,NETWORKDAYS(MAX($K286,AR$4),MIN($L286,EOMONTH(AR$4,0)),Assumptions!$F$4:$F$44))/NETWORKDAYS($K286,$L286,Assumptions!$F$4:$F$44))</f>
        <v>0</v>
      </c>
      <c r="AS286" s="21" t="n">
        <f aca="false">IF($J286=0,0,MAX(0,NETWORKDAYS(MAX($K286,AS$4),MIN($L286,EOMONTH(AS$4,0)),Assumptions!$F$4:$F$44))/NETWORKDAYS($K286,$L286,Assumptions!$F$4:$F$44))</f>
        <v>0</v>
      </c>
      <c r="AT286" s="21" t="n">
        <f aca="false">IF($J286=0,0,MAX(0,NETWORKDAYS(MAX($K286,AT$4),MIN($L286,EOMONTH(AT$4,0)),Assumptions!$F$4:$F$44))/NETWORKDAYS($K286,$L286,Assumptions!$F$4:$F$44))</f>
        <v>0</v>
      </c>
      <c r="AU286" s="21" t="n">
        <f aca="false">IF($J286=0,0,MAX(0,NETWORKDAYS(MAX($K286,AU$4),MIN($L286,EOMONTH(AU$4,0)),Assumptions!$F$4:$F$44))/NETWORKDAYS($K286,$L286,Assumptions!$F$4:$F$44))</f>
        <v>0</v>
      </c>
      <c r="AV286" s="21" t="n">
        <f aca="false">IF($J286=0,0,MAX(0,NETWORKDAYS(MAX($K286,AV$4),MIN($L286,EOMONTH(AV$4,0)),Assumptions!$F$4:$F$44))/NETWORKDAYS($K286,$L286,Assumptions!$F$4:$F$44))</f>
        <v>0</v>
      </c>
      <c r="AW286" s="21" t="n">
        <f aca="false">IF($J286=0,0,MAX(0,NETWORKDAYS(MAX($K286,AW$4),MIN($L286,EOMONTH(AW$4,0)),Assumptions!$F$4:$F$44))/NETWORKDAYS($K286,$L286,Assumptions!$F$4:$F$44))</f>
        <v>0</v>
      </c>
      <c r="AX286" s="21" t="n">
        <f aca="false">IF($J286=0,0,MAX(0,NETWORKDAYS(MAX($K286,AX$4),MIN($L286,EOMONTH(AX$4,0)),Assumptions!$F$4:$F$44))/NETWORKDAYS($K286,$L286,Assumptions!$F$4:$F$44))</f>
        <v>0</v>
      </c>
      <c r="AY286" s="21" t="n">
        <f aca="false">IF($J286=0,0,MAX(0,NETWORKDAYS(MAX($K286,AY$4),MIN($L286,EOMONTH(AY$4,0)),Assumptions!$F$4:$F$44))/NETWORKDAYS($K286,$L286,Assumptions!$F$4:$F$44))</f>
        <v>0</v>
      </c>
      <c r="AZ286" s="21" t="n">
        <f aca="false">IF($J286=0,0,MAX(0,NETWORKDAYS(MAX($K286,AZ$4),MIN($L286,EOMONTH(AZ$4,0)),Assumptions!$F$4:$F$44))/NETWORKDAYS($K286,$L286,Assumptions!$F$4:$F$44))</f>
        <v>0</v>
      </c>
      <c r="BA286" s="21" t="n">
        <f aca="false">IF($J286=0,0,MAX(0,NETWORKDAYS(MAX($K286,BA$4),MIN($L286,EOMONTH(BA$4,0)),Assumptions!$F$4:$F$44))/NETWORKDAYS($K286,$L286,Assumptions!$F$4:$F$44))</f>
        <v>0</v>
      </c>
      <c r="BB286" s="21" t="n">
        <f aca="false">IF($J286=0,0,MAX(0,NETWORKDAYS(MAX($K286,BB$4),MIN($L286,EOMONTH(BB$4,0)),Assumptions!$F$4:$F$44))/NETWORKDAYS($K286,$L286,Assumptions!$F$4:$F$44))</f>
        <v>0</v>
      </c>
      <c r="BC286" s="21" t="n">
        <f aca="false">IF($J286=0,0,MAX(0,NETWORKDAYS(MAX($K286,BC$4),MIN($L286,EOMONTH(BC$4,0)),Assumptions!$F$4:$F$44))/NETWORKDAYS($K286,$L286,Assumptions!$F$4:$F$44))</f>
        <v>0</v>
      </c>
    </row>
    <row r="287" customFormat="false" ht="15" hidden="false" customHeight="false" outlineLevel="2" collapsed="false">
      <c r="A287" s="27" t="n">
        <v>283</v>
      </c>
      <c r="B287" s="27" t="s">
        <v>648</v>
      </c>
      <c r="C287" s="27" t="n">
        <v>3</v>
      </c>
      <c r="D287" s="27" t="s">
        <v>92</v>
      </c>
      <c r="E287" s="28" t="s">
        <v>619</v>
      </c>
      <c r="F287" s="27" t="s">
        <v>502</v>
      </c>
      <c r="G287" s="27" t="s">
        <v>634</v>
      </c>
      <c r="H287" s="27" t="s">
        <v>47</v>
      </c>
      <c r="I287" s="29" t="n">
        <v>141</v>
      </c>
      <c r="J287" s="29" t="n">
        <v>37</v>
      </c>
      <c r="K287" s="30" t="n">
        <f aca="false">WORKDAY(Assumptions!$C$4,I287,Assumptions!$F$4:$F$44)</f>
        <v>46525</v>
      </c>
      <c r="L287" s="30" t="n">
        <f aca="false">IF(J287=0,K287,WORKDAY(K287,J287-1,Assumptions!$F$4:$F$44))</f>
        <v>46575</v>
      </c>
      <c r="M287" s="29" t="s">
        <v>649</v>
      </c>
      <c r="N287" s="31" t="n">
        <v>0</v>
      </c>
      <c r="O287" s="31" t="n">
        <v>0</v>
      </c>
      <c r="P287" s="31" t="n">
        <v>0</v>
      </c>
      <c r="Q287" s="31" t="n">
        <v>16</v>
      </c>
      <c r="R287" s="31" t="n">
        <v>0</v>
      </c>
      <c r="S287" s="31" t="n">
        <v>0</v>
      </c>
      <c r="T287" s="31" t="n">
        <v>0</v>
      </c>
      <c r="U287" s="31" t="n">
        <v>0</v>
      </c>
      <c r="V287" s="31" t="n">
        <v>0</v>
      </c>
      <c r="W287" s="31" t="n">
        <v>0</v>
      </c>
      <c r="X287" s="31" t="n">
        <v>0</v>
      </c>
      <c r="Y287" s="32" t="n">
        <f aca="false">SUM(N287:X287)</f>
        <v>16</v>
      </c>
      <c r="Z287" s="32" t="n">
        <f aca="false">Y287*(1+Assumptions!$C$5)</f>
        <v>18.4</v>
      </c>
      <c r="AA287" s="27" t="s">
        <v>325</v>
      </c>
      <c r="AB287" s="27" t="s">
        <v>95</v>
      </c>
      <c r="AC287" s="27"/>
      <c r="AD287" s="33" t="n">
        <v>0</v>
      </c>
      <c r="AF287" s="21" t="n">
        <f aca="false">IF($J287=0,0,MAX(0,NETWORKDAYS(MAX($K287,AF$4),MIN($L287,EOMONTH(AF$4,0)),Assumptions!$F$4:$F$44))/NETWORKDAYS($K287,$L287,Assumptions!$F$4:$F$44))</f>
        <v>0</v>
      </c>
      <c r="AG287" s="21" t="n">
        <f aca="false">IF($J287=0,0,MAX(0,NETWORKDAYS(MAX($K287,AG$4),MIN($L287,EOMONTH(AG$4,0)),Assumptions!$F$4:$F$44))/NETWORKDAYS($K287,$L287,Assumptions!$F$4:$F$44))</f>
        <v>0</v>
      </c>
      <c r="AH287" s="21" t="n">
        <f aca="false">IF($J287=0,0,MAX(0,NETWORKDAYS(MAX($K287,AH$4),MIN($L287,EOMONTH(AH$4,0)),Assumptions!$F$4:$F$44))/NETWORKDAYS($K287,$L287,Assumptions!$F$4:$F$44))</f>
        <v>0</v>
      </c>
      <c r="AI287" s="21" t="n">
        <f aca="false">IF($J287=0,0,MAX(0,NETWORKDAYS(MAX($K287,AI$4),MIN($L287,EOMONTH(AI$4,0)),Assumptions!$F$4:$F$44))/NETWORKDAYS($K287,$L287,Assumptions!$F$4:$F$44))</f>
        <v>0</v>
      </c>
      <c r="AJ287" s="21" t="n">
        <f aca="false">IF($J287=0,0,MAX(0,NETWORKDAYS(MAX($K287,AJ$4),MIN($L287,EOMONTH(AJ$4,0)),Assumptions!$F$4:$F$44))/NETWORKDAYS($K287,$L287,Assumptions!$F$4:$F$44))</f>
        <v>0</v>
      </c>
      <c r="AK287" s="21" t="n">
        <f aca="false">IF($J287=0,0,MAX(0,NETWORKDAYS(MAX($K287,AK$4),MIN($L287,EOMONTH(AK$4,0)),Assumptions!$F$4:$F$44))/NETWORKDAYS($K287,$L287,Assumptions!$F$4:$F$44))</f>
        <v>0</v>
      </c>
      <c r="AL287" s="21" t="n">
        <f aca="false">IF($J287=0,0,MAX(0,NETWORKDAYS(MAX($K287,AL$4),MIN($L287,EOMONTH(AL$4,0)),Assumptions!$F$4:$F$44))/NETWORKDAYS($K287,$L287,Assumptions!$F$4:$F$44))</f>
        <v>0.27027027027027</v>
      </c>
      <c r="AM287" s="21" t="n">
        <f aca="false">IF($J287=0,0,MAX(0,NETWORKDAYS(MAX($K287,AM$4),MIN($L287,EOMONTH(AM$4,0)),Assumptions!$F$4:$F$44))/NETWORKDAYS($K287,$L287,Assumptions!$F$4:$F$44))</f>
        <v>0.594594594594595</v>
      </c>
      <c r="AN287" s="21" t="n">
        <f aca="false">IF($J287=0,0,MAX(0,NETWORKDAYS(MAX($K287,AN$4),MIN($L287,EOMONTH(AN$4,0)),Assumptions!$F$4:$F$44))/NETWORKDAYS($K287,$L287,Assumptions!$F$4:$F$44))</f>
        <v>0.135135135135135</v>
      </c>
      <c r="AO287" s="21" t="n">
        <f aca="false">IF($J287=0,0,MAX(0,NETWORKDAYS(MAX($K287,AO$4),MIN($L287,EOMONTH(AO$4,0)),Assumptions!$F$4:$F$44))/NETWORKDAYS($K287,$L287,Assumptions!$F$4:$F$44))</f>
        <v>0</v>
      </c>
      <c r="AP287" s="21" t="n">
        <f aca="false">IF($J287=0,0,MAX(0,NETWORKDAYS(MAX($K287,AP$4),MIN($L287,EOMONTH(AP$4,0)),Assumptions!$F$4:$F$44))/NETWORKDAYS($K287,$L287,Assumptions!$F$4:$F$44))</f>
        <v>0</v>
      </c>
      <c r="AQ287" s="21" t="n">
        <f aca="false">IF($J287=0,0,MAX(0,NETWORKDAYS(MAX($K287,AQ$4),MIN($L287,EOMONTH(AQ$4,0)),Assumptions!$F$4:$F$44))/NETWORKDAYS($K287,$L287,Assumptions!$F$4:$F$44))</f>
        <v>0</v>
      </c>
      <c r="AR287" s="21" t="n">
        <f aca="false">IF($J287=0,0,MAX(0,NETWORKDAYS(MAX($K287,AR$4),MIN($L287,EOMONTH(AR$4,0)),Assumptions!$F$4:$F$44))/NETWORKDAYS($K287,$L287,Assumptions!$F$4:$F$44))</f>
        <v>0</v>
      </c>
      <c r="AS287" s="21" t="n">
        <f aca="false">IF($J287=0,0,MAX(0,NETWORKDAYS(MAX($K287,AS$4),MIN($L287,EOMONTH(AS$4,0)),Assumptions!$F$4:$F$44))/NETWORKDAYS($K287,$L287,Assumptions!$F$4:$F$44))</f>
        <v>0</v>
      </c>
      <c r="AT287" s="21" t="n">
        <f aca="false">IF($J287=0,0,MAX(0,NETWORKDAYS(MAX($K287,AT$4),MIN($L287,EOMONTH(AT$4,0)),Assumptions!$F$4:$F$44))/NETWORKDAYS($K287,$L287,Assumptions!$F$4:$F$44))</f>
        <v>0</v>
      </c>
      <c r="AU287" s="21" t="n">
        <f aca="false">IF($J287=0,0,MAX(0,NETWORKDAYS(MAX($K287,AU$4),MIN($L287,EOMONTH(AU$4,0)),Assumptions!$F$4:$F$44))/NETWORKDAYS($K287,$L287,Assumptions!$F$4:$F$44))</f>
        <v>0</v>
      </c>
      <c r="AV287" s="21" t="n">
        <f aca="false">IF($J287=0,0,MAX(0,NETWORKDAYS(MAX($K287,AV$4),MIN($L287,EOMONTH(AV$4,0)),Assumptions!$F$4:$F$44))/NETWORKDAYS($K287,$L287,Assumptions!$F$4:$F$44))</f>
        <v>0</v>
      </c>
      <c r="AW287" s="21" t="n">
        <f aca="false">IF($J287=0,0,MAX(0,NETWORKDAYS(MAX($K287,AW$4),MIN($L287,EOMONTH(AW$4,0)),Assumptions!$F$4:$F$44))/NETWORKDAYS($K287,$L287,Assumptions!$F$4:$F$44))</f>
        <v>0</v>
      </c>
      <c r="AX287" s="21" t="n">
        <f aca="false">IF($J287=0,0,MAX(0,NETWORKDAYS(MAX($K287,AX$4),MIN($L287,EOMONTH(AX$4,0)),Assumptions!$F$4:$F$44))/NETWORKDAYS($K287,$L287,Assumptions!$F$4:$F$44))</f>
        <v>0</v>
      </c>
      <c r="AY287" s="21" t="n">
        <f aca="false">IF($J287=0,0,MAX(0,NETWORKDAYS(MAX($K287,AY$4),MIN($L287,EOMONTH(AY$4,0)),Assumptions!$F$4:$F$44))/NETWORKDAYS($K287,$L287,Assumptions!$F$4:$F$44))</f>
        <v>0</v>
      </c>
      <c r="AZ287" s="21" t="n">
        <f aca="false">IF($J287=0,0,MAX(0,NETWORKDAYS(MAX($K287,AZ$4),MIN($L287,EOMONTH(AZ$4,0)),Assumptions!$F$4:$F$44))/NETWORKDAYS($K287,$L287,Assumptions!$F$4:$F$44))</f>
        <v>0</v>
      </c>
      <c r="BA287" s="21" t="n">
        <f aca="false">IF($J287=0,0,MAX(0,NETWORKDAYS(MAX($K287,BA$4),MIN($L287,EOMONTH(BA$4,0)),Assumptions!$F$4:$F$44))/NETWORKDAYS($K287,$L287,Assumptions!$F$4:$F$44))</f>
        <v>0</v>
      </c>
      <c r="BB287" s="21" t="n">
        <f aca="false">IF($J287=0,0,MAX(0,NETWORKDAYS(MAX($K287,BB$4),MIN($L287,EOMONTH(BB$4,0)),Assumptions!$F$4:$F$44))/NETWORKDAYS($K287,$L287,Assumptions!$F$4:$F$44))</f>
        <v>0</v>
      </c>
      <c r="BC287" s="21" t="n">
        <f aca="false">IF($J287=0,0,MAX(0,NETWORKDAYS(MAX($K287,BC$4),MIN($L287,EOMONTH(BC$4,0)),Assumptions!$F$4:$F$44))/NETWORKDAYS($K287,$L287,Assumptions!$F$4:$F$44))</f>
        <v>0</v>
      </c>
    </row>
    <row r="288" customFormat="false" ht="15" hidden="false" customHeight="false" outlineLevel="2" collapsed="false">
      <c r="A288" s="27" t="n">
        <v>284</v>
      </c>
      <c r="B288" s="27" t="s">
        <v>650</v>
      </c>
      <c r="C288" s="27" t="n">
        <v>3</v>
      </c>
      <c r="D288" s="27" t="s">
        <v>92</v>
      </c>
      <c r="E288" s="28" t="s">
        <v>530</v>
      </c>
      <c r="F288" s="27" t="s">
        <v>502</v>
      </c>
      <c r="G288" s="27" t="s">
        <v>634</v>
      </c>
      <c r="H288" s="27" t="s">
        <v>47</v>
      </c>
      <c r="I288" s="29" t="n">
        <v>134</v>
      </c>
      <c r="J288" s="29" t="n">
        <v>44</v>
      </c>
      <c r="K288" s="30" t="n">
        <f aca="false">WORKDAY(Assumptions!$C$4,I288,Assumptions!$F$4:$F$44)</f>
        <v>46514</v>
      </c>
      <c r="L288" s="30" t="n">
        <f aca="false">IF(J288=0,K288,WORKDAY(K288,J288-1,Assumptions!$F$4:$F$44))</f>
        <v>46575</v>
      </c>
      <c r="M288" s="29" t="s">
        <v>641</v>
      </c>
      <c r="N288" s="31" t="n">
        <v>0</v>
      </c>
      <c r="O288" s="31" t="n">
        <v>0</v>
      </c>
      <c r="P288" s="31" t="n">
        <v>0</v>
      </c>
      <c r="Q288" s="31" t="n">
        <v>15</v>
      </c>
      <c r="R288" s="31" t="n">
        <v>0</v>
      </c>
      <c r="S288" s="31" t="n">
        <v>0</v>
      </c>
      <c r="T288" s="31" t="n">
        <v>0</v>
      </c>
      <c r="U288" s="31" t="n">
        <v>0</v>
      </c>
      <c r="V288" s="31" t="n">
        <v>3</v>
      </c>
      <c r="W288" s="31" t="n">
        <v>0</v>
      </c>
      <c r="X288" s="31" t="n">
        <v>0</v>
      </c>
      <c r="Y288" s="32" t="n">
        <f aca="false">SUM(N288:X288)</f>
        <v>18</v>
      </c>
      <c r="Z288" s="32" t="n">
        <f aca="false">Y288*(1+Assumptions!$C$5)</f>
        <v>20.7</v>
      </c>
      <c r="AA288" s="27" t="s">
        <v>328</v>
      </c>
      <c r="AB288" s="27" t="s">
        <v>95</v>
      </c>
      <c r="AC288" s="27"/>
      <c r="AD288" s="33" t="n">
        <v>0</v>
      </c>
      <c r="AF288" s="21" t="n">
        <f aca="false">IF($J288=0,0,MAX(0,NETWORKDAYS(MAX($K288,AF$4),MIN($L288,EOMONTH(AF$4,0)),Assumptions!$F$4:$F$44))/NETWORKDAYS($K288,$L288,Assumptions!$F$4:$F$44))</f>
        <v>0</v>
      </c>
      <c r="AG288" s="21" t="n">
        <f aca="false">IF($J288=0,0,MAX(0,NETWORKDAYS(MAX($K288,AG$4),MIN($L288,EOMONTH(AG$4,0)),Assumptions!$F$4:$F$44))/NETWORKDAYS($K288,$L288,Assumptions!$F$4:$F$44))</f>
        <v>0</v>
      </c>
      <c r="AH288" s="21" t="n">
        <f aca="false">IF($J288=0,0,MAX(0,NETWORKDAYS(MAX($K288,AH$4),MIN($L288,EOMONTH(AH$4,0)),Assumptions!$F$4:$F$44))/NETWORKDAYS($K288,$L288,Assumptions!$F$4:$F$44))</f>
        <v>0</v>
      </c>
      <c r="AI288" s="21" t="n">
        <f aca="false">IF($J288=0,0,MAX(0,NETWORKDAYS(MAX($K288,AI$4),MIN($L288,EOMONTH(AI$4,0)),Assumptions!$F$4:$F$44))/NETWORKDAYS($K288,$L288,Assumptions!$F$4:$F$44))</f>
        <v>0</v>
      </c>
      <c r="AJ288" s="21" t="n">
        <f aca="false">IF($J288=0,0,MAX(0,NETWORKDAYS(MAX($K288,AJ$4),MIN($L288,EOMONTH(AJ$4,0)),Assumptions!$F$4:$F$44))/NETWORKDAYS($K288,$L288,Assumptions!$F$4:$F$44))</f>
        <v>0</v>
      </c>
      <c r="AK288" s="21" t="n">
        <f aca="false">IF($J288=0,0,MAX(0,NETWORKDAYS(MAX($K288,AK$4),MIN($L288,EOMONTH(AK$4,0)),Assumptions!$F$4:$F$44))/NETWORKDAYS($K288,$L288,Assumptions!$F$4:$F$44))</f>
        <v>0</v>
      </c>
      <c r="AL288" s="21" t="n">
        <f aca="false">IF($J288=0,0,MAX(0,NETWORKDAYS(MAX($K288,AL$4),MIN($L288,EOMONTH(AL$4,0)),Assumptions!$F$4:$F$44))/NETWORKDAYS($K288,$L288,Assumptions!$F$4:$F$44))</f>
        <v>0.386363636363636</v>
      </c>
      <c r="AM288" s="21" t="n">
        <f aca="false">IF($J288=0,0,MAX(0,NETWORKDAYS(MAX($K288,AM$4),MIN($L288,EOMONTH(AM$4,0)),Assumptions!$F$4:$F$44))/NETWORKDAYS($K288,$L288,Assumptions!$F$4:$F$44))</f>
        <v>0.5</v>
      </c>
      <c r="AN288" s="21" t="n">
        <f aca="false">IF($J288=0,0,MAX(0,NETWORKDAYS(MAX($K288,AN$4),MIN($L288,EOMONTH(AN$4,0)),Assumptions!$F$4:$F$44))/NETWORKDAYS($K288,$L288,Assumptions!$F$4:$F$44))</f>
        <v>0.113636363636364</v>
      </c>
      <c r="AO288" s="21" t="n">
        <f aca="false">IF($J288=0,0,MAX(0,NETWORKDAYS(MAX($K288,AO$4),MIN($L288,EOMONTH(AO$4,0)),Assumptions!$F$4:$F$44))/NETWORKDAYS($K288,$L288,Assumptions!$F$4:$F$44))</f>
        <v>0</v>
      </c>
      <c r="AP288" s="21" t="n">
        <f aca="false">IF($J288=0,0,MAX(0,NETWORKDAYS(MAX($K288,AP$4),MIN($L288,EOMONTH(AP$4,0)),Assumptions!$F$4:$F$44))/NETWORKDAYS($K288,$L288,Assumptions!$F$4:$F$44))</f>
        <v>0</v>
      </c>
      <c r="AQ288" s="21" t="n">
        <f aca="false">IF($J288=0,0,MAX(0,NETWORKDAYS(MAX($K288,AQ$4),MIN($L288,EOMONTH(AQ$4,0)),Assumptions!$F$4:$F$44))/NETWORKDAYS($K288,$L288,Assumptions!$F$4:$F$44))</f>
        <v>0</v>
      </c>
      <c r="AR288" s="21" t="n">
        <f aca="false">IF($J288=0,0,MAX(0,NETWORKDAYS(MAX($K288,AR$4),MIN($L288,EOMONTH(AR$4,0)),Assumptions!$F$4:$F$44))/NETWORKDAYS($K288,$L288,Assumptions!$F$4:$F$44))</f>
        <v>0</v>
      </c>
      <c r="AS288" s="21" t="n">
        <f aca="false">IF($J288=0,0,MAX(0,NETWORKDAYS(MAX($K288,AS$4),MIN($L288,EOMONTH(AS$4,0)),Assumptions!$F$4:$F$44))/NETWORKDAYS($K288,$L288,Assumptions!$F$4:$F$44))</f>
        <v>0</v>
      </c>
      <c r="AT288" s="21" t="n">
        <f aca="false">IF($J288=0,0,MAX(0,NETWORKDAYS(MAX($K288,AT$4),MIN($L288,EOMONTH(AT$4,0)),Assumptions!$F$4:$F$44))/NETWORKDAYS($K288,$L288,Assumptions!$F$4:$F$44))</f>
        <v>0</v>
      </c>
      <c r="AU288" s="21" t="n">
        <f aca="false">IF($J288=0,0,MAX(0,NETWORKDAYS(MAX($K288,AU$4),MIN($L288,EOMONTH(AU$4,0)),Assumptions!$F$4:$F$44))/NETWORKDAYS($K288,$L288,Assumptions!$F$4:$F$44))</f>
        <v>0</v>
      </c>
      <c r="AV288" s="21" t="n">
        <f aca="false">IF($J288=0,0,MAX(0,NETWORKDAYS(MAX($K288,AV$4),MIN($L288,EOMONTH(AV$4,0)),Assumptions!$F$4:$F$44))/NETWORKDAYS($K288,$L288,Assumptions!$F$4:$F$44))</f>
        <v>0</v>
      </c>
      <c r="AW288" s="21" t="n">
        <f aca="false">IF($J288=0,0,MAX(0,NETWORKDAYS(MAX($K288,AW$4),MIN($L288,EOMONTH(AW$4,0)),Assumptions!$F$4:$F$44))/NETWORKDAYS($K288,$L288,Assumptions!$F$4:$F$44))</f>
        <v>0</v>
      </c>
      <c r="AX288" s="21" t="n">
        <f aca="false">IF($J288=0,0,MAX(0,NETWORKDAYS(MAX($K288,AX$4),MIN($L288,EOMONTH(AX$4,0)),Assumptions!$F$4:$F$44))/NETWORKDAYS($K288,$L288,Assumptions!$F$4:$F$44))</f>
        <v>0</v>
      </c>
      <c r="AY288" s="21" t="n">
        <f aca="false">IF($J288=0,0,MAX(0,NETWORKDAYS(MAX($K288,AY$4),MIN($L288,EOMONTH(AY$4,0)),Assumptions!$F$4:$F$44))/NETWORKDAYS($K288,$L288,Assumptions!$F$4:$F$44))</f>
        <v>0</v>
      </c>
      <c r="AZ288" s="21" t="n">
        <f aca="false">IF($J288=0,0,MAX(0,NETWORKDAYS(MAX($K288,AZ$4),MIN($L288,EOMONTH(AZ$4,0)),Assumptions!$F$4:$F$44))/NETWORKDAYS($K288,$L288,Assumptions!$F$4:$F$44))</f>
        <v>0</v>
      </c>
      <c r="BA288" s="21" t="n">
        <f aca="false">IF($J288=0,0,MAX(0,NETWORKDAYS(MAX($K288,BA$4),MIN($L288,EOMONTH(BA$4,0)),Assumptions!$F$4:$F$44))/NETWORKDAYS($K288,$L288,Assumptions!$F$4:$F$44))</f>
        <v>0</v>
      </c>
      <c r="BB288" s="21" t="n">
        <f aca="false">IF($J288=0,0,MAX(0,NETWORKDAYS(MAX($K288,BB$4),MIN($L288,EOMONTH(BB$4,0)),Assumptions!$F$4:$F$44))/NETWORKDAYS($K288,$L288,Assumptions!$F$4:$F$44))</f>
        <v>0</v>
      </c>
      <c r="BC288" s="21" t="n">
        <f aca="false">IF($J288=0,0,MAX(0,NETWORKDAYS(MAX($K288,BC$4),MIN($L288,EOMONTH(BC$4,0)),Assumptions!$F$4:$F$44))/NETWORKDAYS($K288,$L288,Assumptions!$F$4:$F$44))</f>
        <v>0</v>
      </c>
    </row>
    <row r="289" customFormat="false" ht="15" hidden="false" customHeight="false" outlineLevel="2" collapsed="false">
      <c r="A289" s="27" t="n">
        <v>285</v>
      </c>
      <c r="B289" s="27" t="s">
        <v>651</v>
      </c>
      <c r="C289" s="27" t="n">
        <v>3</v>
      </c>
      <c r="D289" s="27" t="s">
        <v>92</v>
      </c>
      <c r="E289" s="28" t="s">
        <v>330</v>
      </c>
      <c r="F289" s="27" t="s">
        <v>502</v>
      </c>
      <c r="G289" s="27" t="s">
        <v>634</v>
      </c>
      <c r="H289" s="27" t="s">
        <v>47</v>
      </c>
      <c r="I289" s="29" t="n">
        <v>154</v>
      </c>
      <c r="J289" s="29" t="n">
        <v>26</v>
      </c>
      <c r="K289" s="30" t="n">
        <f aca="false">WORKDAY(Assumptions!$C$4,I289,Assumptions!$F$4:$F$44)</f>
        <v>46542</v>
      </c>
      <c r="L289" s="30" t="n">
        <f aca="false">IF(J289=0,K289,WORKDAY(K289,J289-1,Assumptions!$F$4:$F$44))</f>
        <v>46577</v>
      </c>
      <c r="M289" s="29" t="s">
        <v>649</v>
      </c>
      <c r="N289" s="31" t="n">
        <v>0</v>
      </c>
      <c r="O289" s="31" t="n">
        <v>2</v>
      </c>
      <c r="P289" s="31" t="n">
        <v>0</v>
      </c>
      <c r="Q289" s="31" t="n">
        <v>4</v>
      </c>
      <c r="R289" s="31" t="n">
        <v>4</v>
      </c>
      <c r="S289" s="31" t="n">
        <v>0</v>
      </c>
      <c r="T289" s="31" t="n">
        <v>0</v>
      </c>
      <c r="U289" s="31" t="n">
        <v>0</v>
      </c>
      <c r="V289" s="31" t="n">
        <v>0</v>
      </c>
      <c r="W289" s="31" t="n">
        <v>0</v>
      </c>
      <c r="X289" s="31" t="n">
        <v>0</v>
      </c>
      <c r="Y289" s="32" t="n">
        <f aca="false">SUM(N289:X289)</f>
        <v>10</v>
      </c>
      <c r="Z289" s="32" t="n">
        <f aca="false">Y289*(1+Assumptions!$C$5)</f>
        <v>11.5</v>
      </c>
      <c r="AA289" s="27" t="s">
        <v>331</v>
      </c>
      <c r="AB289" s="27" t="s">
        <v>95</v>
      </c>
      <c r="AC289" s="27"/>
      <c r="AD289" s="33" t="n">
        <v>0</v>
      </c>
      <c r="AF289" s="21" t="n">
        <f aca="false">IF($J289=0,0,MAX(0,NETWORKDAYS(MAX($K289,AF$4),MIN($L289,EOMONTH(AF$4,0)),Assumptions!$F$4:$F$44))/NETWORKDAYS($K289,$L289,Assumptions!$F$4:$F$44))</f>
        <v>0</v>
      </c>
      <c r="AG289" s="21" t="n">
        <f aca="false">IF($J289=0,0,MAX(0,NETWORKDAYS(MAX($K289,AG$4),MIN($L289,EOMONTH(AG$4,0)),Assumptions!$F$4:$F$44))/NETWORKDAYS($K289,$L289,Assumptions!$F$4:$F$44))</f>
        <v>0</v>
      </c>
      <c r="AH289" s="21" t="n">
        <f aca="false">IF($J289=0,0,MAX(0,NETWORKDAYS(MAX($K289,AH$4),MIN($L289,EOMONTH(AH$4,0)),Assumptions!$F$4:$F$44))/NETWORKDAYS($K289,$L289,Assumptions!$F$4:$F$44))</f>
        <v>0</v>
      </c>
      <c r="AI289" s="21" t="n">
        <f aca="false">IF($J289=0,0,MAX(0,NETWORKDAYS(MAX($K289,AI$4),MIN($L289,EOMONTH(AI$4,0)),Assumptions!$F$4:$F$44))/NETWORKDAYS($K289,$L289,Assumptions!$F$4:$F$44))</f>
        <v>0</v>
      </c>
      <c r="AJ289" s="21" t="n">
        <f aca="false">IF($J289=0,0,MAX(0,NETWORKDAYS(MAX($K289,AJ$4),MIN($L289,EOMONTH(AJ$4,0)),Assumptions!$F$4:$F$44))/NETWORKDAYS($K289,$L289,Assumptions!$F$4:$F$44))</f>
        <v>0</v>
      </c>
      <c r="AK289" s="21" t="n">
        <f aca="false">IF($J289=0,0,MAX(0,NETWORKDAYS(MAX($K289,AK$4),MIN($L289,EOMONTH(AK$4,0)),Assumptions!$F$4:$F$44))/NETWORKDAYS($K289,$L289,Assumptions!$F$4:$F$44))</f>
        <v>0</v>
      </c>
      <c r="AL289" s="21" t="n">
        <f aca="false">IF($J289=0,0,MAX(0,NETWORKDAYS(MAX($K289,AL$4),MIN($L289,EOMONTH(AL$4,0)),Assumptions!$F$4:$F$44))/NETWORKDAYS($K289,$L289,Assumptions!$F$4:$F$44))</f>
        <v>0</v>
      </c>
      <c r="AM289" s="21" t="n">
        <f aca="false">IF($J289=0,0,MAX(0,NETWORKDAYS(MAX($K289,AM$4),MIN($L289,EOMONTH(AM$4,0)),Assumptions!$F$4:$F$44))/NETWORKDAYS($K289,$L289,Assumptions!$F$4:$F$44))</f>
        <v>0.730769230769231</v>
      </c>
      <c r="AN289" s="21" t="n">
        <f aca="false">IF($J289=0,0,MAX(0,NETWORKDAYS(MAX($K289,AN$4),MIN($L289,EOMONTH(AN$4,0)),Assumptions!$F$4:$F$44))/NETWORKDAYS($K289,$L289,Assumptions!$F$4:$F$44))</f>
        <v>0.269230769230769</v>
      </c>
      <c r="AO289" s="21" t="n">
        <f aca="false">IF($J289=0,0,MAX(0,NETWORKDAYS(MAX($K289,AO$4),MIN($L289,EOMONTH(AO$4,0)),Assumptions!$F$4:$F$44))/NETWORKDAYS($K289,$L289,Assumptions!$F$4:$F$44))</f>
        <v>0</v>
      </c>
      <c r="AP289" s="21" t="n">
        <f aca="false">IF($J289=0,0,MAX(0,NETWORKDAYS(MAX($K289,AP$4),MIN($L289,EOMONTH(AP$4,0)),Assumptions!$F$4:$F$44))/NETWORKDAYS($K289,$L289,Assumptions!$F$4:$F$44))</f>
        <v>0</v>
      </c>
      <c r="AQ289" s="21" t="n">
        <f aca="false">IF($J289=0,0,MAX(0,NETWORKDAYS(MAX($K289,AQ$4),MIN($L289,EOMONTH(AQ$4,0)),Assumptions!$F$4:$F$44))/NETWORKDAYS($K289,$L289,Assumptions!$F$4:$F$44))</f>
        <v>0</v>
      </c>
      <c r="AR289" s="21" t="n">
        <f aca="false">IF($J289=0,0,MAX(0,NETWORKDAYS(MAX($K289,AR$4),MIN($L289,EOMONTH(AR$4,0)),Assumptions!$F$4:$F$44))/NETWORKDAYS($K289,$L289,Assumptions!$F$4:$F$44))</f>
        <v>0</v>
      </c>
      <c r="AS289" s="21" t="n">
        <f aca="false">IF($J289=0,0,MAX(0,NETWORKDAYS(MAX($K289,AS$4),MIN($L289,EOMONTH(AS$4,0)),Assumptions!$F$4:$F$44))/NETWORKDAYS($K289,$L289,Assumptions!$F$4:$F$44))</f>
        <v>0</v>
      </c>
      <c r="AT289" s="21" t="n">
        <f aca="false">IF($J289=0,0,MAX(0,NETWORKDAYS(MAX($K289,AT$4),MIN($L289,EOMONTH(AT$4,0)),Assumptions!$F$4:$F$44))/NETWORKDAYS($K289,$L289,Assumptions!$F$4:$F$44))</f>
        <v>0</v>
      </c>
      <c r="AU289" s="21" t="n">
        <f aca="false">IF($J289=0,0,MAX(0,NETWORKDAYS(MAX($K289,AU$4),MIN($L289,EOMONTH(AU$4,0)),Assumptions!$F$4:$F$44))/NETWORKDAYS($K289,$L289,Assumptions!$F$4:$F$44))</f>
        <v>0</v>
      </c>
      <c r="AV289" s="21" t="n">
        <f aca="false">IF($J289=0,0,MAX(0,NETWORKDAYS(MAX($K289,AV$4),MIN($L289,EOMONTH(AV$4,0)),Assumptions!$F$4:$F$44))/NETWORKDAYS($K289,$L289,Assumptions!$F$4:$F$44))</f>
        <v>0</v>
      </c>
      <c r="AW289" s="21" t="n">
        <f aca="false">IF($J289=0,0,MAX(0,NETWORKDAYS(MAX($K289,AW$4),MIN($L289,EOMONTH(AW$4,0)),Assumptions!$F$4:$F$44))/NETWORKDAYS($K289,$L289,Assumptions!$F$4:$F$44))</f>
        <v>0</v>
      </c>
      <c r="AX289" s="21" t="n">
        <f aca="false">IF($J289=0,0,MAX(0,NETWORKDAYS(MAX($K289,AX$4),MIN($L289,EOMONTH(AX$4,0)),Assumptions!$F$4:$F$44))/NETWORKDAYS($K289,$L289,Assumptions!$F$4:$F$44))</f>
        <v>0</v>
      </c>
      <c r="AY289" s="21" t="n">
        <f aca="false">IF($J289=0,0,MAX(0,NETWORKDAYS(MAX($K289,AY$4),MIN($L289,EOMONTH(AY$4,0)),Assumptions!$F$4:$F$44))/NETWORKDAYS($K289,$L289,Assumptions!$F$4:$F$44))</f>
        <v>0</v>
      </c>
      <c r="AZ289" s="21" t="n">
        <f aca="false">IF($J289=0,0,MAX(0,NETWORKDAYS(MAX($K289,AZ$4),MIN($L289,EOMONTH(AZ$4,0)),Assumptions!$F$4:$F$44))/NETWORKDAYS($K289,$L289,Assumptions!$F$4:$F$44))</f>
        <v>0</v>
      </c>
      <c r="BA289" s="21" t="n">
        <f aca="false">IF($J289=0,0,MAX(0,NETWORKDAYS(MAX($K289,BA$4),MIN($L289,EOMONTH(BA$4,0)),Assumptions!$F$4:$F$44))/NETWORKDAYS($K289,$L289,Assumptions!$F$4:$F$44))</f>
        <v>0</v>
      </c>
      <c r="BB289" s="21" t="n">
        <f aca="false">IF($J289=0,0,MAX(0,NETWORKDAYS(MAX($K289,BB$4),MIN($L289,EOMONTH(BB$4,0)),Assumptions!$F$4:$F$44))/NETWORKDAYS($K289,$L289,Assumptions!$F$4:$F$44))</f>
        <v>0</v>
      </c>
      <c r="BC289" s="21" t="n">
        <f aca="false">IF($J289=0,0,MAX(0,NETWORKDAYS(MAX($K289,BC$4),MIN($L289,EOMONTH(BC$4,0)),Assumptions!$F$4:$F$44))/NETWORKDAYS($K289,$L289,Assumptions!$F$4:$F$44))</f>
        <v>0</v>
      </c>
    </row>
    <row r="290" customFormat="false" ht="15" hidden="false" customHeight="false" outlineLevel="2" collapsed="false">
      <c r="A290" s="27" t="n">
        <v>286</v>
      </c>
      <c r="B290" s="27" t="s">
        <v>652</v>
      </c>
      <c r="C290" s="27" t="n">
        <v>3</v>
      </c>
      <c r="D290" s="27" t="s">
        <v>92</v>
      </c>
      <c r="E290" s="28" t="s">
        <v>336</v>
      </c>
      <c r="F290" s="27" t="s">
        <v>502</v>
      </c>
      <c r="G290" s="27" t="s">
        <v>634</v>
      </c>
      <c r="H290" s="27" t="s">
        <v>57</v>
      </c>
      <c r="I290" s="29" t="n">
        <v>170</v>
      </c>
      <c r="J290" s="29" t="n">
        <v>21</v>
      </c>
      <c r="K290" s="30" t="n">
        <f aca="false">WORKDAY(Assumptions!$C$4,I290,Assumptions!$F$4:$F$44)</f>
        <v>46566</v>
      </c>
      <c r="L290" s="30" t="n">
        <f aca="false">IF(J290=0,K290,WORKDAY(K290,J290-1,Assumptions!$F$4:$F$44))</f>
        <v>46594</v>
      </c>
      <c r="M290" s="29" t="s">
        <v>653</v>
      </c>
      <c r="N290" s="31" t="n">
        <v>0</v>
      </c>
      <c r="O290" s="31" t="n">
        <v>0</v>
      </c>
      <c r="P290" s="31" t="n">
        <v>0</v>
      </c>
      <c r="Q290" s="31" t="n">
        <v>0</v>
      </c>
      <c r="R290" s="31" t="n">
        <v>0</v>
      </c>
      <c r="S290" s="31" t="n">
        <v>0</v>
      </c>
      <c r="T290" s="31" t="n">
        <v>0</v>
      </c>
      <c r="U290" s="31" t="n">
        <v>0</v>
      </c>
      <c r="V290" s="31" t="n">
        <v>18</v>
      </c>
      <c r="W290" s="31" t="n">
        <v>0</v>
      </c>
      <c r="X290" s="31" t="n">
        <v>0</v>
      </c>
      <c r="Y290" s="32" t="n">
        <f aca="false">SUM(N290:X290)</f>
        <v>18</v>
      </c>
      <c r="Z290" s="32" t="n">
        <f aca="false">Y290*(1+Assumptions!$C$5)</f>
        <v>20.7</v>
      </c>
      <c r="AA290" s="27" t="s">
        <v>338</v>
      </c>
      <c r="AB290" s="27" t="s">
        <v>95</v>
      </c>
      <c r="AC290" s="27"/>
      <c r="AD290" s="33" t="n">
        <v>0</v>
      </c>
      <c r="AF290" s="21" t="n">
        <f aca="false">IF($J290=0,0,MAX(0,NETWORKDAYS(MAX($K290,AF$4),MIN($L290,EOMONTH(AF$4,0)),Assumptions!$F$4:$F$44))/NETWORKDAYS($K290,$L290,Assumptions!$F$4:$F$44))</f>
        <v>0</v>
      </c>
      <c r="AG290" s="21" t="n">
        <f aca="false">IF($J290=0,0,MAX(0,NETWORKDAYS(MAX($K290,AG$4),MIN($L290,EOMONTH(AG$4,0)),Assumptions!$F$4:$F$44))/NETWORKDAYS($K290,$L290,Assumptions!$F$4:$F$44))</f>
        <v>0</v>
      </c>
      <c r="AH290" s="21" t="n">
        <f aca="false">IF($J290=0,0,MAX(0,NETWORKDAYS(MAX($K290,AH$4),MIN($L290,EOMONTH(AH$4,0)),Assumptions!$F$4:$F$44))/NETWORKDAYS($K290,$L290,Assumptions!$F$4:$F$44))</f>
        <v>0</v>
      </c>
      <c r="AI290" s="21" t="n">
        <f aca="false">IF($J290=0,0,MAX(0,NETWORKDAYS(MAX($K290,AI$4),MIN($L290,EOMONTH(AI$4,0)),Assumptions!$F$4:$F$44))/NETWORKDAYS($K290,$L290,Assumptions!$F$4:$F$44))</f>
        <v>0</v>
      </c>
      <c r="AJ290" s="21" t="n">
        <f aca="false">IF($J290=0,0,MAX(0,NETWORKDAYS(MAX($K290,AJ$4),MIN($L290,EOMONTH(AJ$4,0)),Assumptions!$F$4:$F$44))/NETWORKDAYS($K290,$L290,Assumptions!$F$4:$F$44))</f>
        <v>0</v>
      </c>
      <c r="AK290" s="21" t="n">
        <f aca="false">IF($J290=0,0,MAX(0,NETWORKDAYS(MAX($K290,AK$4),MIN($L290,EOMONTH(AK$4,0)),Assumptions!$F$4:$F$44))/NETWORKDAYS($K290,$L290,Assumptions!$F$4:$F$44))</f>
        <v>0</v>
      </c>
      <c r="AL290" s="21" t="n">
        <f aca="false">IF($J290=0,0,MAX(0,NETWORKDAYS(MAX($K290,AL$4),MIN($L290,EOMONTH(AL$4,0)),Assumptions!$F$4:$F$44))/NETWORKDAYS($K290,$L290,Assumptions!$F$4:$F$44))</f>
        <v>0</v>
      </c>
      <c r="AM290" s="21" t="n">
        <f aca="false">IF($J290=0,0,MAX(0,NETWORKDAYS(MAX($K290,AM$4),MIN($L290,EOMONTH(AM$4,0)),Assumptions!$F$4:$F$44))/NETWORKDAYS($K290,$L290,Assumptions!$F$4:$F$44))</f>
        <v>0.142857142857143</v>
      </c>
      <c r="AN290" s="21" t="n">
        <f aca="false">IF($J290=0,0,MAX(0,NETWORKDAYS(MAX($K290,AN$4),MIN($L290,EOMONTH(AN$4,0)),Assumptions!$F$4:$F$44))/NETWORKDAYS($K290,$L290,Assumptions!$F$4:$F$44))</f>
        <v>0.857142857142857</v>
      </c>
      <c r="AO290" s="21" t="n">
        <f aca="false">IF($J290=0,0,MAX(0,NETWORKDAYS(MAX($K290,AO$4),MIN($L290,EOMONTH(AO$4,0)),Assumptions!$F$4:$F$44))/NETWORKDAYS($K290,$L290,Assumptions!$F$4:$F$44))</f>
        <v>0</v>
      </c>
      <c r="AP290" s="21" t="n">
        <f aca="false">IF($J290=0,0,MAX(0,NETWORKDAYS(MAX($K290,AP$4),MIN($L290,EOMONTH(AP$4,0)),Assumptions!$F$4:$F$44))/NETWORKDAYS($K290,$L290,Assumptions!$F$4:$F$44))</f>
        <v>0</v>
      </c>
      <c r="AQ290" s="21" t="n">
        <f aca="false">IF($J290=0,0,MAX(0,NETWORKDAYS(MAX($K290,AQ$4),MIN($L290,EOMONTH(AQ$4,0)),Assumptions!$F$4:$F$44))/NETWORKDAYS($K290,$L290,Assumptions!$F$4:$F$44))</f>
        <v>0</v>
      </c>
      <c r="AR290" s="21" t="n">
        <f aca="false">IF($J290=0,0,MAX(0,NETWORKDAYS(MAX($K290,AR$4),MIN($L290,EOMONTH(AR$4,0)),Assumptions!$F$4:$F$44))/NETWORKDAYS($K290,$L290,Assumptions!$F$4:$F$44))</f>
        <v>0</v>
      </c>
      <c r="AS290" s="21" t="n">
        <f aca="false">IF($J290=0,0,MAX(0,NETWORKDAYS(MAX($K290,AS$4),MIN($L290,EOMONTH(AS$4,0)),Assumptions!$F$4:$F$44))/NETWORKDAYS($K290,$L290,Assumptions!$F$4:$F$44))</f>
        <v>0</v>
      </c>
      <c r="AT290" s="21" t="n">
        <f aca="false">IF($J290=0,0,MAX(0,NETWORKDAYS(MAX($K290,AT$4),MIN($L290,EOMONTH(AT$4,0)),Assumptions!$F$4:$F$44))/NETWORKDAYS($K290,$L290,Assumptions!$F$4:$F$44))</f>
        <v>0</v>
      </c>
      <c r="AU290" s="21" t="n">
        <f aca="false">IF($J290=0,0,MAX(0,NETWORKDAYS(MAX($K290,AU$4),MIN($L290,EOMONTH(AU$4,0)),Assumptions!$F$4:$F$44))/NETWORKDAYS($K290,$L290,Assumptions!$F$4:$F$44))</f>
        <v>0</v>
      </c>
      <c r="AV290" s="21" t="n">
        <f aca="false">IF($J290=0,0,MAX(0,NETWORKDAYS(MAX($K290,AV$4),MIN($L290,EOMONTH(AV$4,0)),Assumptions!$F$4:$F$44))/NETWORKDAYS($K290,$L290,Assumptions!$F$4:$F$44))</f>
        <v>0</v>
      </c>
      <c r="AW290" s="21" t="n">
        <f aca="false">IF($J290=0,0,MAX(0,NETWORKDAYS(MAX($K290,AW$4),MIN($L290,EOMONTH(AW$4,0)),Assumptions!$F$4:$F$44))/NETWORKDAYS($K290,$L290,Assumptions!$F$4:$F$44))</f>
        <v>0</v>
      </c>
      <c r="AX290" s="21" t="n">
        <f aca="false">IF($J290=0,0,MAX(0,NETWORKDAYS(MAX($K290,AX$4),MIN($L290,EOMONTH(AX$4,0)),Assumptions!$F$4:$F$44))/NETWORKDAYS($K290,$L290,Assumptions!$F$4:$F$44))</f>
        <v>0</v>
      </c>
      <c r="AY290" s="21" t="n">
        <f aca="false">IF($J290=0,0,MAX(0,NETWORKDAYS(MAX($K290,AY$4),MIN($L290,EOMONTH(AY$4,0)),Assumptions!$F$4:$F$44))/NETWORKDAYS($K290,$L290,Assumptions!$F$4:$F$44))</f>
        <v>0</v>
      </c>
      <c r="AZ290" s="21" t="n">
        <f aca="false">IF($J290=0,0,MAX(0,NETWORKDAYS(MAX($K290,AZ$4),MIN($L290,EOMONTH(AZ$4,0)),Assumptions!$F$4:$F$44))/NETWORKDAYS($K290,$L290,Assumptions!$F$4:$F$44))</f>
        <v>0</v>
      </c>
      <c r="BA290" s="21" t="n">
        <f aca="false">IF($J290=0,0,MAX(0,NETWORKDAYS(MAX($K290,BA$4),MIN($L290,EOMONTH(BA$4,0)),Assumptions!$F$4:$F$44))/NETWORKDAYS($K290,$L290,Assumptions!$F$4:$F$44))</f>
        <v>0</v>
      </c>
      <c r="BB290" s="21" t="n">
        <f aca="false">IF($J290=0,0,MAX(0,NETWORKDAYS(MAX($K290,BB$4),MIN($L290,EOMONTH(BB$4,0)),Assumptions!$F$4:$F$44))/NETWORKDAYS($K290,$L290,Assumptions!$F$4:$F$44))</f>
        <v>0</v>
      </c>
      <c r="BC290" s="21" t="n">
        <f aca="false">IF($J290=0,0,MAX(0,NETWORKDAYS(MAX($K290,BC$4),MIN($L290,EOMONTH(BC$4,0)),Assumptions!$F$4:$F$44))/NETWORKDAYS($K290,$L290,Assumptions!$F$4:$F$44))</f>
        <v>0</v>
      </c>
    </row>
    <row r="291" customFormat="false" ht="15" hidden="false" customHeight="false" outlineLevel="2" collapsed="false">
      <c r="A291" s="27" t="n">
        <v>287</v>
      </c>
      <c r="B291" s="27" t="s">
        <v>654</v>
      </c>
      <c r="C291" s="27" t="n">
        <v>3</v>
      </c>
      <c r="D291" s="27" t="s">
        <v>92</v>
      </c>
      <c r="E291" s="28" t="s">
        <v>340</v>
      </c>
      <c r="F291" s="27" t="s">
        <v>502</v>
      </c>
      <c r="G291" s="27" t="s">
        <v>634</v>
      </c>
      <c r="H291" s="27" t="s">
        <v>47</v>
      </c>
      <c r="I291" s="29" t="n">
        <v>174</v>
      </c>
      <c r="J291" s="29" t="n">
        <v>26</v>
      </c>
      <c r="K291" s="30" t="n">
        <f aca="false">WORKDAY(Assumptions!$C$4,I291,Assumptions!$F$4:$F$44)</f>
        <v>46570</v>
      </c>
      <c r="L291" s="30" t="n">
        <f aca="false">IF(J291=0,K291,WORKDAY(K291,J291-1,Assumptions!$F$4:$F$44))</f>
        <v>46605</v>
      </c>
      <c r="M291" s="29" t="s">
        <v>655</v>
      </c>
      <c r="N291" s="31" t="n">
        <v>0</v>
      </c>
      <c r="O291" s="31" t="n">
        <v>0</v>
      </c>
      <c r="P291" s="31" t="n">
        <v>0</v>
      </c>
      <c r="Q291" s="31" t="n">
        <v>7</v>
      </c>
      <c r="R291" s="31" t="n">
        <v>4</v>
      </c>
      <c r="S291" s="31" t="n">
        <v>0</v>
      </c>
      <c r="T291" s="31" t="n">
        <v>0</v>
      </c>
      <c r="U291" s="31" t="n">
        <v>0</v>
      </c>
      <c r="V291" s="31" t="n">
        <v>4</v>
      </c>
      <c r="W291" s="31" t="n">
        <v>0</v>
      </c>
      <c r="X291" s="31" t="n">
        <v>0</v>
      </c>
      <c r="Y291" s="32" t="n">
        <f aca="false">SUM(N291:X291)</f>
        <v>15</v>
      </c>
      <c r="Z291" s="32" t="n">
        <f aca="false">Y291*(1+Assumptions!$C$5)</f>
        <v>17.25</v>
      </c>
      <c r="AA291" s="27" t="s">
        <v>342</v>
      </c>
      <c r="AB291" s="27" t="s">
        <v>95</v>
      </c>
      <c r="AC291" s="27"/>
      <c r="AD291" s="33" t="n">
        <v>0</v>
      </c>
      <c r="AF291" s="21" t="n">
        <f aca="false">IF($J291=0,0,MAX(0,NETWORKDAYS(MAX($K291,AF$4),MIN($L291,EOMONTH(AF$4,0)),Assumptions!$F$4:$F$44))/NETWORKDAYS($K291,$L291,Assumptions!$F$4:$F$44))</f>
        <v>0</v>
      </c>
      <c r="AG291" s="21" t="n">
        <f aca="false">IF($J291=0,0,MAX(0,NETWORKDAYS(MAX($K291,AG$4),MIN($L291,EOMONTH(AG$4,0)),Assumptions!$F$4:$F$44))/NETWORKDAYS($K291,$L291,Assumptions!$F$4:$F$44))</f>
        <v>0</v>
      </c>
      <c r="AH291" s="21" t="n">
        <f aca="false">IF($J291=0,0,MAX(0,NETWORKDAYS(MAX($K291,AH$4),MIN($L291,EOMONTH(AH$4,0)),Assumptions!$F$4:$F$44))/NETWORKDAYS($K291,$L291,Assumptions!$F$4:$F$44))</f>
        <v>0</v>
      </c>
      <c r="AI291" s="21" t="n">
        <f aca="false">IF($J291=0,0,MAX(0,NETWORKDAYS(MAX($K291,AI$4),MIN($L291,EOMONTH(AI$4,0)),Assumptions!$F$4:$F$44))/NETWORKDAYS($K291,$L291,Assumptions!$F$4:$F$44))</f>
        <v>0</v>
      </c>
      <c r="AJ291" s="21" t="n">
        <f aca="false">IF($J291=0,0,MAX(0,NETWORKDAYS(MAX($K291,AJ$4),MIN($L291,EOMONTH(AJ$4,0)),Assumptions!$F$4:$F$44))/NETWORKDAYS($K291,$L291,Assumptions!$F$4:$F$44))</f>
        <v>0</v>
      </c>
      <c r="AK291" s="21" t="n">
        <f aca="false">IF($J291=0,0,MAX(0,NETWORKDAYS(MAX($K291,AK$4),MIN($L291,EOMONTH(AK$4,0)),Assumptions!$F$4:$F$44))/NETWORKDAYS($K291,$L291,Assumptions!$F$4:$F$44))</f>
        <v>0</v>
      </c>
      <c r="AL291" s="21" t="n">
        <f aca="false">IF($J291=0,0,MAX(0,NETWORKDAYS(MAX($K291,AL$4),MIN($L291,EOMONTH(AL$4,0)),Assumptions!$F$4:$F$44))/NETWORKDAYS($K291,$L291,Assumptions!$F$4:$F$44))</f>
        <v>0</v>
      </c>
      <c r="AM291" s="21" t="n">
        <f aca="false">IF($J291=0,0,MAX(0,NETWORKDAYS(MAX($K291,AM$4),MIN($L291,EOMONTH(AM$4,0)),Assumptions!$F$4:$F$44))/NETWORKDAYS($K291,$L291,Assumptions!$F$4:$F$44))</f>
        <v>0</v>
      </c>
      <c r="AN291" s="21" t="n">
        <f aca="false">IF($J291=0,0,MAX(0,NETWORKDAYS(MAX($K291,AN$4),MIN($L291,EOMONTH(AN$4,0)),Assumptions!$F$4:$F$44))/NETWORKDAYS($K291,$L291,Assumptions!$F$4:$F$44))</f>
        <v>0.807692307692308</v>
      </c>
      <c r="AO291" s="21" t="n">
        <f aca="false">IF($J291=0,0,MAX(0,NETWORKDAYS(MAX($K291,AO$4),MIN($L291,EOMONTH(AO$4,0)),Assumptions!$F$4:$F$44))/NETWORKDAYS($K291,$L291,Assumptions!$F$4:$F$44))</f>
        <v>0.192307692307692</v>
      </c>
      <c r="AP291" s="21" t="n">
        <f aca="false">IF($J291=0,0,MAX(0,NETWORKDAYS(MAX($K291,AP$4),MIN($L291,EOMONTH(AP$4,0)),Assumptions!$F$4:$F$44))/NETWORKDAYS($K291,$L291,Assumptions!$F$4:$F$44))</f>
        <v>0</v>
      </c>
      <c r="AQ291" s="21" t="n">
        <f aca="false">IF($J291=0,0,MAX(0,NETWORKDAYS(MAX($K291,AQ$4),MIN($L291,EOMONTH(AQ$4,0)),Assumptions!$F$4:$F$44))/NETWORKDAYS($K291,$L291,Assumptions!$F$4:$F$44))</f>
        <v>0</v>
      </c>
      <c r="AR291" s="21" t="n">
        <f aca="false">IF($J291=0,0,MAX(0,NETWORKDAYS(MAX($K291,AR$4),MIN($L291,EOMONTH(AR$4,0)),Assumptions!$F$4:$F$44))/NETWORKDAYS($K291,$L291,Assumptions!$F$4:$F$44))</f>
        <v>0</v>
      </c>
      <c r="AS291" s="21" t="n">
        <f aca="false">IF($J291=0,0,MAX(0,NETWORKDAYS(MAX($K291,AS$4),MIN($L291,EOMONTH(AS$4,0)),Assumptions!$F$4:$F$44))/NETWORKDAYS($K291,$L291,Assumptions!$F$4:$F$44))</f>
        <v>0</v>
      </c>
      <c r="AT291" s="21" t="n">
        <f aca="false">IF($J291=0,0,MAX(0,NETWORKDAYS(MAX($K291,AT$4),MIN($L291,EOMONTH(AT$4,0)),Assumptions!$F$4:$F$44))/NETWORKDAYS($K291,$L291,Assumptions!$F$4:$F$44))</f>
        <v>0</v>
      </c>
      <c r="AU291" s="21" t="n">
        <f aca="false">IF($J291=0,0,MAX(0,NETWORKDAYS(MAX($K291,AU$4),MIN($L291,EOMONTH(AU$4,0)),Assumptions!$F$4:$F$44))/NETWORKDAYS($K291,$L291,Assumptions!$F$4:$F$44))</f>
        <v>0</v>
      </c>
      <c r="AV291" s="21" t="n">
        <f aca="false">IF($J291=0,0,MAX(0,NETWORKDAYS(MAX($K291,AV$4),MIN($L291,EOMONTH(AV$4,0)),Assumptions!$F$4:$F$44))/NETWORKDAYS($K291,$L291,Assumptions!$F$4:$F$44))</f>
        <v>0</v>
      </c>
      <c r="AW291" s="21" t="n">
        <f aca="false">IF($J291=0,0,MAX(0,NETWORKDAYS(MAX($K291,AW$4),MIN($L291,EOMONTH(AW$4,0)),Assumptions!$F$4:$F$44))/NETWORKDAYS($K291,$L291,Assumptions!$F$4:$F$44))</f>
        <v>0</v>
      </c>
      <c r="AX291" s="21" t="n">
        <f aca="false">IF($J291=0,0,MAX(0,NETWORKDAYS(MAX($K291,AX$4),MIN($L291,EOMONTH(AX$4,0)),Assumptions!$F$4:$F$44))/NETWORKDAYS($K291,$L291,Assumptions!$F$4:$F$44))</f>
        <v>0</v>
      </c>
      <c r="AY291" s="21" t="n">
        <f aca="false">IF($J291=0,0,MAX(0,NETWORKDAYS(MAX($K291,AY$4),MIN($L291,EOMONTH(AY$4,0)),Assumptions!$F$4:$F$44))/NETWORKDAYS($K291,$L291,Assumptions!$F$4:$F$44))</f>
        <v>0</v>
      </c>
      <c r="AZ291" s="21" t="n">
        <f aca="false">IF($J291=0,0,MAX(0,NETWORKDAYS(MAX($K291,AZ$4),MIN($L291,EOMONTH(AZ$4,0)),Assumptions!$F$4:$F$44))/NETWORKDAYS($K291,$L291,Assumptions!$F$4:$F$44))</f>
        <v>0</v>
      </c>
      <c r="BA291" s="21" t="n">
        <f aca="false">IF($J291=0,0,MAX(0,NETWORKDAYS(MAX($K291,BA$4),MIN($L291,EOMONTH(BA$4,0)),Assumptions!$F$4:$F$44))/NETWORKDAYS($K291,$L291,Assumptions!$F$4:$F$44))</f>
        <v>0</v>
      </c>
      <c r="BB291" s="21" t="n">
        <f aca="false">IF($J291=0,0,MAX(0,NETWORKDAYS(MAX($K291,BB$4),MIN($L291,EOMONTH(BB$4,0)),Assumptions!$F$4:$F$44))/NETWORKDAYS($K291,$L291,Assumptions!$F$4:$F$44))</f>
        <v>0</v>
      </c>
      <c r="BC291" s="21" t="n">
        <f aca="false">IF($J291=0,0,MAX(0,NETWORKDAYS(MAX($K291,BC$4),MIN($L291,EOMONTH(BC$4,0)),Assumptions!$F$4:$F$44))/NETWORKDAYS($K291,$L291,Assumptions!$F$4:$F$44))</f>
        <v>0</v>
      </c>
    </row>
    <row r="292" customFormat="false" ht="15" hidden="false" customHeight="false" outlineLevel="2" collapsed="false">
      <c r="A292" s="27" t="n">
        <v>288</v>
      </c>
      <c r="B292" s="27" t="s">
        <v>656</v>
      </c>
      <c r="C292" s="27" t="n">
        <v>3</v>
      </c>
      <c r="D292" s="27" t="s">
        <v>92</v>
      </c>
      <c r="E292" s="28" t="s">
        <v>344</v>
      </c>
      <c r="F292" s="27" t="s">
        <v>502</v>
      </c>
      <c r="G292" s="27" t="s">
        <v>634</v>
      </c>
      <c r="H292" s="27" t="s">
        <v>43</v>
      </c>
      <c r="I292" s="29" t="n">
        <v>191</v>
      </c>
      <c r="J292" s="29" t="n">
        <v>13</v>
      </c>
      <c r="K292" s="30" t="n">
        <f aca="false">WORKDAY(Assumptions!$C$4,I292,Assumptions!$F$4:$F$44)</f>
        <v>46595</v>
      </c>
      <c r="L292" s="30" t="n">
        <f aca="false">IF(J292=0,K292,WORKDAY(K292,J292-1,Assumptions!$F$4:$F$44))</f>
        <v>46611</v>
      </c>
      <c r="M292" s="29" t="s">
        <v>655</v>
      </c>
      <c r="N292" s="31" t="n">
        <v>0</v>
      </c>
      <c r="O292" s="31" t="n">
        <v>4</v>
      </c>
      <c r="P292" s="31" t="n">
        <v>0</v>
      </c>
      <c r="Q292" s="31" t="n">
        <v>0</v>
      </c>
      <c r="R292" s="31" t="n">
        <v>0</v>
      </c>
      <c r="S292" s="31" t="n">
        <v>0</v>
      </c>
      <c r="T292" s="31" t="n">
        <v>0</v>
      </c>
      <c r="U292" s="31" t="n">
        <v>0</v>
      </c>
      <c r="V292" s="31" t="n">
        <v>4</v>
      </c>
      <c r="W292" s="31" t="n">
        <v>0</v>
      </c>
      <c r="X292" s="31" t="n">
        <v>0</v>
      </c>
      <c r="Y292" s="32" t="n">
        <f aca="false">SUM(N292:X292)</f>
        <v>8</v>
      </c>
      <c r="Z292" s="32" t="n">
        <f aca="false">Y292*(1+Assumptions!$C$5)</f>
        <v>9.2</v>
      </c>
      <c r="AA292" s="27" t="s">
        <v>345</v>
      </c>
      <c r="AB292" s="27" t="s">
        <v>95</v>
      </c>
      <c r="AC292" s="27"/>
      <c r="AD292" s="33" t="n">
        <v>0</v>
      </c>
      <c r="AF292" s="21" t="n">
        <f aca="false">IF($J292=0,0,MAX(0,NETWORKDAYS(MAX($K292,AF$4),MIN($L292,EOMONTH(AF$4,0)),Assumptions!$F$4:$F$44))/NETWORKDAYS($K292,$L292,Assumptions!$F$4:$F$44))</f>
        <v>0</v>
      </c>
      <c r="AG292" s="21" t="n">
        <f aca="false">IF($J292=0,0,MAX(0,NETWORKDAYS(MAX($K292,AG$4),MIN($L292,EOMONTH(AG$4,0)),Assumptions!$F$4:$F$44))/NETWORKDAYS($K292,$L292,Assumptions!$F$4:$F$44))</f>
        <v>0</v>
      </c>
      <c r="AH292" s="21" t="n">
        <f aca="false">IF($J292=0,0,MAX(0,NETWORKDAYS(MAX($K292,AH$4),MIN($L292,EOMONTH(AH$4,0)),Assumptions!$F$4:$F$44))/NETWORKDAYS($K292,$L292,Assumptions!$F$4:$F$44))</f>
        <v>0</v>
      </c>
      <c r="AI292" s="21" t="n">
        <f aca="false">IF($J292=0,0,MAX(0,NETWORKDAYS(MAX($K292,AI$4),MIN($L292,EOMONTH(AI$4,0)),Assumptions!$F$4:$F$44))/NETWORKDAYS($K292,$L292,Assumptions!$F$4:$F$44))</f>
        <v>0</v>
      </c>
      <c r="AJ292" s="21" t="n">
        <f aca="false">IF($J292=0,0,MAX(0,NETWORKDAYS(MAX($K292,AJ$4),MIN($L292,EOMONTH(AJ$4,0)),Assumptions!$F$4:$F$44))/NETWORKDAYS($K292,$L292,Assumptions!$F$4:$F$44))</f>
        <v>0</v>
      </c>
      <c r="AK292" s="21" t="n">
        <f aca="false">IF($J292=0,0,MAX(0,NETWORKDAYS(MAX($K292,AK$4),MIN($L292,EOMONTH(AK$4,0)),Assumptions!$F$4:$F$44))/NETWORKDAYS($K292,$L292,Assumptions!$F$4:$F$44))</f>
        <v>0</v>
      </c>
      <c r="AL292" s="21" t="n">
        <f aca="false">IF($J292=0,0,MAX(0,NETWORKDAYS(MAX($K292,AL$4),MIN($L292,EOMONTH(AL$4,0)),Assumptions!$F$4:$F$44))/NETWORKDAYS($K292,$L292,Assumptions!$F$4:$F$44))</f>
        <v>0</v>
      </c>
      <c r="AM292" s="21" t="n">
        <f aca="false">IF($J292=0,0,MAX(0,NETWORKDAYS(MAX($K292,AM$4),MIN($L292,EOMONTH(AM$4,0)),Assumptions!$F$4:$F$44))/NETWORKDAYS($K292,$L292,Assumptions!$F$4:$F$44))</f>
        <v>0</v>
      </c>
      <c r="AN292" s="21" t="n">
        <f aca="false">IF($J292=0,0,MAX(0,NETWORKDAYS(MAX($K292,AN$4),MIN($L292,EOMONTH(AN$4,0)),Assumptions!$F$4:$F$44))/NETWORKDAYS($K292,$L292,Assumptions!$F$4:$F$44))</f>
        <v>0.307692307692308</v>
      </c>
      <c r="AO292" s="21" t="n">
        <f aca="false">IF($J292=0,0,MAX(0,NETWORKDAYS(MAX($K292,AO$4),MIN($L292,EOMONTH(AO$4,0)),Assumptions!$F$4:$F$44))/NETWORKDAYS($K292,$L292,Assumptions!$F$4:$F$44))</f>
        <v>0.692307692307692</v>
      </c>
      <c r="AP292" s="21" t="n">
        <f aca="false">IF($J292=0,0,MAX(0,NETWORKDAYS(MAX($K292,AP$4),MIN($L292,EOMONTH(AP$4,0)),Assumptions!$F$4:$F$44))/NETWORKDAYS($K292,$L292,Assumptions!$F$4:$F$44))</f>
        <v>0</v>
      </c>
      <c r="AQ292" s="21" t="n">
        <f aca="false">IF($J292=0,0,MAX(0,NETWORKDAYS(MAX($K292,AQ$4),MIN($L292,EOMONTH(AQ$4,0)),Assumptions!$F$4:$F$44))/NETWORKDAYS($K292,$L292,Assumptions!$F$4:$F$44))</f>
        <v>0</v>
      </c>
      <c r="AR292" s="21" t="n">
        <f aca="false">IF($J292=0,0,MAX(0,NETWORKDAYS(MAX($K292,AR$4),MIN($L292,EOMONTH(AR$4,0)),Assumptions!$F$4:$F$44))/NETWORKDAYS($K292,$L292,Assumptions!$F$4:$F$44))</f>
        <v>0</v>
      </c>
      <c r="AS292" s="21" t="n">
        <f aca="false">IF($J292=0,0,MAX(0,NETWORKDAYS(MAX($K292,AS$4),MIN($L292,EOMONTH(AS$4,0)),Assumptions!$F$4:$F$44))/NETWORKDAYS($K292,$L292,Assumptions!$F$4:$F$44))</f>
        <v>0</v>
      </c>
      <c r="AT292" s="21" t="n">
        <f aca="false">IF($J292=0,0,MAX(0,NETWORKDAYS(MAX($K292,AT$4),MIN($L292,EOMONTH(AT$4,0)),Assumptions!$F$4:$F$44))/NETWORKDAYS($K292,$L292,Assumptions!$F$4:$F$44))</f>
        <v>0</v>
      </c>
      <c r="AU292" s="21" t="n">
        <f aca="false">IF($J292=0,0,MAX(0,NETWORKDAYS(MAX($K292,AU$4),MIN($L292,EOMONTH(AU$4,0)),Assumptions!$F$4:$F$44))/NETWORKDAYS($K292,$L292,Assumptions!$F$4:$F$44))</f>
        <v>0</v>
      </c>
      <c r="AV292" s="21" t="n">
        <f aca="false">IF($J292=0,0,MAX(0,NETWORKDAYS(MAX($K292,AV$4),MIN($L292,EOMONTH(AV$4,0)),Assumptions!$F$4:$F$44))/NETWORKDAYS($K292,$L292,Assumptions!$F$4:$F$44))</f>
        <v>0</v>
      </c>
      <c r="AW292" s="21" t="n">
        <f aca="false">IF($J292=0,0,MAX(0,NETWORKDAYS(MAX($K292,AW$4),MIN($L292,EOMONTH(AW$4,0)),Assumptions!$F$4:$F$44))/NETWORKDAYS($K292,$L292,Assumptions!$F$4:$F$44))</f>
        <v>0</v>
      </c>
      <c r="AX292" s="21" t="n">
        <f aca="false">IF($J292=0,0,MAX(0,NETWORKDAYS(MAX($K292,AX$4),MIN($L292,EOMONTH(AX$4,0)),Assumptions!$F$4:$F$44))/NETWORKDAYS($K292,$L292,Assumptions!$F$4:$F$44))</f>
        <v>0</v>
      </c>
      <c r="AY292" s="21" t="n">
        <f aca="false">IF($J292=0,0,MAX(0,NETWORKDAYS(MAX($K292,AY$4),MIN($L292,EOMONTH(AY$4,0)),Assumptions!$F$4:$F$44))/NETWORKDAYS($K292,$L292,Assumptions!$F$4:$F$44))</f>
        <v>0</v>
      </c>
      <c r="AZ292" s="21" t="n">
        <f aca="false">IF($J292=0,0,MAX(0,NETWORKDAYS(MAX($K292,AZ$4),MIN($L292,EOMONTH(AZ$4,0)),Assumptions!$F$4:$F$44))/NETWORKDAYS($K292,$L292,Assumptions!$F$4:$F$44))</f>
        <v>0</v>
      </c>
      <c r="BA292" s="21" t="n">
        <f aca="false">IF($J292=0,0,MAX(0,NETWORKDAYS(MAX($K292,BA$4),MIN($L292,EOMONTH(BA$4,0)),Assumptions!$F$4:$F$44))/NETWORKDAYS($K292,$L292,Assumptions!$F$4:$F$44))</f>
        <v>0</v>
      </c>
      <c r="BB292" s="21" t="n">
        <f aca="false">IF($J292=0,0,MAX(0,NETWORKDAYS(MAX($K292,BB$4),MIN($L292,EOMONTH(BB$4,0)),Assumptions!$F$4:$F$44))/NETWORKDAYS($K292,$L292,Assumptions!$F$4:$F$44))</f>
        <v>0</v>
      </c>
      <c r="BC292" s="21" t="n">
        <f aca="false">IF($J292=0,0,MAX(0,NETWORKDAYS(MAX($K292,BC$4),MIN($L292,EOMONTH(BC$4,0)),Assumptions!$F$4:$F$44))/NETWORKDAYS($K292,$L292,Assumptions!$F$4:$F$44))</f>
        <v>0</v>
      </c>
    </row>
    <row r="293" customFormat="false" ht="15" hidden="false" customHeight="false" outlineLevel="2" collapsed="false">
      <c r="A293" s="27" t="n">
        <v>289</v>
      </c>
      <c r="B293" s="27" t="s">
        <v>657</v>
      </c>
      <c r="C293" s="27" t="n">
        <v>3</v>
      </c>
      <c r="D293" s="27" t="s">
        <v>92</v>
      </c>
      <c r="E293" s="28" t="s">
        <v>347</v>
      </c>
      <c r="F293" s="27" t="s">
        <v>502</v>
      </c>
      <c r="G293" s="27" t="s">
        <v>634</v>
      </c>
      <c r="H293" s="27" t="s">
        <v>61</v>
      </c>
      <c r="I293" s="29" t="n">
        <v>194</v>
      </c>
      <c r="J293" s="29" t="n">
        <v>13</v>
      </c>
      <c r="K293" s="30" t="n">
        <f aca="false">WORKDAY(Assumptions!$C$4,I293,Assumptions!$F$4:$F$44)</f>
        <v>46598</v>
      </c>
      <c r="L293" s="30" t="n">
        <f aca="false">IF(J293=0,K293,WORKDAY(K293,J293-1,Assumptions!$F$4:$F$44))</f>
        <v>46616</v>
      </c>
      <c r="M293" s="29" t="s">
        <v>658</v>
      </c>
      <c r="N293" s="31" t="n">
        <v>0</v>
      </c>
      <c r="O293" s="31" t="n">
        <v>2</v>
      </c>
      <c r="P293" s="31" t="n">
        <v>0</v>
      </c>
      <c r="Q293" s="31" t="n">
        <v>0</v>
      </c>
      <c r="R293" s="31" t="n">
        <v>0</v>
      </c>
      <c r="S293" s="31" t="n">
        <v>0</v>
      </c>
      <c r="T293" s="31" t="n">
        <v>0</v>
      </c>
      <c r="U293" s="31" t="n">
        <v>0</v>
      </c>
      <c r="V293" s="31" t="n">
        <v>0</v>
      </c>
      <c r="W293" s="31" t="n">
        <v>0</v>
      </c>
      <c r="X293" s="31" t="n">
        <v>5</v>
      </c>
      <c r="Y293" s="32" t="n">
        <f aca="false">SUM(N293:X293)</f>
        <v>7</v>
      </c>
      <c r="Z293" s="32" t="n">
        <f aca="false">Y293*(1+Assumptions!$C$5)</f>
        <v>8.05</v>
      </c>
      <c r="AA293" s="27" t="s">
        <v>349</v>
      </c>
      <c r="AB293" s="27" t="s">
        <v>95</v>
      </c>
      <c r="AC293" s="27"/>
      <c r="AD293" s="33" t="n">
        <v>0</v>
      </c>
      <c r="AF293" s="21" t="n">
        <f aca="false">IF($J293=0,0,MAX(0,NETWORKDAYS(MAX($K293,AF$4),MIN($L293,EOMONTH(AF$4,0)),Assumptions!$F$4:$F$44))/NETWORKDAYS($K293,$L293,Assumptions!$F$4:$F$44))</f>
        <v>0</v>
      </c>
      <c r="AG293" s="21" t="n">
        <f aca="false">IF($J293=0,0,MAX(0,NETWORKDAYS(MAX($K293,AG$4),MIN($L293,EOMONTH(AG$4,0)),Assumptions!$F$4:$F$44))/NETWORKDAYS($K293,$L293,Assumptions!$F$4:$F$44))</f>
        <v>0</v>
      </c>
      <c r="AH293" s="21" t="n">
        <f aca="false">IF($J293=0,0,MAX(0,NETWORKDAYS(MAX($K293,AH$4),MIN($L293,EOMONTH(AH$4,0)),Assumptions!$F$4:$F$44))/NETWORKDAYS($K293,$L293,Assumptions!$F$4:$F$44))</f>
        <v>0</v>
      </c>
      <c r="AI293" s="21" t="n">
        <f aca="false">IF($J293=0,0,MAX(0,NETWORKDAYS(MAX($K293,AI$4),MIN($L293,EOMONTH(AI$4,0)),Assumptions!$F$4:$F$44))/NETWORKDAYS($K293,$L293,Assumptions!$F$4:$F$44))</f>
        <v>0</v>
      </c>
      <c r="AJ293" s="21" t="n">
        <f aca="false">IF($J293=0,0,MAX(0,NETWORKDAYS(MAX($K293,AJ$4),MIN($L293,EOMONTH(AJ$4,0)),Assumptions!$F$4:$F$44))/NETWORKDAYS($K293,$L293,Assumptions!$F$4:$F$44))</f>
        <v>0</v>
      </c>
      <c r="AK293" s="21" t="n">
        <f aca="false">IF($J293=0,0,MAX(0,NETWORKDAYS(MAX($K293,AK$4),MIN($L293,EOMONTH(AK$4,0)),Assumptions!$F$4:$F$44))/NETWORKDAYS($K293,$L293,Assumptions!$F$4:$F$44))</f>
        <v>0</v>
      </c>
      <c r="AL293" s="21" t="n">
        <f aca="false">IF($J293=0,0,MAX(0,NETWORKDAYS(MAX($K293,AL$4),MIN($L293,EOMONTH(AL$4,0)),Assumptions!$F$4:$F$44))/NETWORKDAYS($K293,$L293,Assumptions!$F$4:$F$44))</f>
        <v>0</v>
      </c>
      <c r="AM293" s="21" t="n">
        <f aca="false">IF($J293=0,0,MAX(0,NETWORKDAYS(MAX($K293,AM$4),MIN($L293,EOMONTH(AM$4,0)),Assumptions!$F$4:$F$44))/NETWORKDAYS($K293,$L293,Assumptions!$F$4:$F$44))</f>
        <v>0</v>
      </c>
      <c r="AN293" s="21" t="n">
        <f aca="false">IF($J293=0,0,MAX(0,NETWORKDAYS(MAX($K293,AN$4),MIN($L293,EOMONTH(AN$4,0)),Assumptions!$F$4:$F$44))/NETWORKDAYS($K293,$L293,Assumptions!$F$4:$F$44))</f>
        <v>0.0769230769230769</v>
      </c>
      <c r="AO293" s="21" t="n">
        <f aca="false">IF($J293=0,0,MAX(0,NETWORKDAYS(MAX($K293,AO$4),MIN($L293,EOMONTH(AO$4,0)),Assumptions!$F$4:$F$44))/NETWORKDAYS($K293,$L293,Assumptions!$F$4:$F$44))</f>
        <v>0.923076923076923</v>
      </c>
      <c r="AP293" s="21" t="n">
        <f aca="false">IF($J293=0,0,MAX(0,NETWORKDAYS(MAX($K293,AP$4),MIN($L293,EOMONTH(AP$4,0)),Assumptions!$F$4:$F$44))/NETWORKDAYS($K293,$L293,Assumptions!$F$4:$F$44))</f>
        <v>0</v>
      </c>
      <c r="AQ293" s="21" t="n">
        <f aca="false">IF($J293=0,0,MAX(0,NETWORKDAYS(MAX($K293,AQ$4),MIN($L293,EOMONTH(AQ$4,0)),Assumptions!$F$4:$F$44))/NETWORKDAYS($K293,$L293,Assumptions!$F$4:$F$44))</f>
        <v>0</v>
      </c>
      <c r="AR293" s="21" t="n">
        <f aca="false">IF($J293=0,0,MAX(0,NETWORKDAYS(MAX($K293,AR$4),MIN($L293,EOMONTH(AR$4,0)),Assumptions!$F$4:$F$44))/NETWORKDAYS($K293,$L293,Assumptions!$F$4:$F$44))</f>
        <v>0</v>
      </c>
      <c r="AS293" s="21" t="n">
        <f aca="false">IF($J293=0,0,MAX(0,NETWORKDAYS(MAX($K293,AS$4),MIN($L293,EOMONTH(AS$4,0)),Assumptions!$F$4:$F$44))/NETWORKDAYS($K293,$L293,Assumptions!$F$4:$F$44))</f>
        <v>0</v>
      </c>
      <c r="AT293" s="21" t="n">
        <f aca="false">IF($J293=0,0,MAX(0,NETWORKDAYS(MAX($K293,AT$4),MIN($L293,EOMONTH(AT$4,0)),Assumptions!$F$4:$F$44))/NETWORKDAYS($K293,$L293,Assumptions!$F$4:$F$44))</f>
        <v>0</v>
      </c>
      <c r="AU293" s="21" t="n">
        <f aca="false">IF($J293=0,0,MAX(0,NETWORKDAYS(MAX($K293,AU$4),MIN($L293,EOMONTH(AU$4,0)),Assumptions!$F$4:$F$44))/NETWORKDAYS($K293,$L293,Assumptions!$F$4:$F$44))</f>
        <v>0</v>
      </c>
      <c r="AV293" s="21" t="n">
        <f aca="false">IF($J293=0,0,MAX(0,NETWORKDAYS(MAX($K293,AV$4),MIN($L293,EOMONTH(AV$4,0)),Assumptions!$F$4:$F$44))/NETWORKDAYS($K293,$L293,Assumptions!$F$4:$F$44))</f>
        <v>0</v>
      </c>
      <c r="AW293" s="21" t="n">
        <f aca="false">IF($J293=0,0,MAX(0,NETWORKDAYS(MAX($K293,AW$4),MIN($L293,EOMONTH(AW$4,0)),Assumptions!$F$4:$F$44))/NETWORKDAYS($K293,$L293,Assumptions!$F$4:$F$44))</f>
        <v>0</v>
      </c>
      <c r="AX293" s="21" t="n">
        <f aca="false">IF($J293=0,0,MAX(0,NETWORKDAYS(MAX($K293,AX$4),MIN($L293,EOMONTH(AX$4,0)),Assumptions!$F$4:$F$44))/NETWORKDAYS($K293,$L293,Assumptions!$F$4:$F$44))</f>
        <v>0</v>
      </c>
      <c r="AY293" s="21" t="n">
        <f aca="false">IF($J293=0,0,MAX(0,NETWORKDAYS(MAX($K293,AY$4),MIN($L293,EOMONTH(AY$4,0)),Assumptions!$F$4:$F$44))/NETWORKDAYS($K293,$L293,Assumptions!$F$4:$F$44))</f>
        <v>0</v>
      </c>
      <c r="AZ293" s="21" t="n">
        <f aca="false">IF($J293=0,0,MAX(0,NETWORKDAYS(MAX($K293,AZ$4),MIN($L293,EOMONTH(AZ$4,0)),Assumptions!$F$4:$F$44))/NETWORKDAYS($K293,$L293,Assumptions!$F$4:$F$44))</f>
        <v>0</v>
      </c>
      <c r="BA293" s="21" t="n">
        <f aca="false">IF($J293=0,0,MAX(0,NETWORKDAYS(MAX($K293,BA$4),MIN($L293,EOMONTH(BA$4,0)),Assumptions!$F$4:$F$44))/NETWORKDAYS($K293,$L293,Assumptions!$F$4:$F$44))</f>
        <v>0</v>
      </c>
      <c r="BB293" s="21" t="n">
        <f aca="false">IF($J293=0,0,MAX(0,NETWORKDAYS(MAX($K293,BB$4),MIN($L293,EOMONTH(BB$4,0)),Assumptions!$F$4:$F$44))/NETWORKDAYS($K293,$L293,Assumptions!$F$4:$F$44))</f>
        <v>0</v>
      </c>
      <c r="BC293" s="21" t="n">
        <f aca="false">IF($J293=0,0,MAX(0,NETWORKDAYS(MAX($K293,BC$4),MIN($L293,EOMONTH(BC$4,0)),Assumptions!$F$4:$F$44))/NETWORKDAYS($K293,$L293,Assumptions!$F$4:$F$44))</f>
        <v>0</v>
      </c>
    </row>
    <row r="294" customFormat="false" ht="15" hidden="false" customHeight="false" outlineLevel="1" collapsed="false">
      <c r="A294" s="22" t="n">
        <v>290</v>
      </c>
      <c r="B294" s="22" t="s">
        <v>659</v>
      </c>
      <c r="C294" s="22" t="n">
        <v>2</v>
      </c>
      <c r="D294" s="22" t="s">
        <v>89</v>
      </c>
      <c r="E294" s="23" t="s">
        <v>660</v>
      </c>
      <c r="F294" s="22" t="s">
        <v>502</v>
      </c>
      <c r="G294" s="22" t="s">
        <v>467</v>
      </c>
      <c r="H294" s="22"/>
      <c r="I294" s="22"/>
      <c r="J294" s="22" t="n">
        <f aca="false">NETWORKDAYS(K294,L294,Assumptions!$F$4:$F$44)</f>
        <v>27</v>
      </c>
      <c r="K294" s="24" t="n">
        <f aca="false">MIN(K295:K300)</f>
        <v>46583</v>
      </c>
      <c r="L294" s="24" t="n">
        <f aca="false">MAX(L295:L300)</f>
        <v>46619</v>
      </c>
      <c r="M294" s="22"/>
      <c r="N294" s="25" t="n">
        <f aca="false">SUMPRODUCT(($C$295:$C$300=3)*(N295:N300))</f>
        <v>0</v>
      </c>
      <c r="O294" s="25" t="n">
        <f aca="false">SUMPRODUCT(($C$295:$C$300=3)*(O295:O300))</f>
        <v>11</v>
      </c>
      <c r="P294" s="25" t="n">
        <f aca="false">SUMPRODUCT(($C$295:$C$300=3)*(P295:P300))</f>
        <v>3</v>
      </c>
      <c r="Q294" s="25" t="n">
        <f aca="false">SUMPRODUCT(($C$295:$C$300=3)*(Q295:Q300))</f>
        <v>24</v>
      </c>
      <c r="R294" s="25" t="n">
        <f aca="false">SUMPRODUCT(($C$295:$C$300=3)*(R295:R300))</f>
        <v>0</v>
      </c>
      <c r="S294" s="25" t="n">
        <f aca="false">SUMPRODUCT(($C$295:$C$300=3)*(S295:S300))</f>
        <v>0</v>
      </c>
      <c r="T294" s="25" t="n">
        <f aca="false">SUMPRODUCT(($C$295:$C$300=3)*(T295:T300))</f>
        <v>0</v>
      </c>
      <c r="U294" s="25" t="n">
        <f aca="false">SUMPRODUCT(($C$295:$C$300=3)*(U295:U300))</f>
        <v>16</v>
      </c>
      <c r="V294" s="25" t="n">
        <f aca="false">SUMPRODUCT(($C$295:$C$300=3)*(V295:V300))</f>
        <v>35</v>
      </c>
      <c r="W294" s="25" t="n">
        <f aca="false">SUMPRODUCT(($C$295:$C$300=3)*(W295:W300))</f>
        <v>12</v>
      </c>
      <c r="X294" s="25" t="n">
        <f aca="false">SUMPRODUCT(($C$295:$C$300=3)*(X295:X300))</f>
        <v>15</v>
      </c>
      <c r="Y294" s="25" t="n">
        <f aca="false">SUM(N294:X294)</f>
        <v>116</v>
      </c>
      <c r="Z294" s="25" t="n">
        <f aca="false">Y294*(1+Assumptions!$C$5)</f>
        <v>133.4</v>
      </c>
      <c r="AA294" s="22"/>
      <c r="AB294" s="22"/>
      <c r="AC294" s="22"/>
      <c r="AD294" s="26"/>
      <c r="AF294" s="21" t="n">
        <v>0</v>
      </c>
      <c r="AG294" s="21" t="n">
        <v>0</v>
      </c>
      <c r="AH294" s="21" t="n">
        <v>0</v>
      </c>
      <c r="AI294" s="21" t="n">
        <v>0</v>
      </c>
      <c r="AJ294" s="21" t="n">
        <v>0</v>
      </c>
      <c r="AK294" s="21" t="n">
        <v>0</v>
      </c>
      <c r="AL294" s="21" t="n">
        <v>0</v>
      </c>
      <c r="AM294" s="21" t="n">
        <v>0</v>
      </c>
      <c r="AN294" s="21" t="n">
        <v>0</v>
      </c>
      <c r="AO294" s="21" t="n">
        <v>0</v>
      </c>
      <c r="AP294" s="21" t="n">
        <v>0</v>
      </c>
      <c r="AQ294" s="21" t="n">
        <v>0</v>
      </c>
      <c r="AR294" s="21" t="n">
        <v>0</v>
      </c>
      <c r="AS294" s="21" t="n">
        <v>0</v>
      </c>
      <c r="AT294" s="21" t="n">
        <v>0</v>
      </c>
      <c r="AU294" s="21" t="n">
        <v>0</v>
      </c>
      <c r="AV294" s="21" t="n">
        <v>0</v>
      </c>
      <c r="AW294" s="21" t="n">
        <v>0</v>
      </c>
      <c r="AX294" s="21" t="n">
        <v>0</v>
      </c>
      <c r="AY294" s="21" t="n">
        <v>0</v>
      </c>
      <c r="AZ294" s="21" t="n">
        <v>0</v>
      </c>
      <c r="BA294" s="21" t="n">
        <v>0</v>
      </c>
      <c r="BB294" s="21" t="n">
        <v>0</v>
      </c>
      <c r="BC294" s="21" t="n">
        <v>0</v>
      </c>
    </row>
    <row r="295" customFormat="false" ht="15" hidden="false" customHeight="false" outlineLevel="2" collapsed="false">
      <c r="A295" s="27" t="n">
        <v>291</v>
      </c>
      <c r="B295" s="27" t="s">
        <v>661</v>
      </c>
      <c r="C295" s="27" t="n">
        <v>3</v>
      </c>
      <c r="D295" s="27" t="s">
        <v>92</v>
      </c>
      <c r="E295" s="28" t="s">
        <v>469</v>
      </c>
      <c r="F295" s="27" t="s">
        <v>502</v>
      </c>
      <c r="G295" s="27" t="s">
        <v>467</v>
      </c>
      <c r="H295" s="27" t="s">
        <v>57</v>
      </c>
      <c r="I295" s="29" t="n">
        <v>183</v>
      </c>
      <c r="J295" s="29" t="n">
        <v>13</v>
      </c>
      <c r="K295" s="30" t="n">
        <f aca="false">WORKDAY(Assumptions!$C$4,I295,Assumptions!$F$4:$F$44)</f>
        <v>46583</v>
      </c>
      <c r="L295" s="30" t="n">
        <f aca="false">IF(J295=0,K295,WORKDAY(K295,J295-1,Assumptions!$F$4:$F$44))</f>
        <v>46601</v>
      </c>
      <c r="M295" s="29" t="s">
        <v>662</v>
      </c>
      <c r="N295" s="31" t="n">
        <v>0</v>
      </c>
      <c r="O295" s="31" t="n">
        <v>4</v>
      </c>
      <c r="P295" s="31" t="n">
        <v>0</v>
      </c>
      <c r="Q295" s="31" t="n">
        <v>6</v>
      </c>
      <c r="R295" s="31" t="n">
        <v>0</v>
      </c>
      <c r="S295" s="31" t="n">
        <v>0</v>
      </c>
      <c r="T295" s="31" t="n">
        <v>0</v>
      </c>
      <c r="U295" s="31" t="n">
        <v>0</v>
      </c>
      <c r="V295" s="31" t="n">
        <v>20</v>
      </c>
      <c r="W295" s="31" t="n">
        <v>0</v>
      </c>
      <c r="X295" s="31" t="n">
        <v>0</v>
      </c>
      <c r="Y295" s="32" t="n">
        <f aca="false">SUM(N295:X295)</f>
        <v>30</v>
      </c>
      <c r="Z295" s="32" t="n">
        <f aca="false">Y295*(1+Assumptions!$C$5)</f>
        <v>34.5</v>
      </c>
      <c r="AA295" s="27" t="s">
        <v>471</v>
      </c>
      <c r="AB295" s="27" t="s">
        <v>95</v>
      </c>
      <c r="AC295" s="27"/>
      <c r="AD295" s="33" t="n">
        <v>0</v>
      </c>
      <c r="AF295" s="21" t="n">
        <f aca="false">IF($J295=0,0,MAX(0,NETWORKDAYS(MAX($K295,AF$4),MIN($L295,EOMONTH(AF$4,0)),Assumptions!$F$4:$F$44))/NETWORKDAYS($K295,$L295,Assumptions!$F$4:$F$44))</f>
        <v>0</v>
      </c>
      <c r="AG295" s="21" t="n">
        <f aca="false">IF($J295=0,0,MAX(0,NETWORKDAYS(MAX($K295,AG$4),MIN($L295,EOMONTH(AG$4,0)),Assumptions!$F$4:$F$44))/NETWORKDAYS($K295,$L295,Assumptions!$F$4:$F$44))</f>
        <v>0</v>
      </c>
      <c r="AH295" s="21" t="n">
        <f aca="false">IF($J295=0,0,MAX(0,NETWORKDAYS(MAX($K295,AH$4),MIN($L295,EOMONTH(AH$4,0)),Assumptions!$F$4:$F$44))/NETWORKDAYS($K295,$L295,Assumptions!$F$4:$F$44))</f>
        <v>0</v>
      </c>
      <c r="AI295" s="21" t="n">
        <f aca="false">IF($J295=0,0,MAX(0,NETWORKDAYS(MAX($K295,AI$4),MIN($L295,EOMONTH(AI$4,0)),Assumptions!$F$4:$F$44))/NETWORKDAYS($K295,$L295,Assumptions!$F$4:$F$44))</f>
        <v>0</v>
      </c>
      <c r="AJ295" s="21" t="n">
        <f aca="false">IF($J295=0,0,MAX(0,NETWORKDAYS(MAX($K295,AJ$4),MIN($L295,EOMONTH(AJ$4,0)),Assumptions!$F$4:$F$44))/NETWORKDAYS($K295,$L295,Assumptions!$F$4:$F$44))</f>
        <v>0</v>
      </c>
      <c r="AK295" s="21" t="n">
        <f aca="false">IF($J295=0,0,MAX(0,NETWORKDAYS(MAX($K295,AK$4),MIN($L295,EOMONTH(AK$4,0)),Assumptions!$F$4:$F$44))/NETWORKDAYS($K295,$L295,Assumptions!$F$4:$F$44))</f>
        <v>0</v>
      </c>
      <c r="AL295" s="21" t="n">
        <f aca="false">IF($J295=0,0,MAX(0,NETWORKDAYS(MAX($K295,AL$4),MIN($L295,EOMONTH(AL$4,0)),Assumptions!$F$4:$F$44))/NETWORKDAYS($K295,$L295,Assumptions!$F$4:$F$44))</f>
        <v>0</v>
      </c>
      <c r="AM295" s="21" t="n">
        <f aca="false">IF($J295=0,0,MAX(0,NETWORKDAYS(MAX($K295,AM$4),MIN($L295,EOMONTH(AM$4,0)),Assumptions!$F$4:$F$44))/NETWORKDAYS($K295,$L295,Assumptions!$F$4:$F$44))</f>
        <v>0</v>
      </c>
      <c r="AN295" s="21" t="n">
        <f aca="false">IF($J295=0,0,MAX(0,NETWORKDAYS(MAX($K295,AN$4),MIN($L295,EOMONTH(AN$4,0)),Assumptions!$F$4:$F$44))/NETWORKDAYS($K295,$L295,Assumptions!$F$4:$F$44))</f>
        <v>0.923076923076923</v>
      </c>
      <c r="AO295" s="21" t="n">
        <f aca="false">IF($J295=0,0,MAX(0,NETWORKDAYS(MAX($K295,AO$4),MIN($L295,EOMONTH(AO$4,0)),Assumptions!$F$4:$F$44))/NETWORKDAYS($K295,$L295,Assumptions!$F$4:$F$44))</f>
        <v>0.0769230769230769</v>
      </c>
      <c r="AP295" s="21" t="n">
        <f aca="false">IF($J295=0,0,MAX(0,NETWORKDAYS(MAX($K295,AP$4),MIN($L295,EOMONTH(AP$4,0)),Assumptions!$F$4:$F$44))/NETWORKDAYS($K295,$L295,Assumptions!$F$4:$F$44))</f>
        <v>0</v>
      </c>
      <c r="AQ295" s="21" t="n">
        <f aca="false">IF($J295=0,0,MAX(0,NETWORKDAYS(MAX($K295,AQ$4),MIN($L295,EOMONTH(AQ$4,0)),Assumptions!$F$4:$F$44))/NETWORKDAYS($K295,$L295,Assumptions!$F$4:$F$44))</f>
        <v>0</v>
      </c>
      <c r="AR295" s="21" t="n">
        <f aca="false">IF($J295=0,0,MAX(0,NETWORKDAYS(MAX($K295,AR$4),MIN($L295,EOMONTH(AR$4,0)),Assumptions!$F$4:$F$44))/NETWORKDAYS($K295,$L295,Assumptions!$F$4:$F$44))</f>
        <v>0</v>
      </c>
      <c r="AS295" s="21" t="n">
        <f aca="false">IF($J295=0,0,MAX(0,NETWORKDAYS(MAX($K295,AS$4),MIN($L295,EOMONTH(AS$4,0)),Assumptions!$F$4:$F$44))/NETWORKDAYS($K295,$L295,Assumptions!$F$4:$F$44))</f>
        <v>0</v>
      </c>
      <c r="AT295" s="21" t="n">
        <f aca="false">IF($J295=0,0,MAX(0,NETWORKDAYS(MAX($K295,AT$4),MIN($L295,EOMONTH(AT$4,0)),Assumptions!$F$4:$F$44))/NETWORKDAYS($K295,$L295,Assumptions!$F$4:$F$44))</f>
        <v>0</v>
      </c>
      <c r="AU295" s="21" t="n">
        <f aca="false">IF($J295=0,0,MAX(0,NETWORKDAYS(MAX($K295,AU$4),MIN($L295,EOMONTH(AU$4,0)),Assumptions!$F$4:$F$44))/NETWORKDAYS($K295,$L295,Assumptions!$F$4:$F$44))</f>
        <v>0</v>
      </c>
      <c r="AV295" s="21" t="n">
        <f aca="false">IF($J295=0,0,MAX(0,NETWORKDAYS(MAX($K295,AV$4),MIN($L295,EOMONTH(AV$4,0)),Assumptions!$F$4:$F$44))/NETWORKDAYS($K295,$L295,Assumptions!$F$4:$F$44))</f>
        <v>0</v>
      </c>
      <c r="AW295" s="21" t="n">
        <f aca="false">IF($J295=0,0,MAX(0,NETWORKDAYS(MAX($K295,AW$4),MIN($L295,EOMONTH(AW$4,0)),Assumptions!$F$4:$F$44))/NETWORKDAYS($K295,$L295,Assumptions!$F$4:$F$44))</f>
        <v>0</v>
      </c>
      <c r="AX295" s="21" t="n">
        <f aca="false">IF($J295=0,0,MAX(0,NETWORKDAYS(MAX($K295,AX$4),MIN($L295,EOMONTH(AX$4,0)),Assumptions!$F$4:$F$44))/NETWORKDAYS($K295,$L295,Assumptions!$F$4:$F$44))</f>
        <v>0</v>
      </c>
      <c r="AY295" s="21" t="n">
        <f aca="false">IF($J295=0,0,MAX(0,NETWORKDAYS(MAX($K295,AY$4),MIN($L295,EOMONTH(AY$4,0)),Assumptions!$F$4:$F$44))/NETWORKDAYS($K295,$L295,Assumptions!$F$4:$F$44))</f>
        <v>0</v>
      </c>
      <c r="AZ295" s="21" t="n">
        <f aca="false">IF($J295=0,0,MAX(0,NETWORKDAYS(MAX($K295,AZ$4),MIN($L295,EOMONTH(AZ$4,0)),Assumptions!$F$4:$F$44))/NETWORKDAYS($K295,$L295,Assumptions!$F$4:$F$44))</f>
        <v>0</v>
      </c>
      <c r="BA295" s="21" t="n">
        <f aca="false">IF($J295=0,0,MAX(0,NETWORKDAYS(MAX($K295,BA$4),MIN($L295,EOMONTH(BA$4,0)),Assumptions!$F$4:$F$44))/NETWORKDAYS($K295,$L295,Assumptions!$F$4:$F$44))</f>
        <v>0</v>
      </c>
      <c r="BB295" s="21" t="n">
        <f aca="false">IF($J295=0,0,MAX(0,NETWORKDAYS(MAX($K295,BB$4),MIN($L295,EOMONTH(BB$4,0)),Assumptions!$F$4:$F$44))/NETWORKDAYS($K295,$L295,Assumptions!$F$4:$F$44))</f>
        <v>0</v>
      </c>
      <c r="BC295" s="21" t="n">
        <f aca="false">IF($J295=0,0,MAX(0,NETWORKDAYS(MAX($K295,BC$4),MIN($L295,EOMONTH(BC$4,0)),Assumptions!$F$4:$F$44))/NETWORKDAYS($K295,$L295,Assumptions!$F$4:$F$44))</f>
        <v>0</v>
      </c>
    </row>
    <row r="296" customFormat="false" ht="15" hidden="false" customHeight="false" outlineLevel="2" collapsed="false">
      <c r="A296" s="27" t="n">
        <v>292</v>
      </c>
      <c r="B296" s="27" t="s">
        <v>663</v>
      </c>
      <c r="C296" s="27" t="n">
        <v>3</v>
      </c>
      <c r="D296" s="27" t="s">
        <v>92</v>
      </c>
      <c r="E296" s="28" t="s">
        <v>473</v>
      </c>
      <c r="F296" s="27" t="s">
        <v>502</v>
      </c>
      <c r="G296" s="27" t="s">
        <v>467</v>
      </c>
      <c r="H296" s="27" t="s">
        <v>57</v>
      </c>
      <c r="I296" s="29" t="n">
        <v>187</v>
      </c>
      <c r="J296" s="29" t="n">
        <v>9</v>
      </c>
      <c r="K296" s="30" t="n">
        <f aca="false">WORKDAY(Assumptions!$C$4,I296,Assumptions!$F$4:$F$44)</f>
        <v>46589</v>
      </c>
      <c r="L296" s="30" t="n">
        <f aca="false">IF(J296=0,K296,WORKDAY(K296,J296-1,Assumptions!$F$4:$F$44))</f>
        <v>46601</v>
      </c>
      <c r="M296" s="29"/>
      <c r="N296" s="31" t="n">
        <v>0</v>
      </c>
      <c r="O296" s="31" t="n">
        <v>0</v>
      </c>
      <c r="P296" s="31" t="n">
        <v>0</v>
      </c>
      <c r="Q296" s="31" t="n">
        <v>4</v>
      </c>
      <c r="R296" s="31" t="n">
        <v>0</v>
      </c>
      <c r="S296" s="31" t="n">
        <v>0</v>
      </c>
      <c r="T296" s="31" t="n">
        <v>0</v>
      </c>
      <c r="U296" s="31" t="n">
        <v>4</v>
      </c>
      <c r="V296" s="31" t="n">
        <v>8</v>
      </c>
      <c r="W296" s="31" t="n">
        <v>0</v>
      </c>
      <c r="X296" s="31" t="n">
        <v>0</v>
      </c>
      <c r="Y296" s="32" t="n">
        <f aca="false">SUM(N296:X296)</f>
        <v>16</v>
      </c>
      <c r="Z296" s="32" t="n">
        <f aca="false">Y296*(1+Assumptions!$C$5)</f>
        <v>18.4</v>
      </c>
      <c r="AA296" s="27" t="s">
        <v>474</v>
      </c>
      <c r="AB296" s="27" t="s">
        <v>95</v>
      </c>
      <c r="AC296" s="27"/>
      <c r="AD296" s="33" t="n">
        <v>0</v>
      </c>
      <c r="AF296" s="21" t="n">
        <f aca="false">IF($J296=0,0,MAX(0,NETWORKDAYS(MAX($K296,AF$4),MIN($L296,EOMONTH(AF$4,0)),Assumptions!$F$4:$F$44))/NETWORKDAYS($K296,$L296,Assumptions!$F$4:$F$44))</f>
        <v>0</v>
      </c>
      <c r="AG296" s="21" t="n">
        <f aca="false">IF($J296=0,0,MAX(0,NETWORKDAYS(MAX($K296,AG$4),MIN($L296,EOMONTH(AG$4,0)),Assumptions!$F$4:$F$44))/NETWORKDAYS($K296,$L296,Assumptions!$F$4:$F$44))</f>
        <v>0</v>
      </c>
      <c r="AH296" s="21" t="n">
        <f aca="false">IF($J296=0,0,MAX(0,NETWORKDAYS(MAX($K296,AH$4),MIN($L296,EOMONTH(AH$4,0)),Assumptions!$F$4:$F$44))/NETWORKDAYS($K296,$L296,Assumptions!$F$4:$F$44))</f>
        <v>0</v>
      </c>
      <c r="AI296" s="21" t="n">
        <f aca="false">IF($J296=0,0,MAX(0,NETWORKDAYS(MAX($K296,AI$4),MIN($L296,EOMONTH(AI$4,0)),Assumptions!$F$4:$F$44))/NETWORKDAYS($K296,$L296,Assumptions!$F$4:$F$44))</f>
        <v>0</v>
      </c>
      <c r="AJ296" s="21" t="n">
        <f aca="false">IF($J296=0,0,MAX(0,NETWORKDAYS(MAX($K296,AJ$4),MIN($L296,EOMONTH(AJ$4,0)),Assumptions!$F$4:$F$44))/NETWORKDAYS($K296,$L296,Assumptions!$F$4:$F$44))</f>
        <v>0</v>
      </c>
      <c r="AK296" s="21" t="n">
        <f aca="false">IF($J296=0,0,MAX(0,NETWORKDAYS(MAX($K296,AK$4),MIN($L296,EOMONTH(AK$4,0)),Assumptions!$F$4:$F$44))/NETWORKDAYS($K296,$L296,Assumptions!$F$4:$F$44))</f>
        <v>0</v>
      </c>
      <c r="AL296" s="21" t="n">
        <f aca="false">IF($J296=0,0,MAX(0,NETWORKDAYS(MAX($K296,AL$4),MIN($L296,EOMONTH(AL$4,0)),Assumptions!$F$4:$F$44))/NETWORKDAYS($K296,$L296,Assumptions!$F$4:$F$44))</f>
        <v>0</v>
      </c>
      <c r="AM296" s="21" t="n">
        <f aca="false">IF($J296=0,0,MAX(0,NETWORKDAYS(MAX($K296,AM$4),MIN($L296,EOMONTH(AM$4,0)),Assumptions!$F$4:$F$44))/NETWORKDAYS($K296,$L296,Assumptions!$F$4:$F$44))</f>
        <v>0</v>
      </c>
      <c r="AN296" s="21" t="n">
        <f aca="false">IF($J296=0,0,MAX(0,NETWORKDAYS(MAX($K296,AN$4),MIN($L296,EOMONTH(AN$4,0)),Assumptions!$F$4:$F$44))/NETWORKDAYS($K296,$L296,Assumptions!$F$4:$F$44))</f>
        <v>0.888888888888889</v>
      </c>
      <c r="AO296" s="21" t="n">
        <f aca="false">IF($J296=0,0,MAX(0,NETWORKDAYS(MAX($K296,AO$4),MIN($L296,EOMONTH(AO$4,0)),Assumptions!$F$4:$F$44))/NETWORKDAYS($K296,$L296,Assumptions!$F$4:$F$44))</f>
        <v>0.111111111111111</v>
      </c>
      <c r="AP296" s="21" t="n">
        <f aca="false">IF($J296=0,0,MAX(0,NETWORKDAYS(MAX($K296,AP$4),MIN($L296,EOMONTH(AP$4,0)),Assumptions!$F$4:$F$44))/NETWORKDAYS($K296,$L296,Assumptions!$F$4:$F$44))</f>
        <v>0</v>
      </c>
      <c r="AQ296" s="21" t="n">
        <f aca="false">IF($J296=0,0,MAX(0,NETWORKDAYS(MAX($K296,AQ$4),MIN($L296,EOMONTH(AQ$4,0)),Assumptions!$F$4:$F$44))/NETWORKDAYS($K296,$L296,Assumptions!$F$4:$F$44))</f>
        <v>0</v>
      </c>
      <c r="AR296" s="21" t="n">
        <f aca="false">IF($J296=0,0,MAX(0,NETWORKDAYS(MAX($K296,AR$4),MIN($L296,EOMONTH(AR$4,0)),Assumptions!$F$4:$F$44))/NETWORKDAYS($K296,$L296,Assumptions!$F$4:$F$44))</f>
        <v>0</v>
      </c>
      <c r="AS296" s="21" t="n">
        <f aca="false">IF($J296=0,0,MAX(0,NETWORKDAYS(MAX($K296,AS$4),MIN($L296,EOMONTH(AS$4,0)),Assumptions!$F$4:$F$44))/NETWORKDAYS($K296,$L296,Assumptions!$F$4:$F$44))</f>
        <v>0</v>
      </c>
      <c r="AT296" s="21" t="n">
        <f aca="false">IF($J296=0,0,MAX(0,NETWORKDAYS(MAX($K296,AT$4),MIN($L296,EOMONTH(AT$4,0)),Assumptions!$F$4:$F$44))/NETWORKDAYS($K296,$L296,Assumptions!$F$4:$F$44))</f>
        <v>0</v>
      </c>
      <c r="AU296" s="21" t="n">
        <f aca="false">IF($J296=0,0,MAX(0,NETWORKDAYS(MAX($K296,AU$4),MIN($L296,EOMONTH(AU$4,0)),Assumptions!$F$4:$F$44))/NETWORKDAYS($K296,$L296,Assumptions!$F$4:$F$44))</f>
        <v>0</v>
      </c>
      <c r="AV296" s="21" t="n">
        <f aca="false">IF($J296=0,0,MAX(0,NETWORKDAYS(MAX($K296,AV$4),MIN($L296,EOMONTH(AV$4,0)),Assumptions!$F$4:$F$44))/NETWORKDAYS($K296,$L296,Assumptions!$F$4:$F$44))</f>
        <v>0</v>
      </c>
      <c r="AW296" s="21" t="n">
        <f aca="false">IF($J296=0,0,MAX(0,NETWORKDAYS(MAX($K296,AW$4),MIN($L296,EOMONTH(AW$4,0)),Assumptions!$F$4:$F$44))/NETWORKDAYS($K296,$L296,Assumptions!$F$4:$F$44))</f>
        <v>0</v>
      </c>
      <c r="AX296" s="21" t="n">
        <f aca="false">IF($J296=0,0,MAX(0,NETWORKDAYS(MAX($K296,AX$4),MIN($L296,EOMONTH(AX$4,0)),Assumptions!$F$4:$F$44))/NETWORKDAYS($K296,$L296,Assumptions!$F$4:$F$44))</f>
        <v>0</v>
      </c>
      <c r="AY296" s="21" t="n">
        <f aca="false">IF($J296=0,0,MAX(0,NETWORKDAYS(MAX($K296,AY$4),MIN($L296,EOMONTH(AY$4,0)),Assumptions!$F$4:$F$44))/NETWORKDAYS($K296,$L296,Assumptions!$F$4:$F$44))</f>
        <v>0</v>
      </c>
      <c r="AZ296" s="21" t="n">
        <f aca="false">IF($J296=0,0,MAX(0,NETWORKDAYS(MAX($K296,AZ$4),MIN($L296,EOMONTH(AZ$4,0)),Assumptions!$F$4:$F$44))/NETWORKDAYS($K296,$L296,Assumptions!$F$4:$F$44))</f>
        <v>0</v>
      </c>
      <c r="BA296" s="21" t="n">
        <f aca="false">IF($J296=0,0,MAX(0,NETWORKDAYS(MAX($K296,BA$4),MIN($L296,EOMONTH(BA$4,0)),Assumptions!$F$4:$F$44))/NETWORKDAYS($K296,$L296,Assumptions!$F$4:$F$44))</f>
        <v>0</v>
      </c>
      <c r="BB296" s="21" t="n">
        <f aca="false">IF($J296=0,0,MAX(0,NETWORKDAYS(MAX($K296,BB$4),MIN($L296,EOMONTH(BB$4,0)),Assumptions!$F$4:$F$44))/NETWORKDAYS($K296,$L296,Assumptions!$F$4:$F$44))</f>
        <v>0</v>
      </c>
      <c r="BC296" s="21" t="n">
        <f aca="false">IF($J296=0,0,MAX(0,NETWORKDAYS(MAX($K296,BC$4),MIN($L296,EOMONTH(BC$4,0)),Assumptions!$F$4:$F$44))/NETWORKDAYS($K296,$L296,Assumptions!$F$4:$F$44))</f>
        <v>0</v>
      </c>
    </row>
    <row r="297" customFormat="false" ht="15" hidden="false" customHeight="false" outlineLevel="2" collapsed="false">
      <c r="A297" s="27" t="n">
        <v>293</v>
      </c>
      <c r="B297" s="27" t="s">
        <v>664</v>
      </c>
      <c r="C297" s="27" t="n">
        <v>3</v>
      </c>
      <c r="D297" s="27" t="s">
        <v>92</v>
      </c>
      <c r="E297" s="28" t="s">
        <v>476</v>
      </c>
      <c r="F297" s="27" t="s">
        <v>502</v>
      </c>
      <c r="G297" s="27" t="s">
        <v>467</v>
      </c>
      <c r="H297" s="27" t="s">
        <v>57</v>
      </c>
      <c r="I297" s="29" t="n">
        <v>191</v>
      </c>
      <c r="J297" s="29" t="n">
        <v>13</v>
      </c>
      <c r="K297" s="30" t="n">
        <f aca="false">WORKDAY(Assumptions!$C$4,I297,Assumptions!$F$4:$F$44)</f>
        <v>46595</v>
      </c>
      <c r="L297" s="30" t="n">
        <f aca="false">IF(J297=0,K297,WORKDAY(K297,J297-1,Assumptions!$F$4:$F$44))</f>
        <v>46611</v>
      </c>
      <c r="M297" s="29"/>
      <c r="N297" s="31" t="n">
        <v>0</v>
      </c>
      <c r="O297" s="31" t="n">
        <v>0</v>
      </c>
      <c r="P297" s="31" t="n">
        <v>3</v>
      </c>
      <c r="Q297" s="31" t="n">
        <v>10</v>
      </c>
      <c r="R297" s="31" t="n">
        <v>0</v>
      </c>
      <c r="S297" s="31" t="n">
        <v>0</v>
      </c>
      <c r="T297" s="31" t="n">
        <v>0</v>
      </c>
      <c r="U297" s="31" t="n">
        <v>4</v>
      </c>
      <c r="V297" s="31" t="n">
        <v>4</v>
      </c>
      <c r="W297" s="31" t="n">
        <v>0</v>
      </c>
      <c r="X297" s="31" t="n">
        <v>0</v>
      </c>
      <c r="Y297" s="32" t="n">
        <f aca="false">SUM(N297:X297)</f>
        <v>21</v>
      </c>
      <c r="Z297" s="32" t="n">
        <f aca="false">Y297*(1+Assumptions!$C$5)</f>
        <v>24.15</v>
      </c>
      <c r="AA297" s="27" t="s">
        <v>477</v>
      </c>
      <c r="AB297" s="27" t="s">
        <v>95</v>
      </c>
      <c r="AC297" s="27"/>
      <c r="AD297" s="33" t="n">
        <v>0</v>
      </c>
      <c r="AF297" s="21" t="n">
        <f aca="false">IF($J297=0,0,MAX(0,NETWORKDAYS(MAX($K297,AF$4),MIN($L297,EOMONTH(AF$4,0)),Assumptions!$F$4:$F$44))/NETWORKDAYS($K297,$L297,Assumptions!$F$4:$F$44))</f>
        <v>0</v>
      </c>
      <c r="AG297" s="21" t="n">
        <f aca="false">IF($J297=0,0,MAX(0,NETWORKDAYS(MAX($K297,AG$4),MIN($L297,EOMONTH(AG$4,0)),Assumptions!$F$4:$F$44))/NETWORKDAYS($K297,$L297,Assumptions!$F$4:$F$44))</f>
        <v>0</v>
      </c>
      <c r="AH297" s="21" t="n">
        <f aca="false">IF($J297=0,0,MAX(0,NETWORKDAYS(MAX($K297,AH$4),MIN($L297,EOMONTH(AH$4,0)),Assumptions!$F$4:$F$44))/NETWORKDAYS($K297,$L297,Assumptions!$F$4:$F$44))</f>
        <v>0</v>
      </c>
      <c r="AI297" s="21" t="n">
        <f aca="false">IF($J297=0,0,MAX(0,NETWORKDAYS(MAX($K297,AI$4),MIN($L297,EOMONTH(AI$4,0)),Assumptions!$F$4:$F$44))/NETWORKDAYS($K297,$L297,Assumptions!$F$4:$F$44))</f>
        <v>0</v>
      </c>
      <c r="AJ297" s="21" t="n">
        <f aca="false">IF($J297=0,0,MAX(0,NETWORKDAYS(MAX($K297,AJ$4),MIN($L297,EOMONTH(AJ$4,0)),Assumptions!$F$4:$F$44))/NETWORKDAYS($K297,$L297,Assumptions!$F$4:$F$44))</f>
        <v>0</v>
      </c>
      <c r="AK297" s="21" t="n">
        <f aca="false">IF($J297=0,0,MAX(0,NETWORKDAYS(MAX($K297,AK$4),MIN($L297,EOMONTH(AK$4,0)),Assumptions!$F$4:$F$44))/NETWORKDAYS($K297,$L297,Assumptions!$F$4:$F$44))</f>
        <v>0</v>
      </c>
      <c r="AL297" s="21" t="n">
        <f aca="false">IF($J297=0,0,MAX(0,NETWORKDAYS(MAX($K297,AL$4),MIN($L297,EOMONTH(AL$4,0)),Assumptions!$F$4:$F$44))/NETWORKDAYS($K297,$L297,Assumptions!$F$4:$F$44))</f>
        <v>0</v>
      </c>
      <c r="AM297" s="21" t="n">
        <f aca="false">IF($J297=0,0,MAX(0,NETWORKDAYS(MAX($K297,AM$4),MIN($L297,EOMONTH(AM$4,0)),Assumptions!$F$4:$F$44))/NETWORKDAYS($K297,$L297,Assumptions!$F$4:$F$44))</f>
        <v>0</v>
      </c>
      <c r="AN297" s="21" t="n">
        <f aca="false">IF($J297=0,0,MAX(0,NETWORKDAYS(MAX($K297,AN$4),MIN($L297,EOMONTH(AN$4,0)),Assumptions!$F$4:$F$44))/NETWORKDAYS($K297,$L297,Assumptions!$F$4:$F$44))</f>
        <v>0.307692307692308</v>
      </c>
      <c r="AO297" s="21" t="n">
        <f aca="false">IF($J297=0,0,MAX(0,NETWORKDAYS(MAX($K297,AO$4),MIN($L297,EOMONTH(AO$4,0)),Assumptions!$F$4:$F$44))/NETWORKDAYS($K297,$L297,Assumptions!$F$4:$F$44))</f>
        <v>0.692307692307692</v>
      </c>
      <c r="AP297" s="21" t="n">
        <f aca="false">IF($J297=0,0,MAX(0,NETWORKDAYS(MAX($K297,AP$4),MIN($L297,EOMONTH(AP$4,0)),Assumptions!$F$4:$F$44))/NETWORKDAYS($K297,$L297,Assumptions!$F$4:$F$44))</f>
        <v>0</v>
      </c>
      <c r="AQ297" s="21" t="n">
        <f aca="false">IF($J297=0,0,MAX(0,NETWORKDAYS(MAX($K297,AQ$4),MIN($L297,EOMONTH(AQ$4,0)),Assumptions!$F$4:$F$44))/NETWORKDAYS($K297,$L297,Assumptions!$F$4:$F$44))</f>
        <v>0</v>
      </c>
      <c r="AR297" s="21" t="n">
        <f aca="false">IF($J297=0,0,MAX(0,NETWORKDAYS(MAX($K297,AR$4),MIN($L297,EOMONTH(AR$4,0)),Assumptions!$F$4:$F$44))/NETWORKDAYS($K297,$L297,Assumptions!$F$4:$F$44))</f>
        <v>0</v>
      </c>
      <c r="AS297" s="21" t="n">
        <f aca="false">IF($J297=0,0,MAX(0,NETWORKDAYS(MAX($K297,AS$4),MIN($L297,EOMONTH(AS$4,0)),Assumptions!$F$4:$F$44))/NETWORKDAYS($K297,$L297,Assumptions!$F$4:$F$44))</f>
        <v>0</v>
      </c>
      <c r="AT297" s="21" t="n">
        <f aca="false">IF($J297=0,0,MAX(0,NETWORKDAYS(MAX($K297,AT$4),MIN($L297,EOMONTH(AT$4,0)),Assumptions!$F$4:$F$44))/NETWORKDAYS($K297,$L297,Assumptions!$F$4:$F$44))</f>
        <v>0</v>
      </c>
      <c r="AU297" s="21" t="n">
        <f aca="false">IF($J297=0,0,MAX(0,NETWORKDAYS(MAX($K297,AU$4),MIN($L297,EOMONTH(AU$4,0)),Assumptions!$F$4:$F$44))/NETWORKDAYS($K297,$L297,Assumptions!$F$4:$F$44))</f>
        <v>0</v>
      </c>
      <c r="AV297" s="21" t="n">
        <f aca="false">IF($J297=0,0,MAX(0,NETWORKDAYS(MAX($K297,AV$4),MIN($L297,EOMONTH(AV$4,0)),Assumptions!$F$4:$F$44))/NETWORKDAYS($K297,$L297,Assumptions!$F$4:$F$44))</f>
        <v>0</v>
      </c>
      <c r="AW297" s="21" t="n">
        <f aca="false">IF($J297=0,0,MAX(0,NETWORKDAYS(MAX($K297,AW$4),MIN($L297,EOMONTH(AW$4,0)),Assumptions!$F$4:$F$44))/NETWORKDAYS($K297,$L297,Assumptions!$F$4:$F$44))</f>
        <v>0</v>
      </c>
      <c r="AX297" s="21" t="n">
        <f aca="false">IF($J297=0,0,MAX(0,NETWORKDAYS(MAX($K297,AX$4),MIN($L297,EOMONTH(AX$4,0)),Assumptions!$F$4:$F$44))/NETWORKDAYS($K297,$L297,Assumptions!$F$4:$F$44))</f>
        <v>0</v>
      </c>
      <c r="AY297" s="21" t="n">
        <f aca="false">IF($J297=0,0,MAX(0,NETWORKDAYS(MAX($K297,AY$4),MIN($L297,EOMONTH(AY$4,0)),Assumptions!$F$4:$F$44))/NETWORKDAYS($K297,$L297,Assumptions!$F$4:$F$44))</f>
        <v>0</v>
      </c>
      <c r="AZ297" s="21" t="n">
        <f aca="false">IF($J297=0,0,MAX(0,NETWORKDAYS(MAX($K297,AZ$4),MIN($L297,EOMONTH(AZ$4,0)),Assumptions!$F$4:$F$44))/NETWORKDAYS($K297,$L297,Assumptions!$F$4:$F$44))</f>
        <v>0</v>
      </c>
      <c r="BA297" s="21" t="n">
        <f aca="false">IF($J297=0,0,MAX(0,NETWORKDAYS(MAX($K297,BA$4),MIN($L297,EOMONTH(BA$4,0)),Assumptions!$F$4:$F$44))/NETWORKDAYS($K297,$L297,Assumptions!$F$4:$F$44))</f>
        <v>0</v>
      </c>
      <c r="BB297" s="21" t="n">
        <f aca="false">IF($J297=0,0,MAX(0,NETWORKDAYS(MAX($K297,BB$4),MIN($L297,EOMONTH(BB$4,0)),Assumptions!$F$4:$F$44))/NETWORKDAYS($K297,$L297,Assumptions!$F$4:$F$44))</f>
        <v>0</v>
      </c>
      <c r="BC297" s="21" t="n">
        <f aca="false">IF($J297=0,0,MAX(0,NETWORKDAYS(MAX($K297,BC$4),MIN($L297,EOMONTH(BC$4,0)),Assumptions!$F$4:$F$44))/NETWORKDAYS($K297,$L297,Assumptions!$F$4:$F$44))</f>
        <v>0</v>
      </c>
    </row>
    <row r="298" customFormat="false" ht="15" hidden="false" customHeight="false" outlineLevel="2" collapsed="false">
      <c r="A298" s="27" t="n">
        <v>294</v>
      </c>
      <c r="B298" s="27" t="s">
        <v>665</v>
      </c>
      <c r="C298" s="27" t="n">
        <v>3</v>
      </c>
      <c r="D298" s="27" t="s">
        <v>92</v>
      </c>
      <c r="E298" s="28" t="s">
        <v>479</v>
      </c>
      <c r="F298" s="27" t="s">
        <v>502</v>
      </c>
      <c r="G298" s="27" t="s">
        <v>467</v>
      </c>
      <c r="H298" s="27" t="s">
        <v>61</v>
      </c>
      <c r="I298" s="29" t="n">
        <v>196</v>
      </c>
      <c r="J298" s="29" t="n">
        <v>13</v>
      </c>
      <c r="K298" s="30" t="n">
        <f aca="false">WORKDAY(Assumptions!$C$4,I298,Assumptions!$F$4:$F$44)</f>
        <v>46602</v>
      </c>
      <c r="L298" s="30" t="n">
        <f aca="false">IF(J298=0,K298,WORKDAY(K298,J298-1,Assumptions!$F$4:$F$44))</f>
        <v>46618</v>
      </c>
      <c r="M298" s="29"/>
      <c r="N298" s="31" t="n">
        <v>0</v>
      </c>
      <c r="O298" s="31" t="n">
        <v>5</v>
      </c>
      <c r="P298" s="31" t="n">
        <v>0</v>
      </c>
      <c r="Q298" s="31" t="n">
        <v>0</v>
      </c>
      <c r="R298" s="31" t="n">
        <v>0</v>
      </c>
      <c r="S298" s="31" t="n">
        <v>0</v>
      </c>
      <c r="T298" s="31" t="n">
        <v>0</v>
      </c>
      <c r="U298" s="31" t="n">
        <v>0</v>
      </c>
      <c r="V298" s="31" t="n">
        <v>0</v>
      </c>
      <c r="W298" s="31" t="n">
        <v>0</v>
      </c>
      <c r="X298" s="31" t="n">
        <v>15</v>
      </c>
      <c r="Y298" s="32" t="n">
        <f aca="false">SUM(N298:X298)</f>
        <v>20</v>
      </c>
      <c r="Z298" s="32" t="n">
        <f aca="false">Y298*(1+Assumptions!$C$5)</f>
        <v>23</v>
      </c>
      <c r="AA298" s="27" t="s">
        <v>480</v>
      </c>
      <c r="AB298" s="27" t="s">
        <v>95</v>
      </c>
      <c r="AC298" s="27"/>
      <c r="AD298" s="33" t="n">
        <v>0</v>
      </c>
      <c r="AF298" s="21" t="n">
        <f aca="false">IF($J298=0,0,MAX(0,NETWORKDAYS(MAX($K298,AF$4),MIN($L298,EOMONTH(AF$4,0)),Assumptions!$F$4:$F$44))/NETWORKDAYS($K298,$L298,Assumptions!$F$4:$F$44))</f>
        <v>0</v>
      </c>
      <c r="AG298" s="21" t="n">
        <f aca="false">IF($J298=0,0,MAX(0,NETWORKDAYS(MAX($K298,AG$4),MIN($L298,EOMONTH(AG$4,0)),Assumptions!$F$4:$F$44))/NETWORKDAYS($K298,$L298,Assumptions!$F$4:$F$44))</f>
        <v>0</v>
      </c>
      <c r="AH298" s="21" t="n">
        <f aca="false">IF($J298=0,0,MAX(0,NETWORKDAYS(MAX($K298,AH$4),MIN($L298,EOMONTH(AH$4,0)),Assumptions!$F$4:$F$44))/NETWORKDAYS($K298,$L298,Assumptions!$F$4:$F$44))</f>
        <v>0</v>
      </c>
      <c r="AI298" s="21" t="n">
        <f aca="false">IF($J298=0,0,MAX(0,NETWORKDAYS(MAX($K298,AI$4),MIN($L298,EOMONTH(AI$4,0)),Assumptions!$F$4:$F$44))/NETWORKDAYS($K298,$L298,Assumptions!$F$4:$F$44))</f>
        <v>0</v>
      </c>
      <c r="AJ298" s="21" t="n">
        <f aca="false">IF($J298=0,0,MAX(0,NETWORKDAYS(MAX($K298,AJ$4),MIN($L298,EOMONTH(AJ$4,0)),Assumptions!$F$4:$F$44))/NETWORKDAYS($K298,$L298,Assumptions!$F$4:$F$44))</f>
        <v>0</v>
      </c>
      <c r="AK298" s="21" t="n">
        <f aca="false">IF($J298=0,0,MAX(0,NETWORKDAYS(MAX($K298,AK$4),MIN($L298,EOMONTH(AK$4,0)),Assumptions!$F$4:$F$44))/NETWORKDAYS($K298,$L298,Assumptions!$F$4:$F$44))</f>
        <v>0</v>
      </c>
      <c r="AL298" s="21" t="n">
        <f aca="false">IF($J298=0,0,MAX(0,NETWORKDAYS(MAX($K298,AL$4),MIN($L298,EOMONTH(AL$4,0)),Assumptions!$F$4:$F$44))/NETWORKDAYS($K298,$L298,Assumptions!$F$4:$F$44))</f>
        <v>0</v>
      </c>
      <c r="AM298" s="21" t="n">
        <f aca="false">IF($J298=0,0,MAX(0,NETWORKDAYS(MAX($K298,AM$4),MIN($L298,EOMONTH(AM$4,0)),Assumptions!$F$4:$F$44))/NETWORKDAYS($K298,$L298,Assumptions!$F$4:$F$44))</f>
        <v>0</v>
      </c>
      <c r="AN298" s="21" t="n">
        <f aca="false">IF($J298=0,0,MAX(0,NETWORKDAYS(MAX($K298,AN$4),MIN($L298,EOMONTH(AN$4,0)),Assumptions!$F$4:$F$44))/NETWORKDAYS($K298,$L298,Assumptions!$F$4:$F$44))</f>
        <v>0</v>
      </c>
      <c r="AO298" s="21" t="n">
        <f aca="false">IF($J298=0,0,MAX(0,NETWORKDAYS(MAX($K298,AO$4),MIN($L298,EOMONTH(AO$4,0)),Assumptions!$F$4:$F$44))/NETWORKDAYS($K298,$L298,Assumptions!$F$4:$F$44))</f>
        <v>1</v>
      </c>
      <c r="AP298" s="21" t="n">
        <f aca="false">IF($J298=0,0,MAX(0,NETWORKDAYS(MAX($K298,AP$4),MIN($L298,EOMONTH(AP$4,0)),Assumptions!$F$4:$F$44))/NETWORKDAYS($K298,$L298,Assumptions!$F$4:$F$44))</f>
        <v>0</v>
      </c>
      <c r="AQ298" s="21" t="n">
        <f aca="false">IF($J298=0,0,MAX(0,NETWORKDAYS(MAX($K298,AQ$4),MIN($L298,EOMONTH(AQ$4,0)),Assumptions!$F$4:$F$44))/NETWORKDAYS($K298,$L298,Assumptions!$F$4:$F$44))</f>
        <v>0</v>
      </c>
      <c r="AR298" s="21" t="n">
        <f aca="false">IF($J298=0,0,MAX(0,NETWORKDAYS(MAX($K298,AR$4),MIN($L298,EOMONTH(AR$4,0)),Assumptions!$F$4:$F$44))/NETWORKDAYS($K298,$L298,Assumptions!$F$4:$F$44))</f>
        <v>0</v>
      </c>
      <c r="AS298" s="21" t="n">
        <f aca="false">IF($J298=0,0,MAX(0,NETWORKDAYS(MAX($K298,AS$4),MIN($L298,EOMONTH(AS$4,0)),Assumptions!$F$4:$F$44))/NETWORKDAYS($K298,$L298,Assumptions!$F$4:$F$44))</f>
        <v>0</v>
      </c>
      <c r="AT298" s="21" t="n">
        <f aca="false">IF($J298=0,0,MAX(0,NETWORKDAYS(MAX($K298,AT$4),MIN($L298,EOMONTH(AT$4,0)),Assumptions!$F$4:$F$44))/NETWORKDAYS($K298,$L298,Assumptions!$F$4:$F$44))</f>
        <v>0</v>
      </c>
      <c r="AU298" s="21" t="n">
        <f aca="false">IF($J298=0,0,MAX(0,NETWORKDAYS(MAX($K298,AU$4),MIN($L298,EOMONTH(AU$4,0)),Assumptions!$F$4:$F$44))/NETWORKDAYS($K298,$L298,Assumptions!$F$4:$F$44))</f>
        <v>0</v>
      </c>
      <c r="AV298" s="21" t="n">
        <f aca="false">IF($J298=0,0,MAX(0,NETWORKDAYS(MAX($K298,AV$4),MIN($L298,EOMONTH(AV$4,0)),Assumptions!$F$4:$F$44))/NETWORKDAYS($K298,$L298,Assumptions!$F$4:$F$44))</f>
        <v>0</v>
      </c>
      <c r="AW298" s="21" t="n">
        <f aca="false">IF($J298=0,0,MAX(0,NETWORKDAYS(MAX($K298,AW$4),MIN($L298,EOMONTH(AW$4,0)),Assumptions!$F$4:$F$44))/NETWORKDAYS($K298,$L298,Assumptions!$F$4:$F$44))</f>
        <v>0</v>
      </c>
      <c r="AX298" s="21" t="n">
        <f aca="false">IF($J298=0,0,MAX(0,NETWORKDAYS(MAX($K298,AX$4),MIN($L298,EOMONTH(AX$4,0)),Assumptions!$F$4:$F$44))/NETWORKDAYS($K298,$L298,Assumptions!$F$4:$F$44))</f>
        <v>0</v>
      </c>
      <c r="AY298" s="21" t="n">
        <f aca="false">IF($J298=0,0,MAX(0,NETWORKDAYS(MAX($K298,AY$4),MIN($L298,EOMONTH(AY$4,0)),Assumptions!$F$4:$F$44))/NETWORKDAYS($K298,$L298,Assumptions!$F$4:$F$44))</f>
        <v>0</v>
      </c>
      <c r="AZ298" s="21" t="n">
        <f aca="false">IF($J298=0,0,MAX(0,NETWORKDAYS(MAX($K298,AZ$4),MIN($L298,EOMONTH(AZ$4,0)),Assumptions!$F$4:$F$44))/NETWORKDAYS($K298,$L298,Assumptions!$F$4:$F$44))</f>
        <v>0</v>
      </c>
      <c r="BA298" s="21" t="n">
        <f aca="false">IF($J298=0,0,MAX(0,NETWORKDAYS(MAX($K298,BA$4),MIN($L298,EOMONTH(BA$4,0)),Assumptions!$F$4:$F$44))/NETWORKDAYS($K298,$L298,Assumptions!$F$4:$F$44))</f>
        <v>0</v>
      </c>
      <c r="BB298" s="21" t="n">
        <f aca="false">IF($J298=0,0,MAX(0,NETWORKDAYS(MAX($K298,BB$4),MIN($L298,EOMONTH(BB$4,0)),Assumptions!$F$4:$F$44))/NETWORKDAYS($K298,$L298,Assumptions!$F$4:$F$44))</f>
        <v>0</v>
      </c>
      <c r="BC298" s="21" t="n">
        <f aca="false">IF($J298=0,0,MAX(0,NETWORKDAYS(MAX($K298,BC$4),MIN($L298,EOMONTH(BC$4,0)),Assumptions!$F$4:$F$44))/NETWORKDAYS($K298,$L298,Assumptions!$F$4:$F$44))</f>
        <v>0</v>
      </c>
    </row>
    <row r="299" customFormat="false" ht="15" hidden="false" customHeight="false" outlineLevel="2" collapsed="false">
      <c r="A299" s="27" t="n">
        <v>295</v>
      </c>
      <c r="B299" s="27" t="s">
        <v>666</v>
      </c>
      <c r="C299" s="27" t="n">
        <v>3</v>
      </c>
      <c r="D299" s="27" t="s">
        <v>92</v>
      </c>
      <c r="E299" s="28" t="s">
        <v>482</v>
      </c>
      <c r="F299" s="27" t="s">
        <v>502</v>
      </c>
      <c r="G299" s="27" t="s">
        <v>467</v>
      </c>
      <c r="H299" s="27" t="s">
        <v>59</v>
      </c>
      <c r="I299" s="29" t="n">
        <v>199</v>
      </c>
      <c r="J299" s="29" t="n">
        <v>8</v>
      </c>
      <c r="K299" s="30" t="n">
        <f aca="false">WORKDAY(Assumptions!$C$4,I299,Assumptions!$F$4:$F$44)</f>
        <v>46605</v>
      </c>
      <c r="L299" s="30" t="n">
        <f aca="false">IF(J299=0,K299,WORKDAY(K299,J299-1,Assumptions!$F$4:$F$44))</f>
        <v>46616</v>
      </c>
      <c r="M299" s="29"/>
      <c r="N299" s="31" t="n">
        <v>0</v>
      </c>
      <c r="O299" s="31" t="n">
        <v>2</v>
      </c>
      <c r="P299" s="31" t="n">
        <v>0</v>
      </c>
      <c r="Q299" s="31" t="n">
        <v>0</v>
      </c>
      <c r="R299" s="31" t="n">
        <v>0</v>
      </c>
      <c r="S299" s="31" t="n">
        <v>0</v>
      </c>
      <c r="T299" s="31" t="n">
        <v>0</v>
      </c>
      <c r="U299" s="31" t="n">
        <v>3</v>
      </c>
      <c r="V299" s="31" t="n">
        <v>0</v>
      </c>
      <c r="W299" s="31" t="n">
        <v>8</v>
      </c>
      <c r="X299" s="31" t="n">
        <v>0</v>
      </c>
      <c r="Y299" s="32" t="n">
        <f aca="false">SUM(N299:X299)</f>
        <v>13</v>
      </c>
      <c r="Z299" s="32" t="n">
        <f aca="false">Y299*(1+Assumptions!$C$5)</f>
        <v>14.95</v>
      </c>
      <c r="AA299" s="27" t="s">
        <v>483</v>
      </c>
      <c r="AB299" s="27" t="s">
        <v>95</v>
      </c>
      <c r="AC299" s="27"/>
      <c r="AD299" s="33" t="n">
        <v>0</v>
      </c>
      <c r="AF299" s="21" t="n">
        <f aca="false">IF($J299=0,0,MAX(0,NETWORKDAYS(MAX($K299,AF$4),MIN($L299,EOMONTH(AF$4,0)),Assumptions!$F$4:$F$44))/NETWORKDAYS($K299,$L299,Assumptions!$F$4:$F$44))</f>
        <v>0</v>
      </c>
      <c r="AG299" s="21" t="n">
        <f aca="false">IF($J299=0,0,MAX(0,NETWORKDAYS(MAX($K299,AG$4),MIN($L299,EOMONTH(AG$4,0)),Assumptions!$F$4:$F$44))/NETWORKDAYS($K299,$L299,Assumptions!$F$4:$F$44))</f>
        <v>0</v>
      </c>
      <c r="AH299" s="21" t="n">
        <f aca="false">IF($J299=0,0,MAX(0,NETWORKDAYS(MAX($K299,AH$4),MIN($L299,EOMONTH(AH$4,0)),Assumptions!$F$4:$F$44))/NETWORKDAYS($K299,$L299,Assumptions!$F$4:$F$44))</f>
        <v>0</v>
      </c>
      <c r="AI299" s="21" t="n">
        <f aca="false">IF($J299=0,0,MAX(0,NETWORKDAYS(MAX($K299,AI$4),MIN($L299,EOMONTH(AI$4,0)),Assumptions!$F$4:$F$44))/NETWORKDAYS($K299,$L299,Assumptions!$F$4:$F$44))</f>
        <v>0</v>
      </c>
      <c r="AJ299" s="21" t="n">
        <f aca="false">IF($J299=0,0,MAX(0,NETWORKDAYS(MAX($K299,AJ$4),MIN($L299,EOMONTH(AJ$4,0)),Assumptions!$F$4:$F$44))/NETWORKDAYS($K299,$L299,Assumptions!$F$4:$F$44))</f>
        <v>0</v>
      </c>
      <c r="AK299" s="21" t="n">
        <f aca="false">IF($J299=0,0,MAX(0,NETWORKDAYS(MAX($K299,AK$4),MIN($L299,EOMONTH(AK$4,0)),Assumptions!$F$4:$F$44))/NETWORKDAYS($K299,$L299,Assumptions!$F$4:$F$44))</f>
        <v>0</v>
      </c>
      <c r="AL299" s="21" t="n">
        <f aca="false">IF($J299=0,0,MAX(0,NETWORKDAYS(MAX($K299,AL$4),MIN($L299,EOMONTH(AL$4,0)),Assumptions!$F$4:$F$44))/NETWORKDAYS($K299,$L299,Assumptions!$F$4:$F$44))</f>
        <v>0</v>
      </c>
      <c r="AM299" s="21" t="n">
        <f aca="false">IF($J299=0,0,MAX(0,NETWORKDAYS(MAX($K299,AM$4),MIN($L299,EOMONTH(AM$4,0)),Assumptions!$F$4:$F$44))/NETWORKDAYS($K299,$L299,Assumptions!$F$4:$F$44))</f>
        <v>0</v>
      </c>
      <c r="AN299" s="21" t="n">
        <f aca="false">IF($J299=0,0,MAX(0,NETWORKDAYS(MAX($K299,AN$4),MIN($L299,EOMONTH(AN$4,0)),Assumptions!$F$4:$F$44))/NETWORKDAYS($K299,$L299,Assumptions!$F$4:$F$44))</f>
        <v>0</v>
      </c>
      <c r="AO299" s="21" t="n">
        <f aca="false">IF($J299=0,0,MAX(0,NETWORKDAYS(MAX($K299,AO$4),MIN($L299,EOMONTH(AO$4,0)),Assumptions!$F$4:$F$44))/NETWORKDAYS($K299,$L299,Assumptions!$F$4:$F$44))</f>
        <v>1</v>
      </c>
      <c r="AP299" s="21" t="n">
        <f aca="false">IF($J299=0,0,MAX(0,NETWORKDAYS(MAX($K299,AP$4),MIN($L299,EOMONTH(AP$4,0)),Assumptions!$F$4:$F$44))/NETWORKDAYS($K299,$L299,Assumptions!$F$4:$F$44))</f>
        <v>0</v>
      </c>
      <c r="AQ299" s="21" t="n">
        <f aca="false">IF($J299=0,0,MAX(0,NETWORKDAYS(MAX($K299,AQ$4),MIN($L299,EOMONTH(AQ$4,0)),Assumptions!$F$4:$F$44))/NETWORKDAYS($K299,$L299,Assumptions!$F$4:$F$44))</f>
        <v>0</v>
      </c>
      <c r="AR299" s="21" t="n">
        <f aca="false">IF($J299=0,0,MAX(0,NETWORKDAYS(MAX($K299,AR$4),MIN($L299,EOMONTH(AR$4,0)),Assumptions!$F$4:$F$44))/NETWORKDAYS($K299,$L299,Assumptions!$F$4:$F$44))</f>
        <v>0</v>
      </c>
      <c r="AS299" s="21" t="n">
        <f aca="false">IF($J299=0,0,MAX(0,NETWORKDAYS(MAX($K299,AS$4),MIN($L299,EOMONTH(AS$4,0)),Assumptions!$F$4:$F$44))/NETWORKDAYS($K299,$L299,Assumptions!$F$4:$F$44))</f>
        <v>0</v>
      </c>
      <c r="AT299" s="21" t="n">
        <f aca="false">IF($J299=0,0,MAX(0,NETWORKDAYS(MAX($K299,AT$4),MIN($L299,EOMONTH(AT$4,0)),Assumptions!$F$4:$F$44))/NETWORKDAYS($K299,$L299,Assumptions!$F$4:$F$44))</f>
        <v>0</v>
      </c>
      <c r="AU299" s="21" t="n">
        <f aca="false">IF($J299=0,0,MAX(0,NETWORKDAYS(MAX($K299,AU$4),MIN($L299,EOMONTH(AU$4,0)),Assumptions!$F$4:$F$44))/NETWORKDAYS($K299,$L299,Assumptions!$F$4:$F$44))</f>
        <v>0</v>
      </c>
      <c r="AV299" s="21" t="n">
        <f aca="false">IF($J299=0,0,MAX(0,NETWORKDAYS(MAX($K299,AV$4),MIN($L299,EOMONTH(AV$4,0)),Assumptions!$F$4:$F$44))/NETWORKDAYS($K299,$L299,Assumptions!$F$4:$F$44))</f>
        <v>0</v>
      </c>
      <c r="AW299" s="21" t="n">
        <f aca="false">IF($J299=0,0,MAX(0,NETWORKDAYS(MAX($K299,AW$4),MIN($L299,EOMONTH(AW$4,0)),Assumptions!$F$4:$F$44))/NETWORKDAYS($K299,$L299,Assumptions!$F$4:$F$44))</f>
        <v>0</v>
      </c>
      <c r="AX299" s="21" t="n">
        <f aca="false">IF($J299=0,0,MAX(0,NETWORKDAYS(MAX($K299,AX$4),MIN($L299,EOMONTH(AX$4,0)),Assumptions!$F$4:$F$44))/NETWORKDAYS($K299,$L299,Assumptions!$F$4:$F$44))</f>
        <v>0</v>
      </c>
      <c r="AY299" s="21" t="n">
        <f aca="false">IF($J299=0,0,MAX(0,NETWORKDAYS(MAX($K299,AY$4),MIN($L299,EOMONTH(AY$4,0)),Assumptions!$F$4:$F$44))/NETWORKDAYS($K299,$L299,Assumptions!$F$4:$F$44))</f>
        <v>0</v>
      </c>
      <c r="AZ299" s="21" t="n">
        <f aca="false">IF($J299=0,0,MAX(0,NETWORKDAYS(MAX($K299,AZ$4),MIN($L299,EOMONTH(AZ$4,0)),Assumptions!$F$4:$F$44))/NETWORKDAYS($K299,$L299,Assumptions!$F$4:$F$44))</f>
        <v>0</v>
      </c>
      <c r="BA299" s="21" t="n">
        <f aca="false">IF($J299=0,0,MAX(0,NETWORKDAYS(MAX($K299,BA$4),MIN($L299,EOMONTH(BA$4,0)),Assumptions!$F$4:$F$44))/NETWORKDAYS($K299,$L299,Assumptions!$F$4:$F$44))</f>
        <v>0</v>
      </c>
      <c r="BB299" s="21" t="n">
        <f aca="false">IF($J299=0,0,MAX(0,NETWORKDAYS(MAX($K299,BB$4),MIN($L299,EOMONTH(BB$4,0)),Assumptions!$F$4:$F$44))/NETWORKDAYS($K299,$L299,Assumptions!$F$4:$F$44))</f>
        <v>0</v>
      </c>
      <c r="BC299" s="21" t="n">
        <f aca="false">IF($J299=0,0,MAX(0,NETWORKDAYS(MAX($K299,BC$4),MIN($L299,EOMONTH(BC$4,0)),Assumptions!$F$4:$F$44))/NETWORKDAYS($K299,$L299,Assumptions!$F$4:$F$44))</f>
        <v>0</v>
      </c>
    </row>
    <row r="300" customFormat="false" ht="15" hidden="false" customHeight="false" outlineLevel="2" collapsed="false">
      <c r="A300" s="27" t="n">
        <v>296</v>
      </c>
      <c r="B300" s="27" t="s">
        <v>667</v>
      </c>
      <c r="C300" s="27" t="n">
        <v>3</v>
      </c>
      <c r="D300" s="27" t="s">
        <v>92</v>
      </c>
      <c r="E300" s="28" t="s">
        <v>485</v>
      </c>
      <c r="F300" s="27" t="s">
        <v>502</v>
      </c>
      <c r="G300" s="27" t="s">
        <v>467</v>
      </c>
      <c r="H300" s="27" t="s">
        <v>55</v>
      </c>
      <c r="I300" s="29" t="n">
        <v>207</v>
      </c>
      <c r="J300" s="29" t="n">
        <v>3</v>
      </c>
      <c r="K300" s="30" t="n">
        <f aca="false">WORKDAY(Assumptions!$C$4,I300,Assumptions!$F$4:$F$44)</f>
        <v>46617</v>
      </c>
      <c r="L300" s="30" t="n">
        <f aca="false">IF(J300=0,K300,WORKDAY(K300,J300-1,Assumptions!$F$4:$F$44))</f>
        <v>46619</v>
      </c>
      <c r="M300" s="29" t="s">
        <v>668</v>
      </c>
      <c r="N300" s="31" t="n">
        <v>0</v>
      </c>
      <c r="O300" s="31" t="n">
        <v>0</v>
      </c>
      <c r="P300" s="31" t="n">
        <v>0</v>
      </c>
      <c r="Q300" s="31" t="n">
        <v>4</v>
      </c>
      <c r="R300" s="31" t="n">
        <v>0</v>
      </c>
      <c r="S300" s="31" t="n">
        <v>0</v>
      </c>
      <c r="T300" s="31" t="n">
        <v>0</v>
      </c>
      <c r="U300" s="31" t="n">
        <v>5</v>
      </c>
      <c r="V300" s="31" t="n">
        <v>3</v>
      </c>
      <c r="W300" s="31" t="n">
        <v>4</v>
      </c>
      <c r="X300" s="31" t="n">
        <v>0</v>
      </c>
      <c r="Y300" s="32" t="n">
        <f aca="false">SUM(N300:X300)</f>
        <v>16</v>
      </c>
      <c r="Z300" s="32" t="n">
        <f aca="false">Y300*(1+Assumptions!$C$5)</f>
        <v>18.4</v>
      </c>
      <c r="AA300" s="27" t="s">
        <v>487</v>
      </c>
      <c r="AB300" s="27" t="s">
        <v>95</v>
      </c>
      <c r="AC300" s="27"/>
      <c r="AD300" s="33" t="n">
        <v>0</v>
      </c>
      <c r="AF300" s="21" t="n">
        <f aca="false">IF($J300=0,0,MAX(0,NETWORKDAYS(MAX($K300,AF$4),MIN($L300,EOMONTH(AF$4,0)),Assumptions!$F$4:$F$44))/NETWORKDAYS($K300,$L300,Assumptions!$F$4:$F$44))</f>
        <v>0</v>
      </c>
      <c r="AG300" s="21" t="n">
        <f aca="false">IF($J300=0,0,MAX(0,NETWORKDAYS(MAX($K300,AG$4),MIN($L300,EOMONTH(AG$4,0)),Assumptions!$F$4:$F$44))/NETWORKDAYS($K300,$L300,Assumptions!$F$4:$F$44))</f>
        <v>0</v>
      </c>
      <c r="AH300" s="21" t="n">
        <f aca="false">IF($J300=0,0,MAX(0,NETWORKDAYS(MAX($K300,AH$4),MIN($L300,EOMONTH(AH$4,0)),Assumptions!$F$4:$F$44))/NETWORKDAYS($K300,$L300,Assumptions!$F$4:$F$44))</f>
        <v>0</v>
      </c>
      <c r="AI300" s="21" t="n">
        <f aca="false">IF($J300=0,0,MAX(0,NETWORKDAYS(MAX($K300,AI$4),MIN($L300,EOMONTH(AI$4,0)),Assumptions!$F$4:$F$44))/NETWORKDAYS($K300,$L300,Assumptions!$F$4:$F$44))</f>
        <v>0</v>
      </c>
      <c r="AJ300" s="21" t="n">
        <f aca="false">IF($J300=0,0,MAX(0,NETWORKDAYS(MAX($K300,AJ$4),MIN($L300,EOMONTH(AJ$4,0)),Assumptions!$F$4:$F$44))/NETWORKDAYS($K300,$L300,Assumptions!$F$4:$F$44))</f>
        <v>0</v>
      </c>
      <c r="AK300" s="21" t="n">
        <f aca="false">IF($J300=0,0,MAX(0,NETWORKDAYS(MAX($K300,AK$4),MIN($L300,EOMONTH(AK$4,0)),Assumptions!$F$4:$F$44))/NETWORKDAYS($K300,$L300,Assumptions!$F$4:$F$44))</f>
        <v>0</v>
      </c>
      <c r="AL300" s="21" t="n">
        <f aca="false">IF($J300=0,0,MAX(0,NETWORKDAYS(MAX($K300,AL$4),MIN($L300,EOMONTH(AL$4,0)),Assumptions!$F$4:$F$44))/NETWORKDAYS($K300,$L300,Assumptions!$F$4:$F$44))</f>
        <v>0</v>
      </c>
      <c r="AM300" s="21" t="n">
        <f aca="false">IF($J300=0,0,MAX(0,NETWORKDAYS(MAX($K300,AM$4),MIN($L300,EOMONTH(AM$4,0)),Assumptions!$F$4:$F$44))/NETWORKDAYS($K300,$L300,Assumptions!$F$4:$F$44))</f>
        <v>0</v>
      </c>
      <c r="AN300" s="21" t="n">
        <f aca="false">IF($J300=0,0,MAX(0,NETWORKDAYS(MAX($K300,AN$4),MIN($L300,EOMONTH(AN$4,0)),Assumptions!$F$4:$F$44))/NETWORKDAYS($K300,$L300,Assumptions!$F$4:$F$44))</f>
        <v>0</v>
      </c>
      <c r="AO300" s="21" t="n">
        <f aca="false">IF($J300=0,0,MAX(0,NETWORKDAYS(MAX($K300,AO$4),MIN($L300,EOMONTH(AO$4,0)),Assumptions!$F$4:$F$44))/NETWORKDAYS($K300,$L300,Assumptions!$F$4:$F$44))</f>
        <v>1</v>
      </c>
      <c r="AP300" s="21" t="n">
        <f aca="false">IF($J300=0,0,MAX(0,NETWORKDAYS(MAX($K300,AP$4),MIN($L300,EOMONTH(AP$4,0)),Assumptions!$F$4:$F$44))/NETWORKDAYS($K300,$L300,Assumptions!$F$4:$F$44))</f>
        <v>0</v>
      </c>
      <c r="AQ300" s="21" t="n">
        <f aca="false">IF($J300=0,0,MAX(0,NETWORKDAYS(MAX($K300,AQ$4),MIN($L300,EOMONTH(AQ$4,0)),Assumptions!$F$4:$F$44))/NETWORKDAYS($K300,$L300,Assumptions!$F$4:$F$44))</f>
        <v>0</v>
      </c>
      <c r="AR300" s="21" t="n">
        <f aca="false">IF($J300=0,0,MAX(0,NETWORKDAYS(MAX($K300,AR$4),MIN($L300,EOMONTH(AR$4,0)),Assumptions!$F$4:$F$44))/NETWORKDAYS($K300,$L300,Assumptions!$F$4:$F$44))</f>
        <v>0</v>
      </c>
      <c r="AS300" s="21" t="n">
        <f aca="false">IF($J300=0,0,MAX(0,NETWORKDAYS(MAX($K300,AS$4),MIN($L300,EOMONTH(AS$4,0)),Assumptions!$F$4:$F$44))/NETWORKDAYS($K300,$L300,Assumptions!$F$4:$F$44))</f>
        <v>0</v>
      </c>
      <c r="AT300" s="21" t="n">
        <f aca="false">IF($J300=0,0,MAX(0,NETWORKDAYS(MAX($K300,AT$4),MIN($L300,EOMONTH(AT$4,0)),Assumptions!$F$4:$F$44))/NETWORKDAYS($K300,$L300,Assumptions!$F$4:$F$44))</f>
        <v>0</v>
      </c>
      <c r="AU300" s="21" t="n">
        <f aca="false">IF($J300=0,0,MAX(0,NETWORKDAYS(MAX($K300,AU$4),MIN($L300,EOMONTH(AU$4,0)),Assumptions!$F$4:$F$44))/NETWORKDAYS($K300,$L300,Assumptions!$F$4:$F$44))</f>
        <v>0</v>
      </c>
      <c r="AV300" s="21" t="n">
        <f aca="false">IF($J300=0,0,MAX(0,NETWORKDAYS(MAX($K300,AV$4),MIN($L300,EOMONTH(AV$4,0)),Assumptions!$F$4:$F$44))/NETWORKDAYS($K300,$L300,Assumptions!$F$4:$F$44))</f>
        <v>0</v>
      </c>
      <c r="AW300" s="21" t="n">
        <f aca="false">IF($J300=0,0,MAX(0,NETWORKDAYS(MAX($K300,AW$4),MIN($L300,EOMONTH(AW$4,0)),Assumptions!$F$4:$F$44))/NETWORKDAYS($K300,$L300,Assumptions!$F$4:$F$44))</f>
        <v>0</v>
      </c>
      <c r="AX300" s="21" t="n">
        <f aca="false">IF($J300=0,0,MAX(0,NETWORKDAYS(MAX($K300,AX$4),MIN($L300,EOMONTH(AX$4,0)),Assumptions!$F$4:$F$44))/NETWORKDAYS($K300,$L300,Assumptions!$F$4:$F$44))</f>
        <v>0</v>
      </c>
      <c r="AY300" s="21" t="n">
        <f aca="false">IF($J300=0,0,MAX(0,NETWORKDAYS(MAX($K300,AY$4),MIN($L300,EOMONTH(AY$4,0)),Assumptions!$F$4:$F$44))/NETWORKDAYS($K300,$L300,Assumptions!$F$4:$F$44))</f>
        <v>0</v>
      </c>
      <c r="AZ300" s="21" t="n">
        <f aca="false">IF($J300=0,0,MAX(0,NETWORKDAYS(MAX($K300,AZ$4),MIN($L300,EOMONTH(AZ$4,0)),Assumptions!$F$4:$F$44))/NETWORKDAYS($K300,$L300,Assumptions!$F$4:$F$44))</f>
        <v>0</v>
      </c>
      <c r="BA300" s="21" t="n">
        <f aca="false">IF($J300=0,0,MAX(0,NETWORKDAYS(MAX($K300,BA$4),MIN($L300,EOMONTH(BA$4,0)),Assumptions!$F$4:$F$44))/NETWORKDAYS($K300,$L300,Assumptions!$F$4:$F$44))</f>
        <v>0</v>
      </c>
      <c r="BB300" s="21" t="n">
        <f aca="false">IF($J300=0,0,MAX(0,NETWORKDAYS(MAX($K300,BB$4),MIN($L300,EOMONTH(BB$4,0)),Assumptions!$F$4:$F$44))/NETWORKDAYS($K300,$L300,Assumptions!$F$4:$F$44))</f>
        <v>0</v>
      </c>
      <c r="BC300" s="21" t="n">
        <f aca="false">IF($J300=0,0,MAX(0,NETWORKDAYS(MAX($K300,BC$4),MIN($L300,EOMONTH(BC$4,0)),Assumptions!$F$4:$F$44))/NETWORKDAYS($K300,$L300,Assumptions!$F$4:$F$44))</f>
        <v>0</v>
      </c>
    </row>
    <row r="301" customFormat="false" ht="15" hidden="false" customHeight="false" outlineLevel="1" collapsed="false">
      <c r="A301" s="34" t="n">
        <v>297</v>
      </c>
      <c r="B301" s="34" t="s">
        <v>669</v>
      </c>
      <c r="C301" s="34" t="n">
        <v>2</v>
      </c>
      <c r="D301" s="34" t="s">
        <v>149</v>
      </c>
      <c r="E301" s="35" t="s">
        <v>670</v>
      </c>
      <c r="F301" s="34" t="s">
        <v>502</v>
      </c>
      <c r="G301" s="34"/>
      <c r="H301" s="34"/>
      <c r="I301" s="36" t="n">
        <v>209</v>
      </c>
      <c r="J301" s="36" t="n">
        <v>0</v>
      </c>
      <c r="K301" s="37" t="n">
        <f aca="false">WORKDAY(Assumptions!$C$4,I301,Assumptions!$F$4:$F$44)</f>
        <v>46619</v>
      </c>
      <c r="L301" s="37" t="n">
        <f aca="false">IF(J301=0,K301,WORKDAY(K301,J301-1,Assumptions!$F$4:$F$44))</f>
        <v>46619</v>
      </c>
      <c r="M301" s="36" t="s">
        <v>671</v>
      </c>
      <c r="N301" s="38" t="n">
        <v>0</v>
      </c>
      <c r="O301" s="38" t="n">
        <v>0</v>
      </c>
      <c r="P301" s="38" t="n">
        <v>0</v>
      </c>
      <c r="Q301" s="38" t="n">
        <v>0</v>
      </c>
      <c r="R301" s="38" t="n">
        <v>0</v>
      </c>
      <c r="S301" s="38" t="n">
        <v>0</v>
      </c>
      <c r="T301" s="38" t="n">
        <v>0</v>
      </c>
      <c r="U301" s="38" t="n">
        <v>0</v>
      </c>
      <c r="V301" s="38" t="n">
        <v>0</v>
      </c>
      <c r="W301" s="38" t="n">
        <v>0</v>
      </c>
      <c r="X301" s="38" t="n">
        <v>0</v>
      </c>
      <c r="Y301" s="38" t="n">
        <f aca="false">SUM(N301:X301)</f>
        <v>0</v>
      </c>
      <c r="Z301" s="38" t="n">
        <f aca="false">Y301*(1+Assumptions!$C$5)</f>
        <v>0</v>
      </c>
      <c r="AA301" s="34"/>
      <c r="AB301" s="34" t="s">
        <v>95</v>
      </c>
      <c r="AC301" s="34"/>
      <c r="AD301" s="39" t="n">
        <v>0</v>
      </c>
      <c r="AF301" s="21" t="n">
        <v>0</v>
      </c>
      <c r="AG301" s="21" t="n">
        <v>0</v>
      </c>
      <c r="AH301" s="21" t="n">
        <v>0</v>
      </c>
      <c r="AI301" s="21" t="n">
        <v>0</v>
      </c>
      <c r="AJ301" s="21" t="n">
        <v>0</v>
      </c>
      <c r="AK301" s="21" t="n">
        <v>0</v>
      </c>
      <c r="AL301" s="21" t="n">
        <v>0</v>
      </c>
      <c r="AM301" s="21" t="n">
        <v>0</v>
      </c>
      <c r="AN301" s="21" t="n">
        <v>0</v>
      </c>
      <c r="AO301" s="21" t="n">
        <v>0</v>
      </c>
      <c r="AP301" s="21" t="n">
        <v>0</v>
      </c>
      <c r="AQ301" s="21" t="n">
        <v>0</v>
      </c>
      <c r="AR301" s="21" t="n">
        <v>0</v>
      </c>
      <c r="AS301" s="21" t="n">
        <v>0</v>
      </c>
      <c r="AT301" s="21" t="n">
        <v>0</v>
      </c>
      <c r="AU301" s="21" t="n">
        <v>0</v>
      </c>
      <c r="AV301" s="21" t="n">
        <v>0</v>
      </c>
      <c r="AW301" s="21" t="n">
        <v>0</v>
      </c>
      <c r="AX301" s="21" t="n">
        <v>0</v>
      </c>
      <c r="AY301" s="21" t="n">
        <v>0</v>
      </c>
      <c r="AZ301" s="21" t="n">
        <v>0</v>
      </c>
      <c r="BA301" s="21" t="n">
        <v>0</v>
      </c>
      <c r="BB301" s="21" t="n">
        <v>0</v>
      </c>
      <c r="BC301" s="21" t="n">
        <v>0</v>
      </c>
    </row>
    <row r="302" customFormat="false" ht="15" hidden="false" customHeight="false" outlineLevel="2" collapsed="false">
      <c r="A302" s="27" t="n">
        <v>298</v>
      </c>
      <c r="B302" s="27" t="s">
        <v>672</v>
      </c>
      <c r="C302" s="27" t="n">
        <v>3</v>
      </c>
      <c r="D302" s="27" t="s">
        <v>92</v>
      </c>
      <c r="E302" s="28" t="s">
        <v>492</v>
      </c>
      <c r="F302" s="27" t="s">
        <v>502</v>
      </c>
      <c r="G302" s="27" t="s">
        <v>467</v>
      </c>
      <c r="H302" s="27" t="s">
        <v>47</v>
      </c>
      <c r="I302" s="29" t="n">
        <v>209</v>
      </c>
      <c r="J302" s="29" t="n">
        <v>20</v>
      </c>
      <c r="K302" s="30" t="n">
        <f aca="false">WORKDAY(Assumptions!$C$4,I302,Assumptions!$F$4:$F$44)</f>
        <v>46619</v>
      </c>
      <c r="L302" s="30" t="n">
        <f aca="false">IF(J302=0,K302,WORKDAY(K302,J302-1,Assumptions!$F$4:$F$44))</f>
        <v>46646</v>
      </c>
      <c r="M302" s="29" t="s">
        <v>673</v>
      </c>
      <c r="N302" s="31" t="n">
        <v>0</v>
      </c>
      <c r="O302" s="31" t="n">
        <v>5</v>
      </c>
      <c r="P302" s="31" t="n">
        <v>0</v>
      </c>
      <c r="Q302" s="31" t="n">
        <v>12</v>
      </c>
      <c r="R302" s="31" t="n">
        <v>4</v>
      </c>
      <c r="S302" s="31" t="n">
        <v>0</v>
      </c>
      <c r="T302" s="31" t="n">
        <v>0</v>
      </c>
      <c r="U302" s="31" t="n">
        <v>4</v>
      </c>
      <c r="V302" s="31" t="n">
        <v>4</v>
      </c>
      <c r="W302" s="31" t="n">
        <v>0</v>
      </c>
      <c r="X302" s="31" t="n">
        <v>0</v>
      </c>
      <c r="Y302" s="32" t="n">
        <f aca="false">SUM(N302:X302)</f>
        <v>29</v>
      </c>
      <c r="Z302" s="32" t="n">
        <f aca="false">Y302*(1+Assumptions!$C$5)</f>
        <v>33.35</v>
      </c>
      <c r="AA302" s="27" t="s">
        <v>494</v>
      </c>
      <c r="AB302" s="27" t="s">
        <v>95</v>
      </c>
      <c r="AC302" s="27"/>
      <c r="AD302" s="33" t="n">
        <v>0</v>
      </c>
      <c r="AF302" s="21" t="n">
        <f aca="false">IF($J302=0,0,MAX(0,NETWORKDAYS(MAX($K302,AF$4),MIN($L302,EOMONTH(AF$4,0)),Assumptions!$F$4:$F$44))/NETWORKDAYS($K302,$L302,Assumptions!$F$4:$F$44))</f>
        <v>0</v>
      </c>
      <c r="AG302" s="21" t="n">
        <f aca="false">IF($J302=0,0,MAX(0,NETWORKDAYS(MAX($K302,AG$4),MIN($L302,EOMONTH(AG$4,0)),Assumptions!$F$4:$F$44))/NETWORKDAYS($K302,$L302,Assumptions!$F$4:$F$44))</f>
        <v>0</v>
      </c>
      <c r="AH302" s="21" t="n">
        <f aca="false">IF($J302=0,0,MAX(0,NETWORKDAYS(MAX($K302,AH$4),MIN($L302,EOMONTH(AH$4,0)),Assumptions!$F$4:$F$44))/NETWORKDAYS($K302,$L302,Assumptions!$F$4:$F$44))</f>
        <v>0</v>
      </c>
      <c r="AI302" s="21" t="n">
        <f aca="false">IF($J302=0,0,MAX(0,NETWORKDAYS(MAX($K302,AI$4),MIN($L302,EOMONTH(AI$4,0)),Assumptions!$F$4:$F$44))/NETWORKDAYS($K302,$L302,Assumptions!$F$4:$F$44))</f>
        <v>0</v>
      </c>
      <c r="AJ302" s="21" t="n">
        <f aca="false">IF($J302=0,0,MAX(0,NETWORKDAYS(MAX($K302,AJ$4),MIN($L302,EOMONTH(AJ$4,0)),Assumptions!$F$4:$F$44))/NETWORKDAYS($K302,$L302,Assumptions!$F$4:$F$44))</f>
        <v>0</v>
      </c>
      <c r="AK302" s="21" t="n">
        <f aca="false">IF($J302=0,0,MAX(0,NETWORKDAYS(MAX($K302,AK$4),MIN($L302,EOMONTH(AK$4,0)),Assumptions!$F$4:$F$44))/NETWORKDAYS($K302,$L302,Assumptions!$F$4:$F$44))</f>
        <v>0</v>
      </c>
      <c r="AL302" s="21" t="n">
        <f aca="false">IF($J302=0,0,MAX(0,NETWORKDAYS(MAX($K302,AL$4),MIN($L302,EOMONTH(AL$4,0)),Assumptions!$F$4:$F$44))/NETWORKDAYS($K302,$L302,Assumptions!$F$4:$F$44))</f>
        <v>0</v>
      </c>
      <c r="AM302" s="21" t="n">
        <f aca="false">IF($J302=0,0,MAX(0,NETWORKDAYS(MAX($K302,AM$4),MIN($L302,EOMONTH(AM$4,0)),Assumptions!$F$4:$F$44))/NETWORKDAYS($K302,$L302,Assumptions!$F$4:$F$44))</f>
        <v>0</v>
      </c>
      <c r="AN302" s="21" t="n">
        <f aca="false">IF($J302=0,0,MAX(0,NETWORKDAYS(MAX($K302,AN$4),MIN($L302,EOMONTH(AN$4,0)),Assumptions!$F$4:$F$44))/NETWORKDAYS($K302,$L302,Assumptions!$F$4:$F$44))</f>
        <v>0</v>
      </c>
      <c r="AO302" s="21" t="n">
        <f aca="false">IF($J302=0,0,MAX(0,NETWORKDAYS(MAX($K302,AO$4),MIN($L302,EOMONTH(AO$4,0)),Assumptions!$F$4:$F$44))/NETWORKDAYS($K302,$L302,Assumptions!$F$4:$F$44))</f>
        <v>0.4</v>
      </c>
      <c r="AP302" s="21" t="n">
        <f aca="false">IF($J302=0,0,MAX(0,NETWORKDAYS(MAX($K302,AP$4),MIN($L302,EOMONTH(AP$4,0)),Assumptions!$F$4:$F$44))/NETWORKDAYS($K302,$L302,Assumptions!$F$4:$F$44))</f>
        <v>0.6</v>
      </c>
      <c r="AQ302" s="21" t="n">
        <f aca="false">IF($J302=0,0,MAX(0,NETWORKDAYS(MAX($K302,AQ$4),MIN($L302,EOMONTH(AQ$4,0)),Assumptions!$F$4:$F$44))/NETWORKDAYS($K302,$L302,Assumptions!$F$4:$F$44))</f>
        <v>0</v>
      </c>
      <c r="AR302" s="21" t="n">
        <f aca="false">IF($J302=0,0,MAX(0,NETWORKDAYS(MAX($K302,AR$4),MIN($L302,EOMONTH(AR$4,0)),Assumptions!$F$4:$F$44))/NETWORKDAYS($K302,$L302,Assumptions!$F$4:$F$44))</f>
        <v>0</v>
      </c>
      <c r="AS302" s="21" t="n">
        <f aca="false">IF($J302=0,0,MAX(0,NETWORKDAYS(MAX($K302,AS$4),MIN($L302,EOMONTH(AS$4,0)),Assumptions!$F$4:$F$44))/NETWORKDAYS($K302,$L302,Assumptions!$F$4:$F$44))</f>
        <v>0</v>
      </c>
      <c r="AT302" s="21" t="n">
        <f aca="false">IF($J302=0,0,MAX(0,NETWORKDAYS(MAX($K302,AT$4),MIN($L302,EOMONTH(AT$4,0)),Assumptions!$F$4:$F$44))/NETWORKDAYS($K302,$L302,Assumptions!$F$4:$F$44))</f>
        <v>0</v>
      </c>
      <c r="AU302" s="21" t="n">
        <f aca="false">IF($J302=0,0,MAX(0,NETWORKDAYS(MAX($K302,AU$4),MIN($L302,EOMONTH(AU$4,0)),Assumptions!$F$4:$F$44))/NETWORKDAYS($K302,$L302,Assumptions!$F$4:$F$44))</f>
        <v>0</v>
      </c>
      <c r="AV302" s="21" t="n">
        <f aca="false">IF($J302=0,0,MAX(0,NETWORKDAYS(MAX($K302,AV$4),MIN($L302,EOMONTH(AV$4,0)),Assumptions!$F$4:$F$44))/NETWORKDAYS($K302,$L302,Assumptions!$F$4:$F$44))</f>
        <v>0</v>
      </c>
      <c r="AW302" s="21" t="n">
        <f aca="false">IF($J302=0,0,MAX(0,NETWORKDAYS(MAX($K302,AW$4),MIN($L302,EOMONTH(AW$4,0)),Assumptions!$F$4:$F$44))/NETWORKDAYS($K302,$L302,Assumptions!$F$4:$F$44))</f>
        <v>0</v>
      </c>
      <c r="AX302" s="21" t="n">
        <f aca="false">IF($J302=0,0,MAX(0,NETWORKDAYS(MAX($K302,AX$4),MIN($L302,EOMONTH(AX$4,0)),Assumptions!$F$4:$F$44))/NETWORKDAYS($K302,$L302,Assumptions!$F$4:$F$44))</f>
        <v>0</v>
      </c>
      <c r="AY302" s="21" t="n">
        <f aca="false">IF($J302=0,0,MAX(0,NETWORKDAYS(MAX($K302,AY$4),MIN($L302,EOMONTH(AY$4,0)),Assumptions!$F$4:$F$44))/NETWORKDAYS($K302,$L302,Assumptions!$F$4:$F$44))</f>
        <v>0</v>
      </c>
      <c r="AZ302" s="21" t="n">
        <f aca="false">IF($J302=0,0,MAX(0,NETWORKDAYS(MAX($K302,AZ$4),MIN($L302,EOMONTH(AZ$4,0)),Assumptions!$F$4:$F$44))/NETWORKDAYS($K302,$L302,Assumptions!$F$4:$F$44))</f>
        <v>0</v>
      </c>
      <c r="BA302" s="21" t="n">
        <f aca="false">IF($J302=0,0,MAX(0,NETWORKDAYS(MAX($K302,BA$4),MIN($L302,EOMONTH(BA$4,0)),Assumptions!$F$4:$F$44))/NETWORKDAYS($K302,$L302,Assumptions!$F$4:$F$44))</f>
        <v>0</v>
      </c>
      <c r="BB302" s="21" t="n">
        <f aca="false">IF($J302=0,0,MAX(0,NETWORKDAYS(MAX($K302,BB$4),MIN($L302,EOMONTH(BB$4,0)),Assumptions!$F$4:$F$44))/NETWORKDAYS($K302,$L302,Assumptions!$F$4:$F$44))</f>
        <v>0</v>
      </c>
      <c r="BC302" s="21" t="n">
        <f aca="false">IF($J302=0,0,MAX(0,NETWORKDAYS(MAX($K302,BC$4),MIN($L302,EOMONTH(BC$4,0)),Assumptions!$F$4:$F$44))/NETWORKDAYS($K302,$L302,Assumptions!$F$4:$F$44))</f>
        <v>0</v>
      </c>
    </row>
    <row r="303" customFormat="false" ht="15" hidden="false" customHeight="false" outlineLevel="1" collapsed="false">
      <c r="A303" s="34" t="n">
        <v>299</v>
      </c>
      <c r="B303" s="34" t="s">
        <v>674</v>
      </c>
      <c r="C303" s="34" t="n">
        <v>2</v>
      </c>
      <c r="D303" s="34" t="s">
        <v>149</v>
      </c>
      <c r="E303" s="35" t="s">
        <v>675</v>
      </c>
      <c r="F303" s="34" t="s">
        <v>502</v>
      </c>
      <c r="G303" s="34"/>
      <c r="H303" s="34"/>
      <c r="I303" s="36" t="n">
        <v>229</v>
      </c>
      <c r="J303" s="36" t="n">
        <v>0</v>
      </c>
      <c r="K303" s="37" t="n">
        <f aca="false">WORKDAY(Assumptions!$C$4,I303,Assumptions!$F$4:$F$44)</f>
        <v>46647</v>
      </c>
      <c r="L303" s="37" t="n">
        <f aca="false">IF(J303=0,K303,WORKDAY(K303,J303-1,Assumptions!$F$4:$F$44))</f>
        <v>46647</v>
      </c>
      <c r="M303" s="36" t="s">
        <v>676</v>
      </c>
      <c r="N303" s="38" t="n">
        <v>0</v>
      </c>
      <c r="O303" s="38" t="n">
        <v>0</v>
      </c>
      <c r="P303" s="38" t="n">
        <v>0</v>
      </c>
      <c r="Q303" s="38" t="n">
        <v>0</v>
      </c>
      <c r="R303" s="38" t="n">
        <v>0</v>
      </c>
      <c r="S303" s="38" t="n">
        <v>0</v>
      </c>
      <c r="T303" s="38" t="n">
        <v>0</v>
      </c>
      <c r="U303" s="38" t="n">
        <v>0</v>
      </c>
      <c r="V303" s="38" t="n">
        <v>0</v>
      </c>
      <c r="W303" s="38" t="n">
        <v>0</v>
      </c>
      <c r="X303" s="38" t="n">
        <v>0</v>
      </c>
      <c r="Y303" s="38" t="n">
        <f aca="false">SUM(N303:X303)</f>
        <v>0</v>
      </c>
      <c r="Z303" s="38" t="n">
        <f aca="false">Y303*(1+Assumptions!$C$5)</f>
        <v>0</v>
      </c>
      <c r="AA303" s="34"/>
      <c r="AB303" s="34" t="s">
        <v>95</v>
      </c>
      <c r="AC303" s="34"/>
      <c r="AD303" s="39" t="n">
        <v>0</v>
      </c>
      <c r="AF303" s="21" t="n">
        <v>0</v>
      </c>
      <c r="AG303" s="21" t="n">
        <v>0</v>
      </c>
      <c r="AH303" s="21" t="n">
        <v>0</v>
      </c>
      <c r="AI303" s="21" t="n">
        <v>0</v>
      </c>
      <c r="AJ303" s="21" t="n">
        <v>0</v>
      </c>
      <c r="AK303" s="21" t="n">
        <v>0</v>
      </c>
      <c r="AL303" s="21" t="n">
        <v>0</v>
      </c>
      <c r="AM303" s="21" t="n">
        <v>0</v>
      </c>
      <c r="AN303" s="21" t="n">
        <v>0</v>
      </c>
      <c r="AO303" s="21" t="n">
        <v>0</v>
      </c>
      <c r="AP303" s="21" t="n">
        <v>0</v>
      </c>
      <c r="AQ303" s="21" t="n">
        <v>0</v>
      </c>
      <c r="AR303" s="21" t="n">
        <v>0</v>
      </c>
      <c r="AS303" s="21" t="n">
        <v>0</v>
      </c>
      <c r="AT303" s="21" t="n">
        <v>0</v>
      </c>
      <c r="AU303" s="21" t="n">
        <v>0</v>
      </c>
      <c r="AV303" s="21" t="n">
        <v>0</v>
      </c>
      <c r="AW303" s="21" t="n">
        <v>0</v>
      </c>
      <c r="AX303" s="21" t="n">
        <v>0</v>
      </c>
      <c r="AY303" s="21" t="n">
        <v>0</v>
      </c>
      <c r="AZ303" s="21" t="n">
        <v>0</v>
      </c>
      <c r="BA303" s="21" t="n">
        <v>0</v>
      </c>
      <c r="BB303" s="21" t="n">
        <v>0</v>
      </c>
      <c r="BC303" s="21" t="n">
        <v>0</v>
      </c>
    </row>
    <row r="304" customFormat="false" ht="15" hidden="false" customHeight="false" outlineLevel="1" collapsed="false">
      <c r="A304" s="34" t="n">
        <v>300</v>
      </c>
      <c r="B304" s="34" t="s">
        <v>677</v>
      </c>
      <c r="C304" s="34" t="n">
        <v>2</v>
      </c>
      <c r="D304" s="34" t="s">
        <v>149</v>
      </c>
      <c r="E304" s="35" t="s">
        <v>678</v>
      </c>
      <c r="F304" s="34" t="s">
        <v>502</v>
      </c>
      <c r="G304" s="34"/>
      <c r="H304" s="34"/>
      <c r="I304" s="36" t="n">
        <v>154</v>
      </c>
      <c r="J304" s="36" t="n">
        <v>0</v>
      </c>
      <c r="K304" s="37" t="n">
        <f aca="false">WORKDAY(Assumptions!$C$4,I304,Assumptions!$F$4:$F$44)</f>
        <v>46542</v>
      </c>
      <c r="L304" s="37" t="n">
        <f aca="false">IF(J304=0,K304,WORKDAY(K304,J304-1,Assumptions!$F$4:$F$44))</f>
        <v>46542</v>
      </c>
      <c r="M304" s="36"/>
      <c r="N304" s="38" t="n">
        <v>0</v>
      </c>
      <c r="O304" s="38" t="n">
        <v>0</v>
      </c>
      <c r="P304" s="38" t="n">
        <v>0</v>
      </c>
      <c r="Q304" s="38" t="n">
        <v>0</v>
      </c>
      <c r="R304" s="38" t="n">
        <v>0</v>
      </c>
      <c r="S304" s="38" t="n">
        <v>0</v>
      </c>
      <c r="T304" s="38" t="n">
        <v>0</v>
      </c>
      <c r="U304" s="38" t="n">
        <v>0</v>
      </c>
      <c r="V304" s="38" t="n">
        <v>0</v>
      </c>
      <c r="W304" s="38" t="n">
        <v>0</v>
      </c>
      <c r="X304" s="38" t="n">
        <v>0</v>
      </c>
      <c r="Y304" s="38" t="n">
        <f aca="false">SUM(N304:X304)</f>
        <v>0</v>
      </c>
      <c r="Z304" s="38" t="n">
        <f aca="false">Y304*(1+Assumptions!$C$5)</f>
        <v>0</v>
      </c>
      <c r="AA304" s="34"/>
      <c r="AB304" s="34" t="s">
        <v>95</v>
      </c>
      <c r="AC304" s="34"/>
      <c r="AD304" s="39" t="n">
        <v>0</v>
      </c>
      <c r="AF304" s="21" t="n">
        <v>0</v>
      </c>
      <c r="AG304" s="21" t="n">
        <v>0</v>
      </c>
      <c r="AH304" s="21" t="n">
        <v>0</v>
      </c>
      <c r="AI304" s="21" t="n">
        <v>0</v>
      </c>
      <c r="AJ304" s="21" t="n">
        <v>0</v>
      </c>
      <c r="AK304" s="21" t="n">
        <v>0</v>
      </c>
      <c r="AL304" s="21" t="n">
        <v>0</v>
      </c>
      <c r="AM304" s="21" t="n">
        <v>0</v>
      </c>
      <c r="AN304" s="21" t="n">
        <v>0</v>
      </c>
      <c r="AO304" s="21" t="n">
        <v>0</v>
      </c>
      <c r="AP304" s="21" t="n">
        <v>0</v>
      </c>
      <c r="AQ304" s="21" t="n">
        <v>0</v>
      </c>
      <c r="AR304" s="21" t="n">
        <v>0</v>
      </c>
      <c r="AS304" s="21" t="n">
        <v>0</v>
      </c>
      <c r="AT304" s="21" t="n">
        <v>0</v>
      </c>
      <c r="AU304" s="21" t="n">
        <v>0</v>
      </c>
      <c r="AV304" s="21" t="n">
        <v>0</v>
      </c>
      <c r="AW304" s="21" t="n">
        <v>0</v>
      </c>
      <c r="AX304" s="21" t="n">
        <v>0</v>
      </c>
      <c r="AY304" s="21" t="n">
        <v>0</v>
      </c>
      <c r="AZ304" s="21" t="n">
        <v>0</v>
      </c>
      <c r="BA304" s="21" t="n">
        <v>0</v>
      </c>
      <c r="BB304" s="21" t="n">
        <v>0</v>
      </c>
      <c r="BC304" s="21" t="n">
        <v>0</v>
      </c>
    </row>
    <row r="305" customFormat="false" ht="15" hidden="false" customHeight="false" outlineLevel="0" collapsed="false">
      <c r="A305" s="17" t="n">
        <v>301</v>
      </c>
      <c r="B305" s="17" t="s">
        <v>679</v>
      </c>
      <c r="C305" s="17" t="n">
        <v>1</v>
      </c>
      <c r="D305" s="17" t="s">
        <v>71</v>
      </c>
      <c r="E305" s="17" t="s">
        <v>680</v>
      </c>
      <c r="F305" s="17" t="s">
        <v>681</v>
      </c>
      <c r="G305" s="17"/>
      <c r="H305" s="17"/>
      <c r="I305" s="17"/>
      <c r="J305" s="17" t="n">
        <f aca="false">NETWORKDAYS(K305,L305,Assumptions!$F$4:$F$44)</f>
        <v>142</v>
      </c>
      <c r="K305" s="18" t="n">
        <f aca="false">MIN(K306:K398)</f>
        <v>46574</v>
      </c>
      <c r="L305" s="18" t="n">
        <f aca="false">MAX(L306:L398)</f>
        <v>46771</v>
      </c>
      <c r="M305" s="17"/>
      <c r="N305" s="19" t="n">
        <f aca="false">SUMPRODUCT(($C$306:$C$398=3)*(N306:N398))</f>
        <v>5</v>
      </c>
      <c r="O305" s="19" t="n">
        <f aca="false">SUMPRODUCT(($C$306:$C$398=3)*(O306:O398))</f>
        <v>114</v>
      </c>
      <c r="P305" s="19" t="n">
        <f aca="false">SUMPRODUCT(($C$306:$C$398=3)*(P306:P398))</f>
        <v>32</v>
      </c>
      <c r="Q305" s="19" t="n">
        <f aca="false">SUMPRODUCT(($C$306:$C$398=3)*(Q306:Q398))</f>
        <v>399</v>
      </c>
      <c r="R305" s="19" t="n">
        <f aca="false">SUMPRODUCT(($C$306:$C$398=3)*(R306:R398))</f>
        <v>184</v>
      </c>
      <c r="S305" s="19" t="n">
        <f aca="false">SUMPRODUCT(($C$306:$C$398=3)*(S306:S398))</f>
        <v>57</v>
      </c>
      <c r="T305" s="19" t="n">
        <f aca="false">SUMPRODUCT(($C$306:$C$398=3)*(T306:T398))</f>
        <v>39</v>
      </c>
      <c r="U305" s="19" t="n">
        <f aca="false">SUMPRODUCT(($C$306:$C$398=3)*(U306:U398))</f>
        <v>24</v>
      </c>
      <c r="V305" s="19" t="n">
        <f aca="false">SUMPRODUCT(($C$306:$C$398=3)*(V306:V398))</f>
        <v>179</v>
      </c>
      <c r="W305" s="19" t="n">
        <f aca="false">SUMPRODUCT(($C$306:$C$398=3)*(W306:W398))</f>
        <v>15</v>
      </c>
      <c r="X305" s="19" t="n">
        <f aca="false">SUMPRODUCT(($C$306:$C$398=3)*(X306:X398))</f>
        <v>40</v>
      </c>
      <c r="Y305" s="19" t="n">
        <f aca="false">SUM(N305:X305)</f>
        <v>1088</v>
      </c>
      <c r="Z305" s="19" t="n">
        <f aca="false">Y305*(1+Assumptions!$C$5)</f>
        <v>1251.2</v>
      </c>
      <c r="AA305" s="17"/>
      <c r="AB305" s="17"/>
      <c r="AC305" s="17"/>
      <c r="AD305" s="20"/>
      <c r="AF305" s="21" t="n">
        <v>0</v>
      </c>
      <c r="AG305" s="21" t="n">
        <v>0</v>
      </c>
      <c r="AH305" s="21" t="n">
        <v>0</v>
      </c>
      <c r="AI305" s="21" t="n">
        <v>0</v>
      </c>
      <c r="AJ305" s="21" t="n">
        <v>0</v>
      </c>
      <c r="AK305" s="21" t="n">
        <v>0</v>
      </c>
      <c r="AL305" s="21" t="n">
        <v>0</v>
      </c>
      <c r="AM305" s="21" t="n">
        <v>0</v>
      </c>
      <c r="AN305" s="21" t="n">
        <v>0</v>
      </c>
      <c r="AO305" s="21" t="n">
        <v>0</v>
      </c>
      <c r="AP305" s="21" t="n">
        <v>0</v>
      </c>
      <c r="AQ305" s="21" t="n">
        <v>0</v>
      </c>
      <c r="AR305" s="21" t="n">
        <v>0</v>
      </c>
      <c r="AS305" s="21" t="n">
        <v>0</v>
      </c>
      <c r="AT305" s="21" t="n">
        <v>0</v>
      </c>
      <c r="AU305" s="21" t="n">
        <v>0</v>
      </c>
      <c r="AV305" s="21" t="n">
        <v>0</v>
      </c>
      <c r="AW305" s="21" t="n">
        <v>0</v>
      </c>
      <c r="AX305" s="21" t="n">
        <v>0</v>
      </c>
      <c r="AY305" s="21" t="n">
        <v>0</v>
      </c>
      <c r="AZ305" s="21" t="n">
        <v>0</v>
      </c>
      <c r="BA305" s="21" t="n">
        <v>0</v>
      </c>
      <c r="BB305" s="21" t="n">
        <v>0</v>
      </c>
      <c r="BC305" s="21" t="n">
        <v>0</v>
      </c>
    </row>
    <row r="306" customFormat="false" ht="15" hidden="false" customHeight="false" outlineLevel="1" collapsed="false">
      <c r="A306" s="22" t="n">
        <v>302</v>
      </c>
      <c r="B306" s="22" t="s">
        <v>682</v>
      </c>
      <c r="C306" s="22" t="n">
        <v>2</v>
      </c>
      <c r="D306" s="22" t="s">
        <v>89</v>
      </c>
      <c r="E306" s="23" t="s">
        <v>683</v>
      </c>
      <c r="F306" s="22" t="s">
        <v>681</v>
      </c>
      <c r="G306" s="22" t="s">
        <v>157</v>
      </c>
      <c r="H306" s="22"/>
      <c r="I306" s="22"/>
      <c r="J306" s="22" t="n">
        <f aca="false">NETWORKDAYS(K306,L306,Assumptions!$F$4:$F$44)</f>
        <v>59</v>
      </c>
      <c r="K306" s="24" t="n">
        <f aca="false">MIN(K307:K309)</f>
        <v>46591</v>
      </c>
      <c r="L306" s="24" t="n">
        <f aca="false">MAX(L307:L309)</f>
        <v>46673</v>
      </c>
      <c r="M306" s="22"/>
      <c r="N306" s="25" t="n">
        <f aca="false">SUMPRODUCT(($C$307:$C$309=3)*(N307:N309))</f>
        <v>0</v>
      </c>
      <c r="O306" s="25" t="n">
        <f aca="false">SUMPRODUCT(($C$307:$C$309=3)*(O307:O309))</f>
        <v>0</v>
      </c>
      <c r="P306" s="25" t="n">
        <f aca="false">SUMPRODUCT(($C$307:$C$309=3)*(P307:P309))</f>
        <v>0</v>
      </c>
      <c r="Q306" s="25" t="n">
        <f aca="false">SUMPRODUCT(($C$307:$C$309=3)*(Q307:Q309))</f>
        <v>21</v>
      </c>
      <c r="R306" s="25" t="n">
        <f aca="false">SUMPRODUCT(($C$307:$C$309=3)*(R307:R309))</f>
        <v>0</v>
      </c>
      <c r="S306" s="25" t="n">
        <f aca="false">SUMPRODUCT(($C$307:$C$309=3)*(S307:S309))</f>
        <v>10</v>
      </c>
      <c r="T306" s="25" t="n">
        <f aca="false">SUMPRODUCT(($C$307:$C$309=3)*(T307:T309))</f>
        <v>5</v>
      </c>
      <c r="U306" s="25" t="n">
        <f aca="false">SUMPRODUCT(($C$307:$C$309=3)*(U307:U309))</f>
        <v>4</v>
      </c>
      <c r="V306" s="25" t="n">
        <f aca="false">SUMPRODUCT(($C$307:$C$309=3)*(V307:V309))</f>
        <v>10</v>
      </c>
      <c r="W306" s="25" t="n">
        <f aca="false">SUMPRODUCT(($C$307:$C$309=3)*(W307:W309))</f>
        <v>3</v>
      </c>
      <c r="X306" s="25" t="n">
        <f aca="false">SUMPRODUCT(($C$307:$C$309=3)*(X307:X309))</f>
        <v>0</v>
      </c>
      <c r="Y306" s="25" t="n">
        <f aca="false">SUM(N306:X306)</f>
        <v>53</v>
      </c>
      <c r="Z306" s="25" t="n">
        <f aca="false">Y306*(1+Assumptions!$C$5)</f>
        <v>60.95</v>
      </c>
      <c r="AA306" s="22"/>
      <c r="AB306" s="22"/>
      <c r="AC306" s="22"/>
      <c r="AD306" s="26"/>
      <c r="AF306" s="21" t="n">
        <v>0</v>
      </c>
      <c r="AG306" s="21" t="n">
        <v>0</v>
      </c>
      <c r="AH306" s="21" t="n">
        <v>0</v>
      </c>
      <c r="AI306" s="21" t="n">
        <v>0</v>
      </c>
      <c r="AJ306" s="21" t="n">
        <v>0</v>
      </c>
      <c r="AK306" s="21" t="n">
        <v>0</v>
      </c>
      <c r="AL306" s="21" t="n">
        <v>0</v>
      </c>
      <c r="AM306" s="21" t="n">
        <v>0</v>
      </c>
      <c r="AN306" s="21" t="n">
        <v>0</v>
      </c>
      <c r="AO306" s="21" t="n">
        <v>0</v>
      </c>
      <c r="AP306" s="21" t="n">
        <v>0</v>
      </c>
      <c r="AQ306" s="21" t="n">
        <v>0</v>
      </c>
      <c r="AR306" s="21" t="n">
        <v>0</v>
      </c>
      <c r="AS306" s="21" t="n">
        <v>0</v>
      </c>
      <c r="AT306" s="21" t="n">
        <v>0</v>
      </c>
      <c r="AU306" s="21" t="n">
        <v>0</v>
      </c>
      <c r="AV306" s="21" t="n">
        <v>0</v>
      </c>
      <c r="AW306" s="21" t="n">
        <v>0</v>
      </c>
      <c r="AX306" s="21" t="n">
        <v>0</v>
      </c>
      <c r="AY306" s="21" t="n">
        <v>0</v>
      </c>
      <c r="AZ306" s="21" t="n">
        <v>0</v>
      </c>
      <c r="BA306" s="21" t="n">
        <v>0</v>
      </c>
      <c r="BB306" s="21" t="n">
        <v>0</v>
      </c>
      <c r="BC306" s="21" t="n">
        <v>0</v>
      </c>
    </row>
    <row r="307" customFormat="false" ht="15" hidden="false" customHeight="false" outlineLevel="2" collapsed="false">
      <c r="A307" s="27" t="n">
        <v>303</v>
      </c>
      <c r="B307" s="27" t="s">
        <v>684</v>
      </c>
      <c r="C307" s="27" t="n">
        <v>3</v>
      </c>
      <c r="D307" s="27" t="s">
        <v>92</v>
      </c>
      <c r="E307" s="28" t="s">
        <v>685</v>
      </c>
      <c r="F307" s="27" t="s">
        <v>681</v>
      </c>
      <c r="G307" s="27" t="s">
        <v>157</v>
      </c>
      <c r="H307" s="27" t="s">
        <v>51</v>
      </c>
      <c r="I307" s="29" t="n">
        <v>189</v>
      </c>
      <c r="J307" s="29" t="n">
        <v>59</v>
      </c>
      <c r="K307" s="30" t="n">
        <f aca="false">WORKDAY(Assumptions!$C$4,I307,Assumptions!$F$4:$F$44)</f>
        <v>46591</v>
      </c>
      <c r="L307" s="30" t="n">
        <f aca="false">IF(J307=0,K307,WORKDAY(K307,J307-1,Assumptions!$F$4:$F$44))</f>
        <v>46673</v>
      </c>
      <c r="M307" s="29"/>
      <c r="N307" s="31" t="n">
        <v>0</v>
      </c>
      <c r="O307" s="31" t="n">
        <v>0</v>
      </c>
      <c r="P307" s="31" t="n">
        <v>0</v>
      </c>
      <c r="Q307" s="31" t="n">
        <v>5</v>
      </c>
      <c r="R307" s="31" t="n">
        <v>0</v>
      </c>
      <c r="S307" s="31" t="n">
        <v>10</v>
      </c>
      <c r="T307" s="31" t="n">
        <v>0</v>
      </c>
      <c r="U307" s="31" t="n">
        <v>0</v>
      </c>
      <c r="V307" s="31" t="n">
        <v>6</v>
      </c>
      <c r="W307" s="31" t="n">
        <v>0</v>
      </c>
      <c r="X307" s="31" t="n">
        <v>0</v>
      </c>
      <c r="Y307" s="32" t="n">
        <f aca="false">SUM(N307:X307)</f>
        <v>21</v>
      </c>
      <c r="Z307" s="32" t="n">
        <f aca="false">Y307*(1+Assumptions!$C$5)</f>
        <v>24.15</v>
      </c>
      <c r="AA307" s="27" t="s">
        <v>507</v>
      </c>
      <c r="AB307" s="27" t="s">
        <v>95</v>
      </c>
      <c r="AC307" s="27"/>
      <c r="AD307" s="33" t="n">
        <v>0</v>
      </c>
      <c r="AF307" s="21" t="n">
        <f aca="false">IF($J307=0,0,MAX(0,NETWORKDAYS(MAX($K307,AF$4),MIN($L307,EOMONTH(AF$4,0)),Assumptions!$F$4:$F$44))/NETWORKDAYS($K307,$L307,Assumptions!$F$4:$F$44))</f>
        <v>0</v>
      </c>
      <c r="AG307" s="21" t="n">
        <f aca="false">IF($J307=0,0,MAX(0,NETWORKDAYS(MAX($K307,AG$4),MIN($L307,EOMONTH(AG$4,0)),Assumptions!$F$4:$F$44))/NETWORKDAYS($K307,$L307,Assumptions!$F$4:$F$44))</f>
        <v>0</v>
      </c>
      <c r="AH307" s="21" t="n">
        <f aca="false">IF($J307=0,0,MAX(0,NETWORKDAYS(MAX($K307,AH$4),MIN($L307,EOMONTH(AH$4,0)),Assumptions!$F$4:$F$44))/NETWORKDAYS($K307,$L307,Assumptions!$F$4:$F$44))</f>
        <v>0</v>
      </c>
      <c r="AI307" s="21" t="n">
        <f aca="false">IF($J307=0,0,MAX(0,NETWORKDAYS(MAX($K307,AI$4),MIN($L307,EOMONTH(AI$4,0)),Assumptions!$F$4:$F$44))/NETWORKDAYS($K307,$L307,Assumptions!$F$4:$F$44))</f>
        <v>0</v>
      </c>
      <c r="AJ307" s="21" t="n">
        <f aca="false">IF($J307=0,0,MAX(0,NETWORKDAYS(MAX($K307,AJ$4),MIN($L307,EOMONTH(AJ$4,0)),Assumptions!$F$4:$F$44))/NETWORKDAYS($K307,$L307,Assumptions!$F$4:$F$44))</f>
        <v>0</v>
      </c>
      <c r="AK307" s="21" t="n">
        <f aca="false">IF($J307=0,0,MAX(0,NETWORKDAYS(MAX($K307,AK$4),MIN($L307,EOMONTH(AK$4,0)),Assumptions!$F$4:$F$44))/NETWORKDAYS($K307,$L307,Assumptions!$F$4:$F$44))</f>
        <v>0</v>
      </c>
      <c r="AL307" s="21" t="n">
        <f aca="false">IF($J307=0,0,MAX(0,NETWORKDAYS(MAX($K307,AL$4),MIN($L307,EOMONTH(AL$4,0)),Assumptions!$F$4:$F$44))/NETWORKDAYS($K307,$L307,Assumptions!$F$4:$F$44))</f>
        <v>0</v>
      </c>
      <c r="AM307" s="21" t="n">
        <f aca="false">IF($J307=0,0,MAX(0,NETWORKDAYS(MAX($K307,AM$4),MIN($L307,EOMONTH(AM$4,0)),Assumptions!$F$4:$F$44))/NETWORKDAYS($K307,$L307,Assumptions!$F$4:$F$44))</f>
        <v>0</v>
      </c>
      <c r="AN307" s="21" t="n">
        <f aca="false">IF($J307=0,0,MAX(0,NETWORKDAYS(MAX($K307,AN$4),MIN($L307,EOMONTH(AN$4,0)),Assumptions!$F$4:$F$44))/NETWORKDAYS($K307,$L307,Assumptions!$F$4:$F$44))</f>
        <v>0.101694915254237</v>
      </c>
      <c r="AO307" s="21" t="n">
        <f aca="false">IF($J307=0,0,MAX(0,NETWORKDAYS(MAX($K307,AO$4),MIN($L307,EOMONTH(AO$4,0)),Assumptions!$F$4:$F$44))/NETWORKDAYS($K307,$L307,Assumptions!$F$4:$F$44))</f>
        <v>0.372881355932203</v>
      </c>
      <c r="AP307" s="21" t="n">
        <f aca="false">IF($J307=0,0,MAX(0,NETWORKDAYS(MAX($K307,AP$4),MIN($L307,EOMONTH(AP$4,0)),Assumptions!$F$4:$F$44))/NETWORKDAYS($K307,$L307,Assumptions!$F$4:$F$44))</f>
        <v>0.372881355932203</v>
      </c>
      <c r="AQ307" s="21" t="n">
        <f aca="false">IF($J307=0,0,MAX(0,NETWORKDAYS(MAX($K307,AQ$4),MIN($L307,EOMONTH(AQ$4,0)),Assumptions!$F$4:$F$44))/NETWORKDAYS($K307,$L307,Assumptions!$F$4:$F$44))</f>
        <v>0.152542372881356</v>
      </c>
      <c r="AR307" s="21" t="n">
        <f aca="false">IF($J307=0,0,MAX(0,NETWORKDAYS(MAX($K307,AR$4),MIN($L307,EOMONTH(AR$4,0)),Assumptions!$F$4:$F$44))/NETWORKDAYS($K307,$L307,Assumptions!$F$4:$F$44))</f>
        <v>0</v>
      </c>
      <c r="AS307" s="21" t="n">
        <f aca="false">IF($J307=0,0,MAX(0,NETWORKDAYS(MAX($K307,AS$4),MIN($L307,EOMONTH(AS$4,0)),Assumptions!$F$4:$F$44))/NETWORKDAYS($K307,$L307,Assumptions!$F$4:$F$44))</f>
        <v>0</v>
      </c>
      <c r="AT307" s="21" t="n">
        <f aca="false">IF($J307=0,0,MAX(0,NETWORKDAYS(MAX($K307,AT$4),MIN($L307,EOMONTH(AT$4,0)),Assumptions!$F$4:$F$44))/NETWORKDAYS($K307,$L307,Assumptions!$F$4:$F$44))</f>
        <v>0</v>
      </c>
      <c r="AU307" s="21" t="n">
        <f aca="false">IF($J307=0,0,MAX(0,NETWORKDAYS(MAX($K307,AU$4),MIN($L307,EOMONTH(AU$4,0)),Assumptions!$F$4:$F$44))/NETWORKDAYS($K307,$L307,Assumptions!$F$4:$F$44))</f>
        <v>0</v>
      </c>
      <c r="AV307" s="21" t="n">
        <f aca="false">IF($J307=0,0,MAX(0,NETWORKDAYS(MAX($K307,AV$4),MIN($L307,EOMONTH(AV$4,0)),Assumptions!$F$4:$F$44))/NETWORKDAYS($K307,$L307,Assumptions!$F$4:$F$44))</f>
        <v>0</v>
      </c>
      <c r="AW307" s="21" t="n">
        <f aca="false">IF($J307=0,0,MAX(0,NETWORKDAYS(MAX($K307,AW$4),MIN($L307,EOMONTH(AW$4,0)),Assumptions!$F$4:$F$44))/NETWORKDAYS($K307,$L307,Assumptions!$F$4:$F$44))</f>
        <v>0</v>
      </c>
      <c r="AX307" s="21" t="n">
        <f aca="false">IF($J307=0,0,MAX(0,NETWORKDAYS(MAX($K307,AX$4),MIN($L307,EOMONTH(AX$4,0)),Assumptions!$F$4:$F$44))/NETWORKDAYS($K307,$L307,Assumptions!$F$4:$F$44))</f>
        <v>0</v>
      </c>
      <c r="AY307" s="21" t="n">
        <f aca="false">IF($J307=0,0,MAX(0,NETWORKDAYS(MAX($K307,AY$4),MIN($L307,EOMONTH(AY$4,0)),Assumptions!$F$4:$F$44))/NETWORKDAYS($K307,$L307,Assumptions!$F$4:$F$44))</f>
        <v>0</v>
      </c>
      <c r="AZ307" s="21" t="n">
        <f aca="false">IF($J307=0,0,MAX(0,NETWORKDAYS(MAX($K307,AZ$4),MIN($L307,EOMONTH(AZ$4,0)),Assumptions!$F$4:$F$44))/NETWORKDAYS($K307,$L307,Assumptions!$F$4:$F$44))</f>
        <v>0</v>
      </c>
      <c r="BA307" s="21" t="n">
        <f aca="false">IF($J307=0,0,MAX(0,NETWORKDAYS(MAX($K307,BA$4),MIN($L307,EOMONTH(BA$4,0)),Assumptions!$F$4:$F$44))/NETWORKDAYS($K307,$L307,Assumptions!$F$4:$F$44))</f>
        <v>0</v>
      </c>
      <c r="BB307" s="21" t="n">
        <f aca="false">IF($J307=0,0,MAX(0,NETWORKDAYS(MAX($K307,BB$4),MIN($L307,EOMONTH(BB$4,0)),Assumptions!$F$4:$F$44))/NETWORKDAYS($K307,$L307,Assumptions!$F$4:$F$44))</f>
        <v>0</v>
      </c>
      <c r="BC307" s="21" t="n">
        <f aca="false">IF($J307=0,0,MAX(0,NETWORKDAYS(MAX($K307,BC$4),MIN($L307,EOMONTH(BC$4,0)),Assumptions!$F$4:$F$44))/NETWORKDAYS($K307,$L307,Assumptions!$F$4:$F$44))</f>
        <v>0</v>
      </c>
    </row>
    <row r="308" customFormat="false" ht="15" hidden="false" customHeight="false" outlineLevel="2" collapsed="false">
      <c r="A308" s="27" t="n">
        <v>304</v>
      </c>
      <c r="B308" s="27" t="s">
        <v>686</v>
      </c>
      <c r="C308" s="27" t="n">
        <v>3</v>
      </c>
      <c r="D308" s="27" t="s">
        <v>92</v>
      </c>
      <c r="E308" s="28" t="s">
        <v>687</v>
      </c>
      <c r="F308" s="27" t="s">
        <v>681</v>
      </c>
      <c r="G308" s="27" t="s">
        <v>157</v>
      </c>
      <c r="H308" s="27" t="s">
        <v>47</v>
      </c>
      <c r="I308" s="29" t="n">
        <v>189</v>
      </c>
      <c r="J308" s="29" t="n">
        <v>59</v>
      </c>
      <c r="K308" s="30" t="n">
        <f aca="false">WORKDAY(Assumptions!$C$4,I308,Assumptions!$F$4:$F$44)</f>
        <v>46591</v>
      </c>
      <c r="L308" s="30" t="n">
        <f aca="false">IF(J308=0,K308,WORKDAY(K308,J308-1,Assumptions!$F$4:$F$44))</f>
        <v>46673</v>
      </c>
      <c r="M308" s="29"/>
      <c r="N308" s="31" t="n">
        <v>0</v>
      </c>
      <c r="O308" s="31" t="n">
        <v>0</v>
      </c>
      <c r="P308" s="31" t="n">
        <v>0</v>
      </c>
      <c r="Q308" s="31" t="n">
        <v>12</v>
      </c>
      <c r="R308" s="31" t="n">
        <v>0</v>
      </c>
      <c r="S308" s="31" t="n">
        <v>0</v>
      </c>
      <c r="T308" s="31" t="n">
        <v>0</v>
      </c>
      <c r="U308" s="31" t="n">
        <v>4</v>
      </c>
      <c r="V308" s="31" t="n">
        <v>4</v>
      </c>
      <c r="W308" s="31" t="n">
        <v>0</v>
      </c>
      <c r="X308" s="31" t="n">
        <v>0</v>
      </c>
      <c r="Y308" s="32" t="n">
        <f aca="false">SUM(N308:X308)</f>
        <v>20</v>
      </c>
      <c r="Z308" s="32" t="n">
        <f aca="false">Y308*(1+Assumptions!$C$5)</f>
        <v>23</v>
      </c>
      <c r="AA308" s="27" t="s">
        <v>507</v>
      </c>
      <c r="AB308" s="27" t="s">
        <v>95</v>
      </c>
      <c r="AC308" s="27"/>
      <c r="AD308" s="33" t="n">
        <v>0</v>
      </c>
      <c r="AF308" s="21" t="n">
        <f aca="false">IF($J308=0,0,MAX(0,NETWORKDAYS(MAX($K308,AF$4),MIN($L308,EOMONTH(AF$4,0)),Assumptions!$F$4:$F$44))/NETWORKDAYS($K308,$L308,Assumptions!$F$4:$F$44))</f>
        <v>0</v>
      </c>
      <c r="AG308" s="21" t="n">
        <f aca="false">IF($J308=0,0,MAX(0,NETWORKDAYS(MAX($K308,AG$4),MIN($L308,EOMONTH(AG$4,0)),Assumptions!$F$4:$F$44))/NETWORKDAYS($K308,$L308,Assumptions!$F$4:$F$44))</f>
        <v>0</v>
      </c>
      <c r="AH308" s="21" t="n">
        <f aca="false">IF($J308=0,0,MAX(0,NETWORKDAYS(MAX($K308,AH$4),MIN($L308,EOMONTH(AH$4,0)),Assumptions!$F$4:$F$44))/NETWORKDAYS($K308,$L308,Assumptions!$F$4:$F$44))</f>
        <v>0</v>
      </c>
      <c r="AI308" s="21" t="n">
        <f aca="false">IF($J308=0,0,MAX(0,NETWORKDAYS(MAX($K308,AI$4),MIN($L308,EOMONTH(AI$4,0)),Assumptions!$F$4:$F$44))/NETWORKDAYS($K308,$L308,Assumptions!$F$4:$F$44))</f>
        <v>0</v>
      </c>
      <c r="AJ308" s="21" t="n">
        <f aca="false">IF($J308=0,0,MAX(0,NETWORKDAYS(MAX($K308,AJ$4),MIN($L308,EOMONTH(AJ$4,0)),Assumptions!$F$4:$F$44))/NETWORKDAYS($K308,$L308,Assumptions!$F$4:$F$44))</f>
        <v>0</v>
      </c>
      <c r="AK308" s="21" t="n">
        <f aca="false">IF($J308=0,0,MAX(0,NETWORKDAYS(MAX($K308,AK$4),MIN($L308,EOMONTH(AK$4,0)),Assumptions!$F$4:$F$44))/NETWORKDAYS($K308,$L308,Assumptions!$F$4:$F$44))</f>
        <v>0</v>
      </c>
      <c r="AL308" s="21" t="n">
        <f aca="false">IF($J308=0,0,MAX(0,NETWORKDAYS(MAX($K308,AL$4),MIN($L308,EOMONTH(AL$4,0)),Assumptions!$F$4:$F$44))/NETWORKDAYS($K308,$L308,Assumptions!$F$4:$F$44))</f>
        <v>0</v>
      </c>
      <c r="AM308" s="21" t="n">
        <f aca="false">IF($J308=0,0,MAX(0,NETWORKDAYS(MAX($K308,AM$4),MIN($L308,EOMONTH(AM$4,0)),Assumptions!$F$4:$F$44))/NETWORKDAYS($K308,$L308,Assumptions!$F$4:$F$44))</f>
        <v>0</v>
      </c>
      <c r="AN308" s="21" t="n">
        <f aca="false">IF($J308=0,0,MAX(0,NETWORKDAYS(MAX($K308,AN$4),MIN($L308,EOMONTH(AN$4,0)),Assumptions!$F$4:$F$44))/NETWORKDAYS($K308,$L308,Assumptions!$F$4:$F$44))</f>
        <v>0.101694915254237</v>
      </c>
      <c r="AO308" s="21" t="n">
        <f aca="false">IF($J308=0,0,MAX(0,NETWORKDAYS(MAX($K308,AO$4),MIN($L308,EOMONTH(AO$4,0)),Assumptions!$F$4:$F$44))/NETWORKDAYS($K308,$L308,Assumptions!$F$4:$F$44))</f>
        <v>0.372881355932203</v>
      </c>
      <c r="AP308" s="21" t="n">
        <f aca="false">IF($J308=0,0,MAX(0,NETWORKDAYS(MAX($K308,AP$4),MIN($L308,EOMONTH(AP$4,0)),Assumptions!$F$4:$F$44))/NETWORKDAYS($K308,$L308,Assumptions!$F$4:$F$44))</f>
        <v>0.372881355932203</v>
      </c>
      <c r="AQ308" s="21" t="n">
        <f aca="false">IF($J308=0,0,MAX(0,NETWORKDAYS(MAX($K308,AQ$4),MIN($L308,EOMONTH(AQ$4,0)),Assumptions!$F$4:$F$44))/NETWORKDAYS($K308,$L308,Assumptions!$F$4:$F$44))</f>
        <v>0.152542372881356</v>
      </c>
      <c r="AR308" s="21" t="n">
        <f aca="false">IF($J308=0,0,MAX(0,NETWORKDAYS(MAX($K308,AR$4),MIN($L308,EOMONTH(AR$4,0)),Assumptions!$F$4:$F$44))/NETWORKDAYS($K308,$L308,Assumptions!$F$4:$F$44))</f>
        <v>0</v>
      </c>
      <c r="AS308" s="21" t="n">
        <f aca="false">IF($J308=0,0,MAX(0,NETWORKDAYS(MAX($K308,AS$4),MIN($L308,EOMONTH(AS$4,0)),Assumptions!$F$4:$F$44))/NETWORKDAYS($K308,$L308,Assumptions!$F$4:$F$44))</f>
        <v>0</v>
      </c>
      <c r="AT308" s="21" t="n">
        <f aca="false">IF($J308=0,0,MAX(0,NETWORKDAYS(MAX($K308,AT$4),MIN($L308,EOMONTH(AT$4,0)),Assumptions!$F$4:$F$44))/NETWORKDAYS($K308,$L308,Assumptions!$F$4:$F$44))</f>
        <v>0</v>
      </c>
      <c r="AU308" s="21" t="n">
        <f aca="false">IF($J308=0,0,MAX(0,NETWORKDAYS(MAX($K308,AU$4),MIN($L308,EOMONTH(AU$4,0)),Assumptions!$F$4:$F$44))/NETWORKDAYS($K308,$L308,Assumptions!$F$4:$F$44))</f>
        <v>0</v>
      </c>
      <c r="AV308" s="21" t="n">
        <f aca="false">IF($J308=0,0,MAX(0,NETWORKDAYS(MAX($K308,AV$4),MIN($L308,EOMONTH(AV$4,0)),Assumptions!$F$4:$F$44))/NETWORKDAYS($K308,$L308,Assumptions!$F$4:$F$44))</f>
        <v>0</v>
      </c>
      <c r="AW308" s="21" t="n">
        <f aca="false">IF($J308=0,0,MAX(0,NETWORKDAYS(MAX($K308,AW$4),MIN($L308,EOMONTH(AW$4,0)),Assumptions!$F$4:$F$44))/NETWORKDAYS($K308,$L308,Assumptions!$F$4:$F$44))</f>
        <v>0</v>
      </c>
      <c r="AX308" s="21" t="n">
        <f aca="false">IF($J308=0,0,MAX(0,NETWORKDAYS(MAX($K308,AX$4),MIN($L308,EOMONTH(AX$4,0)),Assumptions!$F$4:$F$44))/NETWORKDAYS($K308,$L308,Assumptions!$F$4:$F$44))</f>
        <v>0</v>
      </c>
      <c r="AY308" s="21" t="n">
        <f aca="false">IF($J308=0,0,MAX(0,NETWORKDAYS(MAX($K308,AY$4),MIN($L308,EOMONTH(AY$4,0)),Assumptions!$F$4:$F$44))/NETWORKDAYS($K308,$L308,Assumptions!$F$4:$F$44))</f>
        <v>0</v>
      </c>
      <c r="AZ308" s="21" t="n">
        <f aca="false">IF($J308=0,0,MAX(0,NETWORKDAYS(MAX($K308,AZ$4),MIN($L308,EOMONTH(AZ$4,0)),Assumptions!$F$4:$F$44))/NETWORKDAYS($K308,$L308,Assumptions!$F$4:$F$44))</f>
        <v>0</v>
      </c>
      <c r="BA308" s="21" t="n">
        <f aca="false">IF($J308=0,0,MAX(0,NETWORKDAYS(MAX($K308,BA$4),MIN($L308,EOMONTH(BA$4,0)),Assumptions!$F$4:$F$44))/NETWORKDAYS($K308,$L308,Assumptions!$F$4:$F$44))</f>
        <v>0</v>
      </c>
      <c r="BB308" s="21" t="n">
        <f aca="false">IF($J308=0,0,MAX(0,NETWORKDAYS(MAX($K308,BB$4),MIN($L308,EOMONTH(BB$4,0)),Assumptions!$F$4:$F$44))/NETWORKDAYS($K308,$L308,Assumptions!$F$4:$F$44))</f>
        <v>0</v>
      </c>
      <c r="BC308" s="21" t="n">
        <f aca="false">IF($J308=0,0,MAX(0,NETWORKDAYS(MAX($K308,BC$4),MIN($L308,EOMONTH(BC$4,0)),Assumptions!$F$4:$F$44))/NETWORKDAYS($K308,$L308,Assumptions!$F$4:$F$44))</f>
        <v>0</v>
      </c>
    </row>
    <row r="309" customFormat="false" ht="15" hidden="false" customHeight="false" outlineLevel="2" collapsed="false">
      <c r="A309" s="27" t="n">
        <v>305</v>
      </c>
      <c r="B309" s="27" t="s">
        <v>688</v>
      </c>
      <c r="C309" s="27" t="n">
        <v>3</v>
      </c>
      <c r="D309" s="27" t="s">
        <v>92</v>
      </c>
      <c r="E309" s="28" t="s">
        <v>689</v>
      </c>
      <c r="F309" s="27" t="s">
        <v>681</v>
      </c>
      <c r="G309" s="27" t="s">
        <v>157</v>
      </c>
      <c r="H309" s="27" t="s">
        <v>53</v>
      </c>
      <c r="I309" s="29" t="n">
        <v>189</v>
      </c>
      <c r="J309" s="29" t="n">
        <v>59</v>
      </c>
      <c r="K309" s="30" t="n">
        <f aca="false">WORKDAY(Assumptions!$C$4,I309,Assumptions!$F$4:$F$44)</f>
        <v>46591</v>
      </c>
      <c r="L309" s="30" t="n">
        <f aca="false">IF(J309=0,K309,WORKDAY(K309,J309-1,Assumptions!$F$4:$F$44))</f>
        <v>46673</v>
      </c>
      <c r="M309" s="29"/>
      <c r="N309" s="31" t="n">
        <v>0</v>
      </c>
      <c r="O309" s="31" t="n">
        <v>0</v>
      </c>
      <c r="P309" s="31" t="n">
        <v>0</v>
      </c>
      <c r="Q309" s="31" t="n">
        <v>4</v>
      </c>
      <c r="R309" s="31" t="n">
        <v>0</v>
      </c>
      <c r="S309" s="31" t="n">
        <v>0</v>
      </c>
      <c r="T309" s="31" t="n">
        <v>5</v>
      </c>
      <c r="U309" s="31" t="n">
        <v>0</v>
      </c>
      <c r="V309" s="31" t="n">
        <v>0</v>
      </c>
      <c r="W309" s="31" t="n">
        <v>3</v>
      </c>
      <c r="X309" s="31" t="n">
        <v>0</v>
      </c>
      <c r="Y309" s="32" t="n">
        <f aca="false">SUM(N309:X309)</f>
        <v>12</v>
      </c>
      <c r="Z309" s="32" t="n">
        <f aca="false">Y309*(1+Assumptions!$C$5)</f>
        <v>13.8</v>
      </c>
      <c r="AA309" s="27" t="s">
        <v>507</v>
      </c>
      <c r="AB309" s="27" t="s">
        <v>95</v>
      </c>
      <c r="AC309" s="27"/>
      <c r="AD309" s="33" t="n">
        <v>0</v>
      </c>
      <c r="AF309" s="21" t="n">
        <f aca="false">IF($J309=0,0,MAX(0,NETWORKDAYS(MAX($K309,AF$4),MIN($L309,EOMONTH(AF$4,0)),Assumptions!$F$4:$F$44))/NETWORKDAYS($K309,$L309,Assumptions!$F$4:$F$44))</f>
        <v>0</v>
      </c>
      <c r="AG309" s="21" t="n">
        <f aca="false">IF($J309=0,0,MAX(0,NETWORKDAYS(MAX($K309,AG$4),MIN($L309,EOMONTH(AG$4,0)),Assumptions!$F$4:$F$44))/NETWORKDAYS($K309,$L309,Assumptions!$F$4:$F$44))</f>
        <v>0</v>
      </c>
      <c r="AH309" s="21" t="n">
        <f aca="false">IF($J309=0,0,MAX(0,NETWORKDAYS(MAX($K309,AH$4),MIN($L309,EOMONTH(AH$4,0)),Assumptions!$F$4:$F$44))/NETWORKDAYS($K309,$L309,Assumptions!$F$4:$F$44))</f>
        <v>0</v>
      </c>
      <c r="AI309" s="21" t="n">
        <f aca="false">IF($J309=0,0,MAX(0,NETWORKDAYS(MAX($K309,AI$4),MIN($L309,EOMONTH(AI$4,0)),Assumptions!$F$4:$F$44))/NETWORKDAYS($K309,$L309,Assumptions!$F$4:$F$44))</f>
        <v>0</v>
      </c>
      <c r="AJ309" s="21" t="n">
        <f aca="false">IF($J309=0,0,MAX(0,NETWORKDAYS(MAX($K309,AJ$4),MIN($L309,EOMONTH(AJ$4,0)),Assumptions!$F$4:$F$44))/NETWORKDAYS($K309,$L309,Assumptions!$F$4:$F$44))</f>
        <v>0</v>
      </c>
      <c r="AK309" s="21" t="n">
        <f aca="false">IF($J309=0,0,MAX(0,NETWORKDAYS(MAX($K309,AK$4),MIN($L309,EOMONTH(AK$4,0)),Assumptions!$F$4:$F$44))/NETWORKDAYS($K309,$L309,Assumptions!$F$4:$F$44))</f>
        <v>0</v>
      </c>
      <c r="AL309" s="21" t="n">
        <f aca="false">IF($J309=0,0,MAX(0,NETWORKDAYS(MAX($K309,AL$4),MIN($L309,EOMONTH(AL$4,0)),Assumptions!$F$4:$F$44))/NETWORKDAYS($K309,$L309,Assumptions!$F$4:$F$44))</f>
        <v>0</v>
      </c>
      <c r="AM309" s="21" t="n">
        <f aca="false">IF($J309=0,0,MAX(0,NETWORKDAYS(MAX($K309,AM$4),MIN($L309,EOMONTH(AM$4,0)),Assumptions!$F$4:$F$44))/NETWORKDAYS($K309,$L309,Assumptions!$F$4:$F$44))</f>
        <v>0</v>
      </c>
      <c r="AN309" s="21" t="n">
        <f aca="false">IF($J309=0,0,MAX(0,NETWORKDAYS(MAX($K309,AN$4),MIN($L309,EOMONTH(AN$4,0)),Assumptions!$F$4:$F$44))/NETWORKDAYS($K309,$L309,Assumptions!$F$4:$F$44))</f>
        <v>0.101694915254237</v>
      </c>
      <c r="AO309" s="21" t="n">
        <f aca="false">IF($J309=0,0,MAX(0,NETWORKDAYS(MAX($K309,AO$4),MIN($L309,EOMONTH(AO$4,0)),Assumptions!$F$4:$F$44))/NETWORKDAYS($K309,$L309,Assumptions!$F$4:$F$44))</f>
        <v>0.372881355932203</v>
      </c>
      <c r="AP309" s="21" t="n">
        <f aca="false">IF($J309=0,0,MAX(0,NETWORKDAYS(MAX($K309,AP$4),MIN($L309,EOMONTH(AP$4,0)),Assumptions!$F$4:$F$44))/NETWORKDAYS($K309,$L309,Assumptions!$F$4:$F$44))</f>
        <v>0.372881355932203</v>
      </c>
      <c r="AQ309" s="21" t="n">
        <f aca="false">IF($J309=0,0,MAX(0,NETWORKDAYS(MAX($K309,AQ$4),MIN($L309,EOMONTH(AQ$4,0)),Assumptions!$F$4:$F$44))/NETWORKDAYS($K309,$L309,Assumptions!$F$4:$F$44))</f>
        <v>0.152542372881356</v>
      </c>
      <c r="AR309" s="21" t="n">
        <f aca="false">IF($J309=0,0,MAX(0,NETWORKDAYS(MAX($K309,AR$4),MIN($L309,EOMONTH(AR$4,0)),Assumptions!$F$4:$F$44))/NETWORKDAYS($K309,$L309,Assumptions!$F$4:$F$44))</f>
        <v>0</v>
      </c>
      <c r="AS309" s="21" t="n">
        <f aca="false">IF($J309=0,0,MAX(0,NETWORKDAYS(MAX($K309,AS$4),MIN($L309,EOMONTH(AS$4,0)),Assumptions!$F$4:$F$44))/NETWORKDAYS($K309,$L309,Assumptions!$F$4:$F$44))</f>
        <v>0</v>
      </c>
      <c r="AT309" s="21" t="n">
        <f aca="false">IF($J309=0,0,MAX(0,NETWORKDAYS(MAX($K309,AT$4),MIN($L309,EOMONTH(AT$4,0)),Assumptions!$F$4:$F$44))/NETWORKDAYS($K309,$L309,Assumptions!$F$4:$F$44))</f>
        <v>0</v>
      </c>
      <c r="AU309" s="21" t="n">
        <f aca="false">IF($J309=0,0,MAX(0,NETWORKDAYS(MAX($K309,AU$4),MIN($L309,EOMONTH(AU$4,0)),Assumptions!$F$4:$F$44))/NETWORKDAYS($K309,$L309,Assumptions!$F$4:$F$44))</f>
        <v>0</v>
      </c>
      <c r="AV309" s="21" t="n">
        <f aca="false">IF($J309=0,0,MAX(0,NETWORKDAYS(MAX($K309,AV$4),MIN($L309,EOMONTH(AV$4,0)),Assumptions!$F$4:$F$44))/NETWORKDAYS($K309,$L309,Assumptions!$F$4:$F$44))</f>
        <v>0</v>
      </c>
      <c r="AW309" s="21" t="n">
        <f aca="false">IF($J309=0,0,MAX(0,NETWORKDAYS(MAX($K309,AW$4),MIN($L309,EOMONTH(AW$4,0)),Assumptions!$F$4:$F$44))/NETWORKDAYS($K309,$L309,Assumptions!$F$4:$F$44))</f>
        <v>0</v>
      </c>
      <c r="AX309" s="21" t="n">
        <f aca="false">IF($J309=0,0,MAX(0,NETWORKDAYS(MAX($K309,AX$4),MIN($L309,EOMONTH(AX$4,0)),Assumptions!$F$4:$F$44))/NETWORKDAYS($K309,$L309,Assumptions!$F$4:$F$44))</f>
        <v>0</v>
      </c>
      <c r="AY309" s="21" t="n">
        <f aca="false">IF($J309=0,0,MAX(0,NETWORKDAYS(MAX($K309,AY$4),MIN($L309,EOMONTH(AY$4,0)),Assumptions!$F$4:$F$44))/NETWORKDAYS($K309,$L309,Assumptions!$F$4:$F$44))</f>
        <v>0</v>
      </c>
      <c r="AZ309" s="21" t="n">
        <f aca="false">IF($J309=0,0,MAX(0,NETWORKDAYS(MAX($K309,AZ$4),MIN($L309,EOMONTH(AZ$4,0)),Assumptions!$F$4:$F$44))/NETWORKDAYS($K309,$L309,Assumptions!$F$4:$F$44))</f>
        <v>0</v>
      </c>
      <c r="BA309" s="21" t="n">
        <f aca="false">IF($J309=0,0,MAX(0,NETWORKDAYS(MAX($K309,BA$4),MIN($L309,EOMONTH(BA$4,0)),Assumptions!$F$4:$F$44))/NETWORKDAYS($K309,$L309,Assumptions!$F$4:$F$44))</f>
        <v>0</v>
      </c>
      <c r="BB309" s="21" t="n">
        <f aca="false">IF($J309=0,0,MAX(0,NETWORKDAYS(MAX($K309,BB$4),MIN($L309,EOMONTH(BB$4,0)),Assumptions!$F$4:$F$44))/NETWORKDAYS($K309,$L309,Assumptions!$F$4:$F$44))</f>
        <v>0</v>
      </c>
      <c r="BC309" s="21" t="n">
        <f aca="false">IF($J309=0,0,MAX(0,NETWORKDAYS(MAX($K309,BC$4),MIN($L309,EOMONTH(BC$4,0)),Assumptions!$F$4:$F$44))/NETWORKDAYS($K309,$L309,Assumptions!$F$4:$F$44))</f>
        <v>0</v>
      </c>
    </row>
    <row r="310" customFormat="false" ht="15" hidden="false" customHeight="false" outlineLevel="1" collapsed="false">
      <c r="A310" s="22" t="n">
        <v>306</v>
      </c>
      <c r="B310" s="22" t="s">
        <v>690</v>
      </c>
      <c r="C310" s="22" t="n">
        <v>2</v>
      </c>
      <c r="D310" s="22" t="s">
        <v>89</v>
      </c>
      <c r="E310" s="23" t="s">
        <v>691</v>
      </c>
      <c r="F310" s="22" t="s">
        <v>681</v>
      </c>
      <c r="G310" s="22" t="s">
        <v>692</v>
      </c>
      <c r="H310" s="22"/>
      <c r="I310" s="22"/>
      <c r="J310" s="22" t="n">
        <f aca="false">NETWORKDAYS(K310,L310,Assumptions!$F$4:$F$44)</f>
        <v>119</v>
      </c>
      <c r="K310" s="24" t="n">
        <f aca="false">MIN(K311:K325)</f>
        <v>46574</v>
      </c>
      <c r="L310" s="24" t="n">
        <f aca="false">MAX(L311:L325)</f>
        <v>46738</v>
      </c>
      <c r="M310" s="22"/>
      <c r="N310" s="25" t="n">
        <f aca="false">SUMPRODUCT(($C$311:$C$325=3)*(N311:N325))</f>
        <v>1</v>
      </c>
      <c r="O310" s="25" t="n">
        <f aca="false">SUMPRODUCT(($C$311:$C$325=3)*(O311:O325))</f>
        <v>21</v>
      </c>
      <c r="P310" s="25" t="n">
        <f aca="false">SUMPRODUCT(($C$311:$C$325=3)*(P311:P325))</f>
        <v>6</v>
      </c>
      <c r="Q310" s="25" t="n">
        <f aca="false">SUMPRODUCT(($C$311:$C$325=3)*(Q311:Q325))</f>
        <v>86</v>
      </c>
      <c r="R310" s="25" t="n">
        <f aca="false">SUMPRODUCT(($C$311:$C$325=3)*(R311:R325))</f>
        <v>35</v>
      </c>
      <c r="S310" s="25" t="n">
        <f aca="false">SUMPRODUCT(($C$311:$C$325=3)*(S311:S325))</f>
        <v>11</v>
      </c>
      <c r="T310" s="25" t="n">
        <f aca="false">SUMPRODUCT(($C$311:$C$325=3)*(T311:T325))</f>
        <v>9</v>
      </c>
      <c r="U310" s="25" t="n">
        <f aca="false">SUMPRODUCT(($C$311:$C$325=3)*(U311:U325))</f>
        <v>0</v>
      </c>
      <c r="V310" s="25" t="n">
        <f aca="false">SUMPRODUCT(($C$311:$C$325=3)*(V311:V325))</f>
        <v>29</v>
      </c>
      <c r="W310" s="25" t="n">
        <f aca="false">SUMPRODUCT(($C$311:$C$325=3)*(W311:W325))</f>
        <v>0</v>
      </c>
      <c r="X310" s="25" t="n">
        <f aca="false">SUMPRODUCT(($C$311:$C$325=3)*(X311:X325))</f>
        <v>5</v>
      </c>
      <c r="Y310" s="25" t="n">
        <f aca="false">SUM(N310:X310)</f>
        <v>203</v>
      </c>
      <c r="Z310" s="25" t="n">
        <f aca="false">Y310*(1+Assumptions!$C$5)</f>
        <v>233.45</v>
      </c>
      <c r="AA310" s="22" t="s">
        <v>693</v>
      </c>
      <c r="AB310" s="22"/>
      <c r="AC310" s="22"/>
      <c r="AD310" s="26"/>
      <c r="AF310" s="21" t="n">
        <v>0</v>
      </c>
      <c r="AG310" s="21" t="n">
        <v>0</v>
      </c>
      <c r="AH310" s="21" t="n">
        <v>0</v>
      </c>
      <c r="AI310" s="21" t="n">
        <v>0</v>
      </c>
      <c r="AJ310" s="21" t="n">
        <v>0</v>
      </c>
      <c r="AK310" s="21" t="n">
        <v>0</v>
      </c>
      <c r="AL310" s="21" t="n">
        <v>0</v>
      </c>
      <c r="AM310" s="21" t="n">
        <v>0</v>
      </c>
      <c r="AN310" s="21" t="n">
        <v>0</v>
      </c>
      <c r="AO310" s="21" t="n">
        <v>0</v>
      </c>
      <c r="AP310" s="21" t="n">
        <v>0</v>
      </c>
      <c r="AQ310" s="21" t="n">
        <v>0</v>
      </c>
      <c r="AR310" s="21" t="n">
        <v>0</v>
      </c>
      <c r="AS310" s="21" t="n">
        <v>0</v>
      </c>
      <c r="AT310" s="21" t="n">
        <v>0</v>
      </c>
      <c r="AU310" s="21" t="n">
        <v>0</v>
      </c>
      <c r="AV310" s="21" t="n">
        <v>0</v>
      </c>
      <c r="AW310" s="21" t="n">
        <v>0</v>
      </c>
      <c r="AX310" s="21" t="n">
        <v>0</v>
      </c>
      <c r="AY310" s="21" t="n">
        <v>0</v>
      </c>
      <c r="AZ310" s="21" t="n">
        <v>0</v>
      </c>
      <c r="BA310" s="21" t="n">
        <v>0</v>
      </c>
      <c r="BB310" s="21" t="n">
        <v>0</v>
      </c>
      <c r="BC310" s="21" t="n">
        <v>0</v>
      </c>
    </row>
    <row r="311" customFormat="false" ht="15" hidden="false" customHeight="false" outlineLevel="2" collapsed="false">
      <c r="A311" s="27" t="n">
        <v>307</v>
      </c>
      <c r="B311" s="27" t="s">
        <v>694</v>
      </c>
      <c r="C311" s="27" t="n">
        <v>3</v>
      </c>
      <c r="D311" s="27" t="s">
        <v>92</v>
      </c>
      <c r="E311" s="28" t="s">
        <v>292</v>
      </c>
      <c r="F311" s="27" t="s">
        <v>681</v>
      </c>
      <c r="G311" s="27" t="s">
        <v>692</v>
      </c>
      <c r="H311" s="27" t="s">
        <v>43</v>
      </c>
      <c r="I311" s="29" t="n">
        <v>176</v>
      </c>
      <c r="J311" s="29" t="n">
        <v>16</v>
      </c>
      <c r="K311" s="30" t="n">
        <f aca="false">WORKDAY(Assumptions!$C$4,I311,Assumptions!$F$4:$F$44)</f>
        <v>46574</v>
      </c>
      <c r="L311" s="30" t="n">
        <f aca="false">IF(J311=0,K311,WORKDAY(K311,J311-1,Assumptions!$F$4:$F$44))</f>
        <v>46595</v>
      </c>
      <c r="M311" s="29" t="s">
        <v>695</v>
      </c>
      <c r="N311" s="31" t="n">
        <v>1</v>
      </c>
      <c r="O311" s="31" t="n">
        <v>7</v>
      </c>
      <c r="P311" s="31" t="n">
        <v>2</v>
      </c>
      <c r="Q311" s="31" t="n">
        <v>0</v>
      </c>
      <c r="R311" s="31" t="n">
        <v>0</v>
      </c>
      <c r="S311" s="31" t="n">
        <v>0</v>
      </c>
      <c r="T311" s="31" t="n">
        <v>0</v>
      </c>
      <c r="U311" s="31" t="n">
        <v>0</v>
      </c>
      <c r="V311" s="31" t="n">
        <v>0</v>
      </c>
      <c r="W311" s="31" t="n">
        <v>0</v>
      </c>
      <c r="X311" s="31" t="n">
        <v>0</v>
      </c>
      <c r="Y311" s="32" t="n">
        <f aca="false">SUM(N311:X311)</f>
        <v>10</v>
      </c>
      <c r="Z311" s="32" t="n">
        <f aca="false">Y311*(1+Assumptions!$C$5)</f>
        <v>11.5</v>
      </c>
      <c r="AA311" s="27" t="s">
        <v>294</v>
      </c>
      <c r="AB311" s="27" t="s">
        <v>95</v>
      </c>
      <c r="AC311" s="27"/>
      <c r="AD311" s="33" t="n">
        <v>0</v>
      </c>
      <c r="AF311" s="21" t="n">
        <f aca="false">IF($J311=0,0,MAX(0,NETWORKDAYS(MAX($K311,AF$4),MIN($L311,EOMONTH(AF$4,0)),Assumptions!$F$4:$F$44))/NETWORKDAYS($K311,$L311,Assumptions!$F$4:$F$44))</f>
        <v>0</v>
      </c>
      <c r="AG311" s="21" t="n">
        <f aca="false">IF($J311=0,0,MAX(0,NETWORKDAYS(MAX($K311,AG$4),MIN($L311,EOMONTH(AG$4,0)),Assumptions!$F$4:$F$44))/NETWORKDAYS($K311,$L311,Assumptions!$F$4:$F$44))</f>
        <v>0</v>
      </c>
      <c r="AH311" s="21" t="n">
        <f aca="false">IF($J311=0,0,MAX(0,NETWORKDAYS(MAX($K311,AH$4),MIN($L311,EOMONTH(AH$4,0)),Assumptions!$F$4:$F$44))/NETWORKDAYS($K311,$L311,Assumptions!$F$4:$F$44))</f>
        <v>0</v>
      </c>
      <c r="AI311" s="21" t="n">
        <f aca="false">IF($J311=0,0,MAX(0,NETWORKDAYS(MAX($K311,AI$4),MIN($L311,EOMONTH(AI$4,0)),Assumptions!$F$4:$F$44))/NETWORKDAYS($K311,$L311,Assumptions!$F$4:$F$44))</f>
        <v>0</v>
      </c>
      <c r="AJ311" s="21" t="n">
        <f aca="false">IF($J311=0,0,MAX(0,NETWORKDAYS(MAX($K311,AJ$4),MIN($L311,EOMONTH(AJ$4,0)),Assumptions!$F$4:$F$44))/NETWORKDAYS($K311,$L311,Assumptions!$F$4:$F$44))</f>
        <v>0</v>
      </c>
      <c r="AK311" s="21" t="n">
        <f aca="false">IF($J311=0,0,MAX(0,NETWORKDAYS(MAX($K311,AK$4),MIN($L311,EOMONTH(AK$4,0)),Assumptions!$F$4:$F$44))/NETWORKDAYS($K311,$L311,Assumptions!$F$4:$F$44))</f>
        <v>0</v>
      </c>
      <c r="AL311" s="21" t="n">
        <f aca="false">IF($J311=0,0,MAX(0,NETWORKDAYS(MAX($K311,AL$4),MIN($L311,EOMONTH(AL$4,0)),Assumptions!$F$4:$F$44))/NETWORKDAYS($K311,$L311,Assumptions!$F$4:$F$44))</f>
        <v>0</v>
      </c>
      <c r="AM311" s="21" t="n">
        <f aca="false">IF($J311=0,0,MAX(0,NETWORKDAYS(MAX($K311,AM$4),MIN($L311,EOMONTH(AM$4,0)),Assumptions!$F$4:$F$44))/NETWORKDAYS($K311,$L311,Assumptions!$F$4:$F$44))</f>
        <v>0</v>
      </c>
      <c r="AN311" s="21" t="n">
        <f aca="false">IF($J311=0,0,MAX(0,NETWORKDAYS(MAX($K311,AN$4),MIN($L311,EOMONTH(AN$4,0)),Assumptions!$F$4:$F$44))/NETWORKDAYS($K311,$L311,Assumptions!$F$4:$F$44))</f>
        <v>1</v>
      </c>
      <c r="AO311" s="21" t="n">
        <f aca="false">IF($J311=0,0,MAX(0,NETWORKDAYS(MAX($K311,AO$4),MIN($L311,EOMONTH(AO$4,0)),Assumptions!$F$4:$F$44))/NETWORKDAYS($K311,$L311,Assumptions!$F$4:$F$44))</f>
        <v>0</v>
      </c>
      <c r="AP311" s="21" t="n">
        <f aca="false">IF($J311=0,0,MAX(0,NETWORKDAYS(MAX($K311,AP$4),MIN($L311,EOMONTH(AP$4,0)),Assumptions!$F$4:$F$44))/NETWORKDAYS($K311,$L311,Assumptions!$F$4:$F$44))</f>
        <v>0</v>
      </c>
      <c r="AQ311" s="21" t="n">
        <f aca="false">IF($J311=0,0,MAX(0,NETWORKDAYS(MAX($K311,AQ$4),MIN($L311,EOMONTH(AQ$4,0)),Assumptions!$F$4:$F$44))/NETWORKDAYS($K311,$L311,Assumptions!$F$4:$F$44))</f>
        <v>0</v>
      </c>
      <c r="AR311" s="21" t="n">
        <f aca="false">IF($J311=0,0,MAX(0,NETWORKDAYS(MAX($K311,AR$4),MIN($L311,EOMONTH(AR$4,0)),Assumptions!$F$4:$F$44))/NETWORKDAYS($K311,$L311,Assumptions!$F$4:$F$44))</f>
        <v>0</v>
      </c>
      <c r="AS311" s="21" t="n">
        <f aca="false">IF($J311=0,0,MAX(0,NETWORKDAYS(MAX($K311,AS$4),MIN($L311,EOMONTH(AS$4,0)),Assumptions!$F$4:$F$44))/NETWORKDAYS($K311,$L311,Assumptions!$F$4:$F$44))</f>
        <v>0</v>
      </c>
      <c r="AT311" s="21" t="n">
        <f aca="false">IF($J311=0,0,MAX(0,NETWORKDAYS(MAX($K311,AT$4),MIN($L311,EOMONTH(AT$4,0)),Assumptions!$F$4:$F$44))/NETWORKDAYS($K311,$L311,Assumptions!$F$4:$F$44))</f>
        <v>0</v>
      </c>
      <c r="AU311" s="21" t="n">
        <f aca="false">IF($J311=0,0,MAX(0,NETWORKDAYS(MAX($K311,AU$4),MIN($L311,EOMONTH(AU$4,0)),Assumptions!$F$4:$F$44))/NETWORKDAYS($K311,$L311,Assumptions!$F$4:$F$44))</f>
        <v>0</v>
      </c>
      <c r="AV311" s="21" t="n">
        <f aca="false">IF($J311=0,0,MAX(0,NETWORKDAYS(MAX($K311,AV$4),MIN($L311,EOMONTH(AV$4,0)),Assumptions!$F$4:$F$44))/NETWORKDAYS($K311,$L311,Assumptions!$F$4:$F$44))</f>
        <v>0</v>
      </c>
      <c r="AW311" s="21" t="n">
        <f aca="false">IF($J311=0,0,MAX(0,NETWORKDAYS(MAX($K311,AW$4),MIN($L311,EOMONTH(AW$4,0)),Assumptions!$F$4:$F$44))/NETWORKDAYS($K311,$L311,Assumptions!$F$4:$F$44))</f>
        <v>0</v>
      </c>
      <c r="AX311" s="21" t="n">
        <f aca="false">IF($J311=0,0,MAX(0,NETWORKDAYS(MAX($K311,AX$4),MIN($L311,EOMONTH(AX$4,0)),Assumptions!$F$4:$F$44))/NETWORKDAYS($K311,$L311,Assumptions!$F$4:$F$44))</f>
        <v>0</v>
      </c>
      <c r="AY311" s="21" t="n">
        <f aca="false">IF($J311=0,0,MAX(0,NETWORKDAYS(MAX($K311,AY$4),MIN($L311,EOMONTH(AY$4,0)),Assumptions!$F$4:$F$44))/NETWORKDAYS($K311,$L311,Assumptions!$F$4:$F$44))</f>
        <v>0</v>
      </c>
      <c r="AZ311" s="21" t="n">
        <f aca="false">IF($J311=0,0,MAX(0,NETWORKDAYS(MAX($K311,AZ$4),MIN($L311,EOMONTH(AZ$4,0)),Assumptions!$F$4:$F$44))/NETWORKDAYS($K311,$L311,Assumptions!$F$4:$F$44))</f>
        <v>0</v>
      </c>
      <c r="BA311" s="21" t="n">
        <f aca="false">IF($J311=0,0,MAX(0,NETWORKDAYS(MAX($K311,BA$4),MIN($L311,EOMONTH(BA$4,0)),Assumptions!$F$4:$F$44))/NETWORKDAYS($K311,$L311,Assumptions!$F$4:$F$44))</f>
        <v>0</v>
      </c>
      <c r="BB311" s="21" t="n">
        <f aca="false">IF($J311=0,0,MAX(0,NETWORKDAYS(MAX($K311,BB$4),MIN($L311,EOMONTH(BB$4,0)),Assumptions!$F$4:$F$44))/NETWORKDAYS($K311,$L311,Assumptions!$F$4:$F$44))</f>
        <v>0</v>
      </c>
      <c r="BC311" s="21" t="n">
        <f aca="false">IF($J311=0,0,MAX(0,NETWORKDAYS(MAX($K311,BC$4),MIN($L311,EOMONTH(BC$4,0)),Assumptions!$F$4:$F$44))/NETWORKDAYS($K311,$L311,Assumptions!$F$4:$F$44))</f>
        <v>0</v>
      </c>
    </row>
    <row r="312" customFormat="false" ht="15" hidden="false" customHeight="false" outlineLevel="2" collapsed="false">
      <c r="A312" s="27" t="n">
        <v>308</v>
      </c>
      <c r="B312" s="27" t="s">
        <v>696</v>
      </c>
      <c r="C312" s="27" t="n">
        <v>3</v>
      </c>
      <c r="D312" s="27" t="s">
        <v>92</v>
      </c>
      <c r="E312" s="28" t="s">
        <v>296</v>
      </c>
      <c r="F312" s="27" t="s">
        <v>681</v>
      </c>
      <c r="G312" s="27" t="s">
        <v>692</v>
      </c>
      <c r="H312" s="27" t="s">
        <v>45</v>
      </c>
      <c r="I312" s="29" t="n">
        <v>187</v>
      </c>
      <c r="J312" s="29" t="n">
        <v>16</v>
      </c>
      <c r="K312" s="30" t="n">
        <f aca="false">WORKDAY(Assumptions!$C$4,I312,Assumptions!$F$4:$F$44)</f>
        <v>46589</v>
      </c>
      <c r="L312" s="30" t="n">
        <f aca="false">IF(J312=0,K312,WORKDAY(K312,J312-1,Assumptions!$F$4:$F$44))</f>
        <v>46610</v>
      </c>
      <c r="M312" s="29" t="s">
        <v>697</v>
      </c>
      <c r="N312" s="31" t="n">
        <v>0</v>
      </c>
      <c r="O312" s="31" t="n">
        <v>0</v>
      </c>
      <c r="P312" s="31" t="n">
        <v>4</v>
      </c>
      <c r="Q312" s="31" t="n">
        <v>4</v>
      </c>
      <c r="R312" s="31" t="n">
        <v>0</v>
      </c>
      <c r="S312" s="31" t="n">
        <v>0</v>
      </c>
      <c r="T312" s="31" t="n">
        <v>0</v>
      </c>
      <c r="U312" s="31" t="n">
        <v>0</v>
      </c>
      <c r="V312" s="31" t="n">
        <v>0</v>
      </c>
      <c r="W312" s="31" t="n">
        <v>0</v>
      </c>
      <c r="X312" s="31" t="n">
        <v>0</v>
      </c>
      <c r="Y312" s="32" t="n">
        <f aca="false">SUM(N312:X312)</f>
        <v>8</v>
      </c>
      <c r="Z312" s="32" t="n">
        <f aca="false">Y312*(1+Assumptions!$C$5)</f>
        <v>9.2</v>
      </c>
      <c r="AA312" s="27" t="s">
        <v>298</v>
      </c>
      <c r="AB312" s="27" t="s">
        <v>95</v>
      </c>
      <c r="AC312" s="27"/>
      <c r="AD312" s="33" t="n">
        <v>0</v>
      </c>
      <c r="AF312" s="21" t="n">
        <f aca="false">IF($J312=0,0,MAX(0,NETWORKDAYS(MAX($K312,AF$4),MIN($L312,EOMONTH(AF$4,0)),Assumptions!$F$4:$F$44))/NETWORKDAYS($K312,$L312,Assumptions!$F$4:$F$44))</f>
        <v>0</v>
      </c>
      <c r="AG312" s="21" t="n">
        <f aca="false">IF($J312=0,0,MAX(0,NETWORKDAYS(MAX($K312,AG$4),MIN($L312,EOMONTH(AG$4,0)),Assumptions!$F$4:$F$44))/NETWORKDAYS($K312,$L312,Assumptions!$F$4:$F$44))</f>
        <v>0</v>
      </c>
      <c r="AH312" s="21" t="n">
        <f aca="false">IF($J312=0,0,MAX(0,NETWORKDAYS(MAX($K312,AH$4),MIN($L312,EOMONTH(AH$4,0)),Assumptions!$F$4:$F$44))/NETWORKDAYS($K312,$L312,Assumptions!$F$4:$F$44))</f>
        <v>0</v>
      </c>
      <c r="AI312" s="21" t="n">
        <f aca="false">IF($J312=0,0,MAX(0,NETWORKDAYS(MAX($K312,AI$4),MIN($L312,EOMONTH(AI$4,0)),Assumptions!$F$4:$F$44))/NETWORKDAYS($K312,$L312,Assumptions!$F$4:$F$44))</f>
        <v>0</v>
      </c>
      <c r="AJ312" s="21" t="n">
        <f aca="false">IF($J312=0,0,MAX(0,NETWORKDAYS(MAX($K312,AJ$4),MIN($L312,EOMONTH(AJ$4,0)),Assumptions!$F$4:$F$44))/NETWORKDAYS($K312,$L312,Assumptions!$F$4:$F$44))</f>
        <v>0</v>
      </c>
      <c r="AK312" s="21" t="n">
        <f aca="false">IF($J312=0,0,MAX(0,NETWORKDAYS(MAX($K312,AK$4),MIN($L312,EOMONTH(AK$4,0)),Assumptions!$F$4:$F$44))/NETWORKDAYS($K312,$L312,Assumptions!$F$4:$F$44))</f>
        <v>0</v>
      </c>
      <c r="AL312" s="21" t="n">
        <f aca="false">IF($J312=0,0,MAX(0,NETWORKDAYS(MAX($K312,AL$4),MIN($L312,EOMONTH(AL$4,0)),Assumptions!$F$4:$F$44))/NETWORKDAYS($K312,$L312,Assumptions!$F$4:$F$44))</f>
        <v>0</v>
      </c>
      <c r="AM312" s="21" t="n">
        <f aca="false">IF($J312=0,0,MAX(0,NETWORKDAYS(MAX($K312,AM$4),MIN($L312,EOMONTH(AM$4,0)),Assumptions!$F$4:$F$44))/NETWORKDAYS($K312,$L312,Assumptions!$F$4:$F$44))</f>
        <v>0</v>
      </c>
      <c r="AN312" s="21" t="n">
        <f aca="false">IF($J312=0,0,MAX(0,NETWORKDAYS(MAX($K312,AN$4),MIN($L312,EOMONTH(AN$4,0)),Assumptions!$F$4:$F$44))/NETWORKDAYS($K312,$L312,Assumptions!$F$4:$F$44))</f>
        <v>0.5</v>
      </c>
      <c r="AO312" s="21" t="n">
        <f aca="false">IF($J312=0,0,MAX(0,NETWORKDAYS(MAX($K312,AO$4),MIN($L312,EOMONTH(AO$4,0)),Assumptions!$F$4:$F$44))/NETWORKDAYS($K312,$L312,Assumptions!$F$4:$F$44))</f>
        <v>0.5</v>
      </c>
      <c r="AP312" s="21" t="n">
        <f aca="false">IF($J312=0,0,MAX(0,NETWORKDAYS(MAX($K312,AP$4),MIN($L312,EOMONTH(AP$4,0)),Assumptions!$F$4:$F$44))/NETWORKDAYS($K312,$L312,Assumptions!$F$4:$F$44))</f>
        <v>0</v>
      </c>
      <c r="AQ312" s="21" t="n">
        <f aca="false">IF($J312=0,0,MAX(0,NETWORKDAYS(MAX($K312,AQ$4),MIN($L312,EOMONTH(AQ$4,0)),Assumptions!$F$4:$F$44))/NETWORKDAYS($K312,$L312,Assumptions!$F$4:$F$44))</f>
        <v>0</v>
      </c>
      <c r="AR312" s="21" t="n">
        <f aca="false">IF($J312=0,0,MAX(0,NETWORKDAYS(MAX($K312,AR$4),MIN($L312,EOMONTH(AR$4,0)),Assumptions!$F$4:$F$44))/NETWORKDAYS($K312,$L312,Assumptions!$F$4:$F$44))</f>
        <v>0</v>
      </c>
      <c r="AS312" s="21" t="n">
        <f aca="false">IF($J312=0,0,MAX(0,NETWORKDAYS(MAX($K312,AS$4),MIN($L312,EOMONTH(AS$4,0)),Assumptions!$F$4:$F$44))/NETWORKDAYS($K312,$L312,Assumptions!$F$4:$F$44))</f>
        <v>0</v>
      </c>
      <c r="AT312" s="21" t="n">
        <f aca="false">IF($J312=0,0,MAX(0,NETWORKDAYS(MAX($K312,AT$4),MIN($L312,EOMONTH(AT$4,0)),Assumptions!$F$4:$F$44))/NETWORKDAYS($K312,$L312,Assumptions!$F$4:$F$44))</f>
        <v>0</v>
      </c>
      <c r="AU312" s="21" t="n">
        <f aca="false">IF($J312=0,0,MAX(0,NETWORKDAYS(MAX($K312,AU$4),MIN($L312,EOMONTH(AU$4,0)),Assumptions!$F$4:$F$44))/NETWORKDAYS($K312,$L312,Assumptions!$F$4:$F$44))</f>
        <v>0</v>
      </c>
      <c r="AV312" s="21" t="n">
        <f aca="false">IF($J312=0,0,MAX(0,NETWORKDAYS(MAX($K312,AV$4),MIN($L312,EOMONTH(AV$4,0)),Assumptions!$F$4:$F$44))/NETWORKDAYS($K312,$L312,Assumptions!$F$4:$F$44))</f>
        <v>0</v>
      </c>
      <c r="AW312" s="21" t="n">
        <f aca="false">IF($J312=0,0,MAX(0,NETWORKDAYS(MAX($K312,AW$4),MIN($L312,EOMONTH(AW$4,0)),Assumptions!$F$4:$F$44))/NETWORKDAYS($K312,$L312,Assumptions!$F$4:$F$44))</f>
        <v>0</v>
      </c>
      <c r="AX312" s="21" t="n">
        <f aca="false">IF($J312=0,0,MAX(0,NETWORKDAYS(MAX($K312,AX$4),MIN($L312,EOMONTH(AX$4,0)),Assumptions!$F$4:$F$44))/NETWORKDAYS($K312,$L312,Assumptions!$F$4:$F$44))</f>
        <v>0</v>
      </c>
      <c r="AY312" s="21" t="n">
        <f aca="false">IF($J312=0,0,MAX(0,NETWORKDAYS(MAX($K312,AY$4),MIN($L312,EOMONTH(AY$4,0)),Assumptions!$F$4:$F$44))/NETWORKDAYS($K312,$L312,Assumptions!$F$4:$F$44))</f>
        <v>0</v>
      </c>
      <c r="AZ312" s="21" t="n">
        <f aca="false">IF($J312=0,0,MAX(0,NETWORKDAYS(MAX($K312,AZ$4),MIN($L312,EOMONTH(AZ$4,0)),Assumptions!$F$4:$F$44))/NETWORKDAYS($K312,$L312,Assumptions!$F$4:$F$44))</f>
        <v>0</v>
      </c>
      <c r="BA312" s="21" t="n">
        <f aca="false">IF($J312=0,0,MAX(0,NETWORKDAYS(MAX($K312,BA$4),MIN($L312,EOMONTH(BA$4,0)),Assumptions!$F$4:$F$44))/NETWORKDAYS($K312,$L312,Assumptions!$F$4:$F$44))</f>
        <v>0</v>
      </c>
      <c r="BB312" s="21" t="n">
        <f aca="false">IF($J312=0,0,MAX(0,NETWORKDAYS(MAX($K312,BB$4),MIN($L312,EOMONTH(BB$4,0)),Assumptions!$F$4:$F$44))/NETWORKDAYS($K312,$L312,Assumptions!$F$4:$F$44))</f>
        <v>0</v>
      </c>
      <c r="BC312" s="21" t="n">
        <f aca="false">IF($J312=0,0,MAX(0,NETWORKDAYS(MAX($K312,BC$4),MIN($L312,EOMONTH(BC$4,0)),Assumptions!$F$4:$F$44))/NETWORKDAYS($K312,$L312,Assumptions!$F$4:$F$44))</f>
        <v>0</v>
      </c>
    </row>
    <row r="313" customFormat="false" ht="15" hidden="false" customHeight="false" outlineLevel="2" collapsed="false">
      <c r="A313" s="27" t="n">
        <v>309</v>
      </c>
      <c r="B313" s="27" t="s">
        <v>698</v>
      </c>
      <c r="C313" s="27" t="n">
        <v>3</v>
      </c>
      <c r="D313" s="27" t="s">
        <v>92</v>
      </c>
      <c r="E313" s="28" t="s">
        <v>300</v>
      </c>
      <c r="F313" s="27" t="s">
        <v>681</v>
      </c>
      <c r="G313" s="27" t="s">
        <v>692</v>
      </c>
      <c r="H313" s="27" t="s">
        <v>49</v>
      </c>
      <c r="I313" s="29" t="n">
        <v>187</v>
      </c>
      <c r="J313" s="29" t="n">
        <v>16</v>
      </c>
      <c r="K313" s="30" t="n">
        <f aca="false">WORKDAY(Assumptions!$C$4,I313,Assumptions!$F$4:$F$44)</f>
        <v>46589</v>
      </c>
      <c r="L313" s="30" t="n">
        <f aca="false">IF(J313=0,K313,WORKDAY(K313,J313-1,Assumptions!$F$4:$F$44))</f>
        <v>46610</v>
      </c>
      <c r="M313" s="29" t="s">
        <v>697</v>
      </c>
      <c r="N313" s="31" t="n">
        <v>0</v>
      </c>
      <c r="O313" s="31" t="n">
        <v>2</v>
      </c>
      <c r="P313" s="31" t="n">
        <v>0</v>
      </c>
      <c r="Q313" s="31" t="n">
        <v>0</v>
      </c>
      <c r="R313" s="31" t="n">
        <v>5</v>
      </c>
      <c r="S313" s="31" t="n">
        <v>0</v>
      </c>
      <c r="T313" s="31" t="n">
        <v>0</v>
      </c>
      <c r="U313" s="31" t="n">
        <v>0</v>
      </c>
      <c r="V313" s="31" t="n">
        <v>0</v>
      </c>
      <c r="W313" s="31" t="n">
        <v>0</v>
      </c>
      <c r="X313" s="31" t="n">
        <v>0</v>
      </c>
      <c r="Y313" s="32" t="n">
        <f aca="false">SUM(N313:X313)</f>
        <v>7</v>
      </c>
      <c r="Z313" s="32" t="n">
        <f aca="false">Y313*(1+Assumptions!$C$5)</f>
        <v>8.05</v>
      </c>
      <c r="AA313" s="27" t="s">
        <v>301</v>
      </c>
      <c r="AB313" s="27" t="s">
        <v>95</v>
      </c>
      <c r="AC313" s="27"/>
      <c r="AD313" s="33" t="n">
        <v>0</v>
      </c>
      <c r="AF313" s="21" t="n">
        <f aca="false">IF($J313=0,0,MAX(0,NETWORKDAYS(MAX($K313,AF$4),MIN($L313,EOMONTH(AF$4,0)),Assumptions!$F$4:$F$44))/NETWORKDAYS($K313,$L313,Assumptions!$F$4:$F$44))</f>
        <v>0</v>
      </c>
      <c r="AG313" s="21" t="n">
        <f aca="false">IF($J313=0,0,MAX(0,NETWORKDAYS(MAX($K313,AG$4),MIN($L313,EOMONTH(AG$4,0)),Assumptions!$F$4:$F$44))/NETWORKDAYS($K313,$L313,Assumptions!$F$4:$F$44))</f>
        <v>0</v>
      </c>
      <c r="AH313" s="21" t="n">
        <f aca="false">IF($J313=0,0,MAX(0,NETWORKDAYS(MAX($K313,AH$4),MIN($L313,EOMONTH(AH$4,0)),Assumptions!$F$4:$F$44))/NETWORKDAYS($K313,$L313,Assumptions!$F$4:$F$44))</f>
        <v>0</v>
      </c>
      <c r="AI313" s="21" t="n">
        <f aca="false">IF($J313=0,0,MAX(0,NETWORKDAYS(MAX($K313,AI$4),MIN($L313,EOMONTH(AI$4,0)),Assumptions!$F$4:$F$44))/NETWORKDAYS($K313,$L313,Assumptions!$F$4:$F$44))</f>
        <v>0</v>
      </c>
      <c r="AJ313" s="21" t="n">
        <f aca="false">IF($J313=0,0,MAX(0,NETWORKDAYS(MAX($K313,AJ$4),MIN($L313,EOMONTH(AJ$4,0)),Assumptions!$F$4:$F$44))/NETWORKDAYS($K313,$L313,Assumptions!$F$4:$F$44))</f>
        <v>0</v>
      </c>
      <c r="AK313" s="21" t="n">
        <f aca="false">IF($J313=0,0,MAX(0,NETWORKDAYS(MAX($K313,AK$4),MIN($L313,EOMONTH(AK$4,0)),Assumptions!$F$4:$F$44))/NETWORKDAYS($K313,$L313,Assumptions!$F$4:$F$44))</f>
        <v>0</v>
      </c>
      <c r="AL313" s="21" t="n">
        <f aca="false">IF($J313=0,0,MAX(0,NETWORKDAYS(MAX($K313,AL$4),MIN($L313,EOMONTH(AL$4,0)),Assumptions!$F$4:$F$44))/NETWORKDAYS($K313,$L313,Assumptions!$F$4:$F$44))</f>
        <v>0</v>
      </c>
      <c r="AM313" s="21" t="n">
        <f aca="false">IF($J313=0,0,MAX(0,NETWORKDAYS(MAX($K313,AM$4),MIN($L313,EOMONTH(AM$4,0)),Assumptions!$F$4:$F$44))/NETWORKDAYS($K313,$L313,Assumptions!$F$4:$F$44))</f>
        <v>0</v>
      </c>
      <c r="AN313" s="21" t="n">
        <f aca="false">IF($J313=0,0,MAX(0,NETWORKDAYS(MAX($K313,AN$4),MIN($L313,EOMONTH(AN$4,0)),Assumptions!$F$4:$F$44))/NETWORKDAYS($K313,$L313,Assumptions!$F$4:$F$44))</f>
        <v>0.5</v>
      </c>
      <c r="AO313" s="21" t="n">
        <f aca="false">IF($J313=0,0,MAX(0,NETWORKDAYS(MAX($K313,AO$4),MIN($L313,EOMONTH(AO$4,0)),Assumptions!$F$4:$F$44))/NETWORKDAYS($K313,$L313,Assumptions!$F$4:$F$44))</f>
        <v>0.5</v>
      </c>
      <c r="AP313" s="21" t="n">
        <f aca="false">IF($J313=0,0,MAX(0,NETWORKDAYS(MAX($K313,AP$4),MIN($L313,EOMONTH(AP$4,0)),Assumptions!$F$4:$F$44))/NETWORKDAYS($K313,$L313,Assumptions!$F$4:$F$44))</f>
        <v>0</v>
      </c>
      <c r="AQ313" s="21" t="n">
        <f aca="false">IF($J313=0,0,MAX(0,NETWORKDAYS(MAX($K313,AQ$4),MIN($L313,EOMONTH(AQ$4,0)),Assumptions!$F$4:$F$44))/NETWORKDAYS($K313,$L313,Assumptions!$F$4:$F$44))</f>
        <v>0</v>
      </c>
      <c r="AR313" s="21" t="n">
        <f aca="false">IF($J313=0,0,MAX(0,NETWORKDAYS(MAX($K313,AR$4),MIN($L313,EOMONTH(AR$4,0)),Assumptions!$F$4:$F$44))/NETWORKDAYS($K313,$L313,Assumptions!$F$4:$F$44))</f>
        <v>0</v>
      </c>
      <c r="AS313" s="21" t="n">
        <f aca="false">IF($J313=0,0,MAX(0,NETWORKDAYS(MAX($K313,AS$4),MIN($L313,EOMONTH(AS$4,0)),Assumptions!$F$4:$F$44))/NETWORKDAYS($K313,$L313,Assumptions!$F$4:$F$44))</f>
        <v>0</v>
      </c>
      <c r="AT313" s="21" t="n">
        <f aca="false">IF($J313=0,0,MAX(0,NETWORKDAYS(MAX($K313,AT$4),MIN($L313,EOMONTH(AT$4,0)),Assumptions!$F$4:$F$44))/NETWORKDAYS($K313,$L313,Assumptions!$F$4:$F$44))</f>
        <v>0</v>
      </c>
      <c r="AU313" s="21" t="n">
        <f aca="false">IF($J313=0,0,MAX(0,NETWORKDAYS(MAX($K313,AU$4),MIN($L313,EOMONTH(AU$4,0)),Assumptions!$F$4:$F$44))/NETWORKDAYS($K313,$L313,Assumptions!$F$4:$F$44))</f>
        <v>0</v>
      </c>
      <c r="AV313" s="21" t="n">
        <f aca="false">IF($J313=0,0,MAX(0,NETWORKDAYS(MAX($K313,AV$4),MIN($L313,EOMONTH(AV$4,0)),Assumptions!$F$4:$F$44))/NETWORKDAYS($K313,$L313,Assumptions!$F$4:$F$44))</f>
        <v>0</v>
      </c>
      <c r="AW313" s="21" t="n">
        <f aca="false">IF($J313=0,0,MAX(0,NETWORKDAYS(MAX($K313,AW$4),MIN($L313,EOMONTH(AW$4,0)),Assumptions!$F$4:$F$44))/NETWORKDAYS($K313,$L313,Assumptions!$F$4:$F$44))</f>
        <v>0</v>
      </c>
      <c r="AX313" s="21" t="n">
        <f aca="false">IF($J313=0,0,MAX(0,NETWORKDAYS(MAX($K313,AX$4),MIN($L313,EOMONTH(AX$4,0)),Assumptions!$F$4:$F$44))/NETWORKDAYS($K313,$L313,Assumptions!$F$4:$F$44))</f>
        <v>0</v>
      </c>
      <c r="AY313" s="21" t="n">
        <f aca="false">IF($J313=0,0,MAX(0,NETWORKDAYS(MAX($K313,AY$4),MIN($L313,EOMONTH(AY$4,0)),Assumptions!$F$4:$F$44))/NETWORKDAYS($K313,$L313,Assumptions!$F$4:$F$44))</f>
        <v>0</v>
      </c>
      <c r="AZ313" s="21" t="n">
        <f aca="false">IF($J313=0,0,MAX(0,NETWORKDAYS(MAX($K313,AZ$4),MIN($L313,EOMONTH(AZ$4,0)),Assumptions!$F$4:$F$44))/NETWORKDAYS($K313,$L313,Assumptions!$F$4:$F$44))</f>
        <v>0</v>
      </c>
      <c r="BA313" s="21" t="n">
        <f aca="false">IF($J313=0,0,MAX(0,NETWORKDAYS(MAX($K313,BA$4),MIN($L313,EOMONTH(BA$4,0)),Assumptions!$F$4:$F$44))/NETWORKDAYS($K313,$L313,Assumptions!$F$4:$F$44))</f>
        <v>0</v>
      </c>
      <c r="BB313" s="21" t="n">
        <f aca="false">IF($J313=0,0,MAX(0,NETWORKDAYS(MAX($K313,BB$4),MIN($L313,EOMONTH(BB$4,0)),Assumptions!$F$4:$F$44))/NETWORKDAYS($K313,$L313,Assumptions!$F$4:$F$44))</f>
        <v>0</v>
      </c>
      <c r="BC313" s="21" t="n">
        <f aca="false">IF($J313=0,0,MAX(0,NETWORKDAYS(MAX($K313,BC$4),MIN($L313,EOMONTH(BC$4,0)),Assumptions!$F$4:$F$44))/NETWORKDAYS($K313,$L313,Assumptions!$F$4:$F$44))</f>
        <v>0</v>
      </c>
    </row>
    <row r="314" customFormat="false" ht="15" hidden="false" customHeight="false" outlineLevel="2" collapsed="false">
      <c r="A314" s="27" t="n">
        <v>310</v>
      </c>
      <c r="B314" s="27" t="s">
        <v>699</v>
      </c>
      <c r="C314" s="27" t="n">
        <v>3</v>
      </c>
      <c r="D314" s="27" t="s">
        <v>92</v>
      </c>
      <c r="E314" s="28" t="s">
        <v>303</v>
      </c>
      <c r="F314" s="27" t="s">
        <v>681</v>
      </c>
      <c r="G314" s="27" t="s">
        <v>692</v>
      </c>
      <c r="H314" s="27" t="s">
        <v>47</v>
      </c>
      <c r="I314" s="29" t="n">
        <v>200</v>
      </c>
      <c r="J314" s="29" t="n">
        <v>55</v>
      </c>
      <c r="K314" s="30" t="n">
        <f aca="false">WORKDAY(Assumptions!$C$4,I314,Assumptions!$F$4:$F$44)</f>
        <v>46608</v>
      </c>
      <c r="L314" s="30" t="n">
        <f aca="false">IF(J314=0,K314,WORKDAY(K314,J314-1,Assumptions!$F$4:$F$44))</f>
        <v>46682</v>
      </c>
      <c r="M314" s="29" t="s">
        <v>700</v>
      </c>
      <c r="N314" s="31" t="n">
        <v>0</v>
      </c>
      <c r="O314" s="31" t="n">
        <v>0</v>
      </c>
      <c r="P314" s="31" t="n">
        <v>0</v>
      </c>
      <c r="Q314" s="31" t="n">
        <v>27</v>
      </c>
      <c r="R314" s="31" t="n">
        <v>0</v>
      </c>
      <c r="S314" s="31" t="n">
        <v>0</v>
      </c>
      <c r="T314" s="31" t="n">
        <v>0</v>
      </c>
      <c r="U314" s="31" t="n">
        <v>0</v>
      </c>
      <c r="V314" s="31" t="n">
        <v>0</v>
      </c>
      <c r="W314" s="31" t="n">
        <v>0</v>
      </c>
      <c r="X314" s="31" t="n">
        <v>0</v>
      </c>
      <c r="Y314" s="32" t="n">
        <f aca="false">SUM(N314:X314)</f>
        <v>27</v>
      </c>
      <c r="Z314" s="32" t="n">
        <f aca="false">Y314*(1+Assumptions!$C$5)</f>
        <v>31.05</v>
      </c>
      <c r="AA314" s="27" t="s">
        <v>305</v>
      </c>
      <c r="AB314" s="27" t="s">
        <v>95</v>
      </c>
      <c r="AC314" s="27"/>
      <c r="AD314" s="33" t="n">
        <v>0</v>
      </c>
      <c r="AF314" s="21" t="n">
        <f aca="false">IF($J314=0,0,MAX(0,NETWORKDAYS(MAX($K314,AF$4),MIN($L314,EOMONTH(AF$4,0)),Assumptions!$F$4:$F$44))/NETWORKDAYS($K314,$L314,Assumptions!$F$4:$F$44))</f>
        <v>0</v>
      </c>
      <c r="AG314" s="21" t="n">
        <f aca="false">IF($J314=0,0,MAX(0,NETWORKDAYS(MAX($K314,AG$4),MIN($L314,EOMONTH(AG$4,0)),Assumptions!$F$4:$F$44))/NETWORKDAYS($K314,$L314,Assumptions!$F$4:$F$44))</f>
        <v>0</v>
      </c>
      <c r="AH314" s="21" t="n">
        <f aca="false">IF($J314=0,0,MAX(0,NETWORKDAYS(MAX($K314,AH$4),MIN($L314,EOMONTH(AH$4,0)),Assumptions!$F$4:$F$44))/NETWORKDAYS($K314,$L314,Assumptions!$F$4:$F$44))</f>
        <v>0</v>
      </c>
      <c r="AI314" s="21" t="n">
        <f aca="false">IF($J314=0,0,MAX(0,NETWORKDAYS(MAX($K314,AI$4),MIN($L314,EOMONTH(AI$4,0)),Assumptions!$F$4:$F$44))/NETWORKDAYS($K314,$L314,Assumptions!$F$4:$F$44))</f>
        <v>0</v>
      </c>
      <c r="AJ314" s="21" t="n">
        <f aca="false">IF($J314=0,0,MAX(0,NETWORKDAYS(MAX($K314,AJ$4),MIN($L314,EOMONTH(AJ$4,0)),Assumptions!$F$4:$F$44))/NETWORKDAYS($K314,$L314,Assumptions!$F$4:$F$44))</f>
        <v>0</v>
      </c>
      <c r="AK314" s="21" t="n">
        <f aca="false">IF($J314=0,0,MAX(0,NETWORKDAYS(MAX($K314,AK$4),MIN($L314,EOMONTH(AK$4,0)),Assumptions!$F$4:$F$44))/NETWORKDAYS($K314,$L314,Assumptions!$F$4:$F$44))</f>
        <v>0</v>
      </c>
      <c r="AL314" s="21" t="n">
        <f aca="false">IF($J314=0,0,MAX(0,NETWORKDAYS(MAX($K314,AL$4),MIN($L314,EOMONTH(AL$4,0)),Assumptions!$F$4:$F$44))/NETWORKDAYS($K314,$L314,Assumptions!$F$4:$F$44))</f>
        <v>0</v>
      </c>
      <c r="AM314" s="21" t="n">
        <f aca="false">IF($J314=0,0,MAX(0,NETWORKDAYS(MAX($K314,AM$4),MIN($L314,EOMONTH(AM$4,0)),Assumptions!$F$4:$F$44))/NETWORKDAYS($K314,$L314,Assumptions!$F$4:$F$44))</f>
        <v>0</v>
      </c>
      <c r="AN314" s="21" t="n">
        <f aca="false">IF($J314=0,0,MAX(0,NETWORKDAYS(MAX($K314,AN$4),MIN($L314,EOMONTH(AN$4,0)),Assumptions!$F$4:$F$44))/NETWORKDAYS($K314,$L314,Assumptions!$F$4:$F$44))</f>
        <v>0</v>
      </c>
      <c r="AO314" s="21" t="n">
        <f aca="false">IF($J314=0,0,MAX(0,NETWORKDAYS(MAX($K314,AO$4),MIN($L314,EOMONTH(AO$4,0)),Assumptions!$F$4:$F$44))/NETWORKDAYS($K314,$L314,Assumptions!$F$4:$F$44))</f>
        <v>0.309090909090909</v>
      </c>
      <c r="AP314" s="21" t="n">
        <f aca="false">IF($J314=0,0,MAX(0,NETWORKDAYS(MAX($K314,AP$4),MIN($L314,EOMONTH(AP$4,0)),Assumptions!$F$4:$F$44))/NETWORKDAYS($K314,$L314,Assumptions!$F$4:$F$44))</f>
        <v>0.4</v>
      </c>
      <c r="AQ314" s="21" t="n">
        <f aca="false">IF($J314=0,0,MAX(0,NETWORKDAYS(MAX($K314,AQ$4),MIN($L314,EOMONTH(AQ$4,0)),Assumptions!$F$4:$F$44))/NETWORKDAYS($K314,$L314,Assumptions!$F$4:$F$44))</f>
        <v>0.290909090909091</v>
      </c>
      <c r="AR314" s="21" t="n">
        <f aca="false">IF($J314=0,0,MAX(0,NETWORKDAYS(MAX($K314,AR$4),MIN($L314,EOMONTH(AR$4,0)),Assumptions!$F$4:$F$44))/NETWORKDAYS($K314,$L314,Assumptions!$F$4:$F$44))</f>
        <v>0</v>
      </c>
      <c r="AS314" s="21" t="n">
        <f aca="false">IF($J314=0,0,MAX(0,NETWORKDAYS(MAX($K314,AS$4),MIN($L314,EOMONTH(AS$4,0)),Assumptions!$F$4:$F$44))/NETWORKDAYS($K314,$L314,Assumptions!$F$4:$F$44))</f>
        <v>0</v>
      </c>
      <c r="AT314" s="21" t="n">
        <f aca="false">IF($J314=0,0,MAX(0,NETWORKDAYS(MAX($K314,AT$4),MIN($L314,EOMONTH(AT$4,0)),Assumptions!$F$4:$F$44))/NETWORKDAYS($K314,$L314,Assumptions!$F$4:$F$44))</f>
        <v>0</v>
      </c>
      <c r="AU314" s="21" t="n">
        <f aca="false">IF($J314=0,0,MAX(0,NETWORKDAYS(MAX($K314,AU$4),MIN($L314,EOMONTH(AU$4,0)),Assumptions!$F$4:$F$44))/NETWORKDAYS($K314,$L314,Assumptions!$F$4:$F$44))</f>
        <v>0</v>
      </c>
      <c r="AV314" s="21" t="n">
        <f aca="false">IF($J314=0,0,MAX(0,NETWORKDAYS(MAX($K314,AV$4),MIN($L314,EOMONTH(AV$4,0)),Assumptions!$F$4:$F$44))/NETWORKDAYS($K314,$L314,Assumptions!$F$4:$F$44))</f>
        <v>0</v>
      </c>
      <c r="AW314" s="21" t="n">
        <f aca="false">IF($J314=0,0,MAX(0,NETWORKDAYS(MAX($K314,AW$4),MIN($L314,EOMONTH(AW$4,0)),Assumptions!$F$4:$F$44))/NETWORKDAYS($K314,$L314,Assumptions!$F$4:$F$44))</f>
        <v>0</v>
      </c>
      <c r="AX314" s="21" t="n">
        <f aca="false">IF($J314=0,0,MAX(0,NETWORKDAYS(MAX($K314,AX$4),MIN($L314,EOMONTH(AX$4,0)),Assumptions!$F$4:$F$44))/NETWORKDAYS($K314,$L314,Assumptions!$F$4:$F$44))</f>
        <v>0</v>
      </c>
      <c r="AY314" s="21" t="n">
        <f aca="false">IF($J314=0,0,MAX(0,NETWORKDAYS(MAX($K314,AY$4),MIN($L314,EOMONTH(AY$4,0)),Assumptions!$F$4:$F$44))/NETWORKDAYS($K314,$L314,Assumptions!$F$4:$F$44))</f>
        <v>0</v>
      </c>
      <c r="AZ314" s="21" t="n">
        <f aca="false">IF($J314=0,0,MAX(0,NETWORKDAYS(MAX($K314,AZ$4),MIN($L314,EOMONTH(AZ$4,0)),Assumptions!$F$4:$F$44))/NETWORKDAYS($K314,$L314,Assumptions!$F$4:$F$44))</f>
        <v>0</v>
      </c>
      <c r="BA314" s="21" t="n">
        <f aca="false">IF($J314=0,0,MAX(0,NETWORKDAYS(MAX($K314,BA$4),MIN($L314,EOMONTH(BA$4,0)),Assumptions!$F$4:$F$44))/NETWORKDAYS($K314,$L314,Assumptions!$F$4:$F$44))</f>
        <v>0</v>
      </c>
      <c r="BB314" s="21" t="n">
        <f aca="false">IF($J314=0,0,MAX(0,NETWORKDAYS(MAX($K314,BB$4),MIN($L314,EOMONTH(BB$4,0)),Assumptions!$F$4:$F$44))/NETWORKDAYS($K314,$L314,Assumptions!$F$4:$F$44))</f>
        <v>0</v>
      </c>
      <c r="BC314" s="21" t="n">
        <f aca="false">IF($J314=0,0,MAX(0,NETWORKDAYS(MAX($K314,BC$4),MIN($L314,EOMONTH(BC$4,0)),Assumptions!$F$4:$F$44))/NETWORKDAYS($K314,$L314,Assumptions!$F$4:$F$44))</f>
        <v>0</v>
      </c>
    </row>
    <row r="315" customFormat="false" ht="15" hidden="false" customHeight="false" outlineLevel="2" collapsed="false">
      <c r="A315" s="27" t="n">
        <v>311</v>
      </c>
      <c r="B315" s="27" t="s">
        <v>701</v>
      </c>
      <c r="C315" s="27" t="n">
        <v>3</v>
      </c>
      <c r="D315" s="27" t="s">
        <v>92</v>
      </c>
      <c r="E315" s="28" t="s">
        <v>307</v>
      </c>
      <c r="F315" s="27" t="s">
        <v>681</v>
      </c>
      <c r="G315" s="27" t="s">
        <v>692</v>
      </c>
      <c r="H315" s="27" t="s">
        <v>47</v>
      </c>
      <c r="I315" s="29" t="n">
        <v>216</v>
      </c>
      <c r="J315" s="29" t="n">
        <v>40</v>
      </c>
      <c r="K315" s="30" t="n">
        <f aca="false">WORKDAY(Assumptions!$C$4,I315,Assumptions!$F$4:$F$44)</f>
        <v>46630</v>
      </c>
      <c r="L315" s="30" t="n">
        <f aca="false">IF(J315=0,K315,WORKDAY(K315,J315-1,Assumptions!$F$4:$F$44))</f>
        <v>46685</v>
      </c>
      <c r="M315" s="29" t="s">
        <v>700</v>
      </c>
      <c r="N315" s="31" t="n">
        <v>0</v>
      </c>
      <c r="O315" s="31" t="n">
        <v>4</v>
      </c>
      <c r="P315" s="31" t="n">
        <v>0</v>
      </c>
      <c r="Q315" s="31" t="n">
        <v>9</v>
      </c>
      <c r="R315" s="31" t="n">
        <v>0</v>
      </c>
      <c r="S315" s="31" t="n">
        <v>0</v>
      </c>
      <c r="T315" s="31" t="n">
        <v>0</v>
      </c>
      <c r="U315" s="31" t="n">
        <v>0</v>
      </c>
      <c r="V315" s="31" t="n">
        <v>0</v>
      </c>
      <c r="W315" s="31" t="n">
        <v>0</v>
      </c>
      <c r="X315" s="31" t="n">
        <v>0</v>
      </c>
      <c r="Y315" s="32" t="n">
        <f aca="false">SUM(N315:X315)</f>
        <v>13</v>
      </c>
      <c r="Z315" s="32" t="n">
        <f aca="false">Y315*(1+Assumptions!$C$5)</f>
        <v>14.95</v>
      </c>
      <c r="AA315" s="27" t="s">
        <v>308</v>
      </c>
      <c r="AB315" s="27" t="s">
        <v>95</v>
      </c>
      <c r="AC315" s="27"/>
      <c r="AD315" s="33" t="n">
        <v>0</v>
      </c>
      <c r="AF315" s="21" t="n">
        <f aca="false">IF($J315=0,0,MAX(0,NETWORKDAYS(MAX($K315,AF$4),MIN($L315,EOMONTH(AF$4,0)),Assumptions!$F$4:$F$44))/NETWORKDAYS($K315,$L315,Assumptions!$F$4:$F$44))</f>
        <v>0</v>
      </c>
      <c r="AG315" s="21" t="n">
        <f aca="false">IF($J315=0,0,MAX(0,NETWORKDAYS(MAX($K315,AG$4),MIN($L315,EOMONTH(AG$4,0)),Assumptions!$F$4:$F$44))/NETWORKDAYS($K315,$L315,Assumptions!$F$4:$F$44))</f>
        <v>0</v>
      </c>
      <c r="AH315" s="21" t="n">
        <f aca="false">IF($J315=0,0,MAX(0,NETWORKDAYS(MAX($K315,AH$4),MIN($L315,EOMONTH(AH$4,0)),Assumptions!$F$4:$F$44))/NETWORKDAYS($K315,$L315,Assumptions!$F$4:$F$44))</f>
        <v>0</v>
      </c>
      <c r="AI315" s="21" t="n">
        <f aca="false">IF($J315=0,0,MAX(0,NETWORKDAYS(MAX($K315,AI$4),MIN($L315,EOMONTH(AI$4,0)),Assumptions!$F$4:$F$44))/NETWORKDAYS($K315,$L315,Assumptions!$F$4:$F$44))</f>
        <v>0</v>
      </c>
      <c r="AJ315" s="21" t="n">
        <f aca="false">IF($J315=0,0,MAX(0,NETWORKDAYS(MAX($K315,AJ$4),MIN($L315,EOMONTH(AJ$4,0)),Assumptions!$F$4:$F$44))/NETWORKDAYS($K315,$L315,Assumptions!$F$4:$F$44))</f>
        <v>0</v>
      </c>
      <c r="AK315" s="21" t="n">
        <f aca="false">IF($J315=0,0,MAX(0,NETWORKDAYS(MAX($K315,AK$4),MIN($L315,EOMONTH(AK$4,0)),Assumptions!$F$4:$F$44))/NETWORKDAYS($K315,$L315,Assumptions!$F$4:$F$44))</f>
        <v>0</v>
      </c>
      <c r="AL315" s="21" t="n">
        <f aca="false">IF($J315=0,0,MAX(0,NETWORKDAYS(MAX($K315,AL$4),MIN($L315,EOMONTH(AL$4,0)),Assumptions!$F$4:$F$44))/NETWORKDAYS($K315,$L315,Assumptions!$F$4:$F$44))</f>
        <v>0</v>
      </c>
      <c r="AM315" s="21" t="n">
        <f aca="false">IF($J315=0,0,MAX(0,NETWORKDAYS(MAX($K315,AM$4),MIN($L315,EOMONTH(AM$4,0)),Assumptions!$F$4:$F$44))/NETWORKDAYS($K315,$L315,Assumptions!$F$4:$F$44))</f>
        <v>0</v>
      </c>
      <c r="AN315" s="21" t="n">
        <f aca="false">IF($J315=0,0,MAX(0,NETWORKDAYS(MAX($K315,AN$4),MIN($L315,EOMONTH(AN$4,0)),Assumptions!$F$4:$F$44))/NETWORKDAYS($K315,$L315,Assumptions!$F$4:$F$44))</f>
        <v>0</v>
      </c>
      <c r="AO315" s="21" t="n">
        <f aca="false">IF($J315=0,0,MAX(0,NETWORKDAYS(MAX($K315,AO$4),MIN($L315,EOMONTH(AO$4,0)),Assumptions!$F$4:$F$44))/NETWORKDAYS($K315,$L315,Assumptions!$F$4:$F$44))</f>
        <v>0.025</v>
      </c>
      <c r="AP315" s="21" t="n">
        <f aca="false">IF($J315=0,0,MAX(0,NETWORKDAYS(MAX($K315,AP$4),MIN($L315,EOMONTH(AP$4,0)),Assumptions!$F$4:$F$44))/NETWORKDAYS($K315,$L315,Assumptions!$F$4:$F$44))</f>
        <v>0.55</v>
      </c>
      <c r="AQ315" s="21" t="n">
        <f aca="false">IF($J315=0,0,MAX(0,NETWORKDAYS(MAX($K315,AQ$4),MIN($L315,EOMONTH(AQ$4,0)),Assumptions!$F$4:$F$44))/NETWORKDAYS($K315,$L315,Assumptions!$F$4:$F$44))</f>
        <v>0.425</v>
      </c>
      <c r="AR315" s="21" t="n">
        <f aca="false">IF($J315=0,0,MAX(0,NETWORKDAYS(MAX($K315,AR$4),MIN($L315,EOMONTH(AR$4,0)),Assumptions!$F$4:$F$44))/NETWORKDAYS($K315,$L315,Assumptions!$F$4:$F$44))</f>
        <v>0</v>
      </c>
      <c r="AS315" s="21" t="n">
        <f aca="false">IF($J315=0,0,MAX(0,NETWORKDAYS(MAX($K315,AS$4),MIN($L315,EOMONTH(AS$4,0)),Assumptions!$F$4:$F$44))/NETWORKDAYS($K315,$L315,Assumptions!$F$4:$F$44))</f>
        <v>0</v>
      </c>
      <c r="AT315" s="21" t="n">
        <f aca="false">IF($J315=0,0,MAX(0,NETWORKDAYS(MAX($K315,AT$4),MIN($L315,EOMONTH(AT$4,0)),Assumptions!$F$4:$F$44))/NETWORKDAYS($K315,$L315,Assumptions!$F$4:$F$44))</f>
        <v>0</v>
      </c>
      <c r="AU315" s="21" t="n">
        <f aca="false">IF($J315=0,0,MAX(0,NETWORKDAYS(MAX($K315,AU$4),MIN($L315,EOMONTH(AU$4,0)),Assumptions!$F$4:$F$44))/NETWORKDAYS($K315,$L315,Assumptions!$F$4:$F$44))</f>
        <v>0</v>
      </c>
      <c r="AV315" s="21" t="n">
        <f aca="false">IF($J315=0,0,MAX(0,NETWORKDAYS(MAX($K315,AV$4),MIN($L315,EOMONTH(AV$4,0)),Assumptions!$F$4:$F$44))/NETWORKDAYS($K315,$L315,Assumptions!$F$4:$F$44))</f>
        <v>0</v>
      </c>
      <c r="AW315" s="21" t="n">
        <f aca="false">IF($J315=0,0,MAX(0,NETWORKDAYS(MAX($K315,AW$4),MIN($L315,EOMONTH(AW$4,0)),Assumptions!$F$4:$F$44))/NETWORKDAYS($K315,$L315,Assumptions!$F$4:$F$44))</f>
        <v>0</v>
      </c>
      <c r="AX315" s="21" t="n">
        <f aca="false">IF($J315=0,0,MAX(0,NETWORKDAYS(MAX($K315,AX$4),MIN($L315,EOMONTH(AX$4,0)),Assumptions!$F$4:$F$44))/NETWORKDAYS($K315,$L315,Assumptions!$F$4:$F$44))</f>
        <v>0</v>
      </c>
      <c r="AY315" s="21" t="n">
        <f aca="false">IF($J315=0,0,MAX(0,NETWORKDAYS(MAX($K315,AY$4),MIN($L315,EOMONTH(AY$4,0)),Assumptions!$F$4:$F$44))/NETWORKDAYS($K315,$L315,Assumptions!$F$4:$F$44))</f>
        <v>0</v>
      </c>
      <c r="AZ315" s="21" t="n">
        <f aca="false">IF($J315=0,0,MAX(0,NETWORKDAYS(MAX($K315,AZ$4),MIN($L315,EOMONTH(AZ$4,0)),Assumptions!$F$4:$F$44))/NETWORKDAYS($K315,$L315,Assumptions!$F$4:$F$44))</f>
        <v>0</v>
      </c>
      <c r="BA315" s="21" t="n">
        <f aca="false">IF($J315=0,0,MAX(0,NETWORKDAYS(MAX($K315,BA$4),MIN($L315,EOMONTH(BA$4,0)),Assumptions!$F$4:$F$44))/NETWORKDAYS($K315,$L315,Assumptions!$F$4:$F$44))</f>
        <v>0</v>
      </c>
      <c r="BB315" s="21" t="n">
        <f aca="false">IF($J315=0,0,MAX(0,NETWORKDAYS(MAX($K315,BB$4),MIN($L315,EOMONTH(BB$4,0)),Assumptions!$F$4:$F$44))/NETWORKDAYS($K315,$L315,Assumptions!$F$4:$F$44))</f>
        <v>0</v>
      </c>
      <c r="BC315" s="21" t="n">
        <f aca="false">IF($J315=0,0,MAX(0,NETWORKDAYS(MAX($K315,BC$4),MIN($L315,EOMONTH(BC$4,0)),Assumptions!$F$4:$F$44))/NETWORKDAYS($K315,$L315,Assumptions!$F$4:$F$44))</f>
        <v>0</v>
      </c>
    </row>
    <row r="316" customFormat="false" ht="15" hidden="false" customHeight="false" outlineLevel="2" collapsed="false">
      <c r="A316" s="27" t="n">
        <v>312</v>
      </c>
      <c r="B316" s="27" t="s">
        <v>702</v>
      </c>
      <c r="C316" s="27" t="n">
        <v>3</v>
      </c>
      <c r="D316" s="27" t="s">
        <v>92</v>
      </c>
      <c r="E316" s="28" t="s">
        <v>310</v>
      </c>
      <c r="F316" s="27" t="s">
        <v>681</v>
      </c>
      <c r="G316" s="27" t="s">
        <v>692</v>
      </c>
      <c r="H316" s="27" t="s">
        <v>49</v>
      </c>
      <c r="I316" s="29" t="n">
        <v>209</v>
      </c>
      <c r="J316" s="29" t="n">
        <v>53</v>
      </c>
      <c r="K316" s="30" t="n">
        <f aca="false">WORKDAY(Assumptions!$C$4,I316,Assumptions!$F$4:$F$44)</f>
        <v>46619</v>
      </c>
      <c r="L316" s="30" t="n">
        <f aca="false">IF(J316=0,K316,WORKDAY(K316,J316-1,Assumptions!$F$4:$F$44))</f>
        <v>46693</v>
      </c>
      <c r="M316" s="29" t="s">
        <v>703</v>
      </c>
      <c r="N316" s="31" t="n">
        <v>0</v>
      </c>
      <c r="O316" s="31" t="n">
        <v>0</v>
      </c>
      <c r="P316" s="31" t="n">
        <v>0</v>
      </c>
      <c r="Q316" s="31" t="n">
        <v>0</v>
      </c>
      <c r="R316" s="31" t="n">
        <v>22</v>
      </c>
      <c r="S316" s="31" t="n">
        <v>0</v>
      </c>
      <c r="T316" s="31" t="n">
        <v>0</v>
      </c>
      <c r="U316" s="31" t="n">
        <v>0</v>
      </c>
      <c r="V316" s="31" t="n">
        <v>0</v>
      </c>
      <c r="W316" s="31" t="n">
        <v>0</v>
      </c>
      <c r="X316" s="31" t="n">
        <v>0</v>
      </c>
      <c r="Y316" s="32" t="n">
        <f aca="false">SUM(N316:X316)</f>
        <v>22</v>
      </c>
      <c r="Z316" s="32" t="n">
        <f aca="false">Y316*(1+Assumptions!$C$5)</f>
        <v>25.3</v>
      </c>
      <c r="AA316" s="27" t="s">
        <v>312</v>
      </c>
      <c r="AB316" s="27" t="s">
        <v>95</v>
      </c>
      <c r="AC316" s="27"/>
      <c r="AD316" s="33" t="n">
        <v>0</v>
      </c>
      <c r="AF316" s="21" t="n">
        <f aca="false">IF($J316=0,0,MAX(0,NETWORKDAYS(MAX($K316,AF$4),MIN($L316,EOMONTH(AF$4,0)),Assumptions!$F$4:$F$44))/NETWORKDAYS($K316,$L316,Assumptions!$F$4:$F$44))</f>
        <v>0</v>
      </c>
      <c r="AG316" s="21" t="n">
        <f aca="false">IF($J316=0,0,MAX(0,NETWORKDAYS(MAX($K316,AG$4),MIN($L316,EOMONTH(AG$4,0)),Assumptions!$F$4:$F$44))/NETWORKDAYS($K316,$L316,Assumptions!$F$4:$F$44))</f>
        <v>0</v>
      </c>
      <c r="AH316" s="21" t="n">
        <f aca="false">IF($J316=0,0,MAX(0,NETWORKDAYS(MAX($K316,AH$4),MIN($L316,EOMONTH(AH$4,0)),Assumptions!$F$4:$F$44))/NETWORKDAYS($K316,$L316,Assumptions!$F$4:$F$44))</f>
        <v>0</v>
      </c>
      <c r="AI316" s="21" t="n">
        <f aca="false">IF($J316=0,0,MAX(0,NETWORKDAYS(MAX($K316,AI$4),MIN($L316,EOMONTH(AI$4,0)),Assumptions!$F$4:$F$44))/NETWORKDAYS($K316,$L316,Assumptions!$F$4:$F$44))</f>
        <v>0</v>
      </c>
      <c r="AJ316" s="21" t="n">
        <f aca="false">IF($J316=0,0,MAX(0,NETWORKDAYS(MAX($K316,AJ$4),MIN($L316,EOMONTH(AJ$4,0)),Assumptions!$F$4:$F$44))/NETWORKDAYS($K316,$L316,Assumptions!$F$4:$F$44))</f>
        <v>0</v>
      </c>
      <c r="AK316" s="21" t="n">
        <f aca="false">IF($J316=0,0,MAX(0,NETWORKDAYS(MAX($K316,AK$4),MIN($L316,EOMONTH(AK$4,0)),Assumptions!$F$4:$F$44))/NETWORKDAYS($K316,$L316,Assumptions!$F$4:$F$44))</f>
        <v>0</v>
      </c>
      <c r="AL316" s="21" t="n">
        <f aca="false">IF($J316=0,0,MAX(0,NETWORKDAYS(MAX($K316,AL$4),MIN($L316,EOMONTH(AL$4,0)),Assumptions!$F$4:$F$44))/NETWORKDAYS($K316,$L316,Assumptions!$F$4:$F$44))</f>
        <v>0</v>
      </c>
      <c r="AM316" s="21" t="n">
        <f aca="false">IF($J316=0,0,MAX(0,NETWORKDAYS(MAX($K316,AM$4),MIN($L316,EOMONTH(AM$4,0)),Assumptions!$F$4:$F$44))/NETWORKDAYS($K316,$L316,Assumptions!$F$4:$F$44))</f>
        <v>0</v>
      </c>
      <c r="AN316" s="21" t="n">
        <f aca="false">IF($J316=0,0,MAX(0,NETWORKDAYS(MAX($K316,AN$4),MIN($L316,EOMONTH(AN$4,0)),Assumptions!$F$4:$F$44))/NETWORKDAYS($K316,$L316,Assumptions!$F$4:$F$44))</f>
        <v>0</v>
      </c>
      <c r="AO316" s="21" t="n">
        <f aca="false">IF($J316=0,0,MAX(0,NETWORKDAYS(MAX($K316,AO$4),MIN($L316,EOMONTH(AO$4,0)),Assumptions!$F$4:$F$44))/NETWORKDAYS($K316,$L316,Assumptions!$F$4:$F$44))</f>
        <v>0.150943396226415</v>
      </c>
      <c r="AP316" s="21" t="n">
        <f aca="false">IF($J316=0,0,MAX(0,NETWORKDAYS(MAX($K316,AP$4),MIN($L316,EOMONTH(AP$4,0)),Assumptions!$F$4:$F$44))/NETWORKDAYS($K316,$L316,Assumptions!$F$4:$F$44))</f>
        <v>0.415094339622642</v>
      </c>
      <c r="AQ316" s="21" t="n">
        <f aca="false">IF($J316=0,0,MAX(0,NETWORKDAYS(MAX($K316,AQ$4),MIN($L316,EOMONTH(AQ$4,0)),Assumptions!$F$4:$F$44))/NETWORKDAYS($K316,$L316,Assumptions!$F$4:$F$44))</f>
        <v>0.39622641509434</v>
      </c>
      <c r="AR316" s="21" t="n">
        <f aca="false">IF($J316=0,0,MAX(0,NETWORKDAYS(MAX($K316,AR$4),MIN($L316,EOMONTH(AR$4,0)),Assumptions!$F$4:$F$44))/NETWORKDAYS($K316,$L316,Assumptions!$F$4:$F$44))</f>
        <v>0.0377358490566038</v>
      </c>
      <c r="AS316" s="21" t="n">
        <f aca="false">IF($J316=0,0,MAX(0,NETWORKDAYS(MAX($K316,AS$4),MIN($L316,EOMONTH(AS$4,0)),Assumptions!$F$4:$F$44))/NETWORKDAYS($K316,$L316,Assumptions!$F$4:$F$44))</f>
        <v>0</v>
      </c>
      <c r="AT316" s="21" t="n">
        <f aca="false">IF($J316=0,0,MAX(0,NETWORKDAYS(MAX($K316,AT$4),MIN($L316,EOMONTH(AT$4,0)),Assumptions!$F$4:$F$44))/NETWORKDAYS($K316,$L316,Assumptions!$F$4:$F$44))</f>
        <v>0</v>
      </c>
      <c r="AU316" s="21" t="n">
        <f aca="false">IF($J316=0,0,MAX(0,NETWORKDAYS(MAX($K316,AU$4),MIN($L316,EOMONTH(AU$4,0)),Assumptions!$F$4:$F$44))/NETWORKDAYS($K316,$L316,Assumptions!$F$4:$F$44))</f>
        <v>0</v>
      </c>
      <c r="AV316" s="21" t="n">
        <f aca="false">IF($J316=0,0,MAX(0,NETWORKDAYS(MAX($K316,AV$4),MIN($L316,EOMONTH(AV$4,0)),Assumptions!$F$4:$F$44))/NETWORKDAYS($K316,$L316,Assumptions!$F$4:$F$44))</f>
        <v>0</v>
      </c>
      <c r="AW316" s="21" t="n">
        <f aca="false">IF($J316=0,0,MAX(0,NETWORKDAYS(MAX($K316,AW$4),MIN($L316,EOMONTH(AW$4,0)),Assumptions!$F$4:$F$44))/NETWORKDAYS($K316,$L316,Assumptions!$F$4:$F$44))</f>
        <v>0</v>
      </c>
      <c r="AX316" s="21" t="n">
        <f aca="false">IF($J316=0,0,MAX(0,NETWORKDAYS(MAX($K316,AX$4),MIN($L316,EOMONTH(AX$4,0)),Assumptions!$F$4:$F$44))/NETWORKDAYS($K316,$L316,Assumptions!$F$4:$F$44))</f>
        <v>0</v>
      </c>
      <c r="AY316" s="21" t="n">
        <f aca="false">IF($J316=0,0,MAX(0,NETWORKDAYS(MAX($K316,AY$4),MIN($L316,EOMONTH(AY$4,0)),Assumptions!$F$4:$F$44))/NETWORKDAYS($K316,$L316,Assumptions!$F$4:$F$44))</f>
        <v>0</v>
      </c>
      <c r="AZ316" s="21" t="n">
        <f aca="false">IF($J316=0,0,MAX(0,NETWORKDAYS(MAX($K316,AZ$4),MIN($L316,EOMONTH(AZ$4,0)),Assumptions!$F$4:$F$44))/NETWORKDAYS($K316,$L316,Assumptions!$F$4:$F$44))</f>
        <v>0</v>
      </c>
      <c r="BA316" s="21" t="n">
        <f aca="false">IF($J316=0,0,MAX(0,NETWORKDAYS(MAX($K316,BA$4),MIN($L316,EOMONTH(BA$4,0)),Assumptions!$F$4:$F$44))/NETWORKDAYS($K316,$L316,Assumptions!$F$4:$F$44))</f>
        <v>0</v>
      </c>
      <c r="BB316" s="21" t="n">
        <f aca="false">IF($J316=0,0,MAX(0,NETWORKDAYS(MAX($K316,BB$4),MIN($L316,EOMONTH(BB$4,0)),Assumptions!$F$4:$F$44))/NETWORKDAYS($K316,$L316,Assumptions!$F$4:$F$44))</f>
        <v>0</v>
      </c>
      <c r="BC316" s="21" t="n">
        <f aca="false">IF($J316=0,0,MAX(0,NETWORKDAYS(MAX($K316,BC$4),MIN($L316,EOMONTH(BC$4,0)),Assumptions!$F$4:$F$44))/NETWORKDAYS($K316,$L316,Assumptions!$F$4:$F$44))</f>
        <v>0</v>
      </c>
    </row>
    <row r="317" customFormat="false" ht="15" hidden="false" customHeight="false" outlineLevel="2" collapsed="false">
      <c r="A317" s="27" t="n">
        <v>313</v>
      </c>
      <c r="B317" s="27" t="s">
        <v>704</v>
      </c>
      <c r="C317" s="27" t="n">
        <v>3</v>
      </c>
      <c r="D317" s="27" t="s">
        <v>92</v>
      </c>
      <c r="E317" s="28" t="s">
        <v>317</v>
      </c>
      <c r="F317" s="27" t="s">
        <v>681</v>
      </c>
      <c r="G317" s="27" t="s">
        <v>692</v>
      </c>
      <c r="H317" s="27" t="s">
        <v>51</v>
      </c>
      <c r="I317" s="29" t="n">
        <v>222</v>
      </c>
      <c r="J317" s="29" t="n">
        <v>40</v>
      </c>
      <c r="K317" s="30" t="n">
        <f aca="false">WORKDAY(Assumptions!$C$4,I317,Assumptions!$F$4:$F$44)</f>
        <v>46638</v>
      </c>
      <c r="L317" s="30" t="n">
        <f aca="false">IF(J317=0,K317,WORKDAY(K317,J317-1,Assumptions!$F$4:$F$44))</f>
        <v>46693</v>
      </c>
      <c r="M317" s="29" t="s">
        <v>703</v>
      </c>
      <c r="N317" s="31" t="n">
        <v>0</v>
      </c>
      <c r="O317" s="31" t="n">
        <v>0</v>
      </c>
      <c r="P317" s="31" t="n">
        <v>0</v>
      </c>
      <c r="Q317" s="31" t="n">
        <v>0</v>
      </c>
      <c r="R317" s="31" t="n">
        <v>0</v>
      </c>
      <c r="S317" s="31" t="n">
        <v>11</v>
      </c>
      <c r="T317" s="31" t="n">
        <v>0</v>
      </c>
      <c r="U317" s="31" t="n">
        <v>0</v>
      </c>
      <c r="V317" s="31" t="n">
        <v>0</v>
      </c>
      <c r="W317" s="31" t="n">
        <v>0</v>
      </c>
      <c r="X317" s="31" t="n">
        <v>0</v>
      </c>
      <c r="Y317" s="32" t="n">
        <f aca="false">SUM(N317:X317)</f>
        <v>11</v>
      </c>
      <c r="Z317" s="32" t="n">
        <f aca="false">Y317*(1+Assumptions!$C$5)</f>
        <v>12.65</v>
      </c>
      <c r="AA317" s="27" t="s">
        <v>318</v>
      </c>
      <c r="AB317" s="27" t="s">
        <v>95</v>
      </c>
      <c r="AC317" s="27"/>
      <c r="AD317" s="33" t="n">
        <v>0</v>
      </c>
      <c r="AF317" s="21" t="n">
        <f aca="false">IF($J317=0,0,MAX(0,NETWORKDAYS(MAX($K317,AF$4),MIN($L317,EOMONTH(AF$4,0)),Assumptions!$F$4:$F$44))/NETWORKDAYS($K317,$L317,Assumptions!$F$4:$F$44))</f>
        <v>0</v>
      </c>
      <c r="AG317" s="21" t="n">
        <f aca="false">IF($J317=0,0,MAX(0,NETWORKDAYS(MAX($K317,AG$4),MIN($L317,EOMONTH(AG$4,0)),Assumptions!$F$4:$F$44))/NETWORKDAYS($K317,$L317,Assumptions!$F$4:$F$44))</f>
        <v>0</v>
      </c>
      <c r="AH317" s="21" t="n">
        <f aca="false">IF($J317=0,0,MAX(0,NETWORKDAYS(MAX($K317,AH$4),MIN($L317,EOMONTH(AH$4,0)),Assumptions!$F$4:$F$44))/NETWORKDAYS($K317,$L317,Assumptions!$F$4:$F$44))</f>
        <v>0</v>
      </c>
      <c r="AI317" s="21" t="n">
        <f aca="false">IF($J317=0,0,MAX(0,NETWORKDAYS(MAX($K317,AI$4),MIN($L317,EOMONTH(AI$4,0)),Assumptions!$F$4:$F$44))/NETWORKDAYS($K317,$L317,Assumptions!$F$4:$F$44))</f>
        <v>0</v>
      </c>
      <c r="AJ317" s="21" t="n">
        <f aca="false">IF($J317=0,0,MAX(0,NETWORKDAYS(MAX($K317,AJ$4),MIN($L317,EOMONTH(AJ$4,0)),Assumptions!$F$4:$F$44))/NETWORKDAYS($K317,$L317,Assumptions!$F$4:$F$44))</f>
        <v>0</v>
      </c>
      <c r="AK317" s="21" t="n">
        <f aca="false">IF($J317=0,0,MAX(0,NETWORKDAYS(MAX($K317,AK$4),MIN($L317,EOMONTH(AK$4,0)),Assumptions!$F$4:$F$44))/NETWORKDAYS($K317,$L317,Assumptions!$F$4:$F$44))</f>
        <v>0</v>
      </c>
      <c r="AL317" s="21" t="n">
        <f aca="false">IF($J317=0,0,MAX(0,NETWORKDAYS(MAX($K317,AL$4),MIN($L317,EOMONTH(AL$4,0)),Assumptions!$F$4:$F$44))/NETWORKDAYS($K317,$L317,Assumptions!$F$4:$F$44))</f>
        <v>0</v>
      </c>
      <c r="AM317" s="21" t="n">
        <f aca="false">IF($J317=0,0,MAX(0,NETWORKDAYS(MAX($K317,AM$4),MIN($L317,EOMONTH(AM$4,0)),Assumptions!$F$4:$F$44))/NETWORKDAYS($K317,$L317,Assumptions!$F$4:$F$44))</f>
        <v>0</v>
      </c>
      <c r="AN317" s="21" t="n">
        <f aca="false">IF($J317=0,0,MAX(0,NETWORKDAYS(MAX($K317,AN$4),MIN($L317,EOMONTH(AN$4,0)),Assumptions!$F$4:$F$44))/NETWORKDAYS($K317,$L317,Assumptions!$F$4:$F$44))</f>
        <v>0</v>
      </c>
      <c r="AO317" s="21" t="n">
        <f aca="false">IF($J317=0,0,MAX(0,NETWORKDAYS(MAX($K317,AO$4),MIN($L317,EOMONTH(AO$4,0)),Assumptions!$F$4:$F$44))/NETWORKDAYS($K317,$L317,Assumptions!$F$4:$F$44))</f>
        <v>0</v>
      </c>
      <c r="AP317" s="21" t="n">
        <f aca="false">IF($J317=0,0,MAX(0,NETWORKDAYS(MAX($K317,AP$4),MIN($L317,EOMONTH(AP$4,0)),Assumptions!$F$4:$F$44))/NETWORKDAYS($K317,$L317,Assumptions!$F$4:$F$44))</f>
        <v>0.425</v>
      </c>
      <c r="AQ317" s="21" t="n">
        <f aca="false">IF($J317=0,0,MAX(0,NETWORKDAYS(MAX($K317,AQ$4),MIN($L317,EOMONTH(AQ$4,0)),Assumptions!$F$4:$F$44))/NETWORKDAYS($K317,$L317,Assumptions!$F$4:$F$44))</f>
        <v>0.525</v>
      </c>
      <c r="AR317" s="21" t="n">
        <f aca="false">IF($J317=0,0,MAX(0,NETWORKDAYS(MAX($K317,AR$4),MIN($L317,EOMONTH(AR$4,0)),Assumptions!$F$4:$F$44))/NETWORKDAYS($K317,$L317,Assumptions!$F$4:$F$44))</f>
        <v>0.05</v>
      </c>
      <c r="AS317" s="21" t="n">
        <f aca="false">IF($J317=0,0,MAX(0,NETWORKDAYS(MAX($K317,AS$4),MIN($L317,EOMONTH(AS$4,0)),Assumptions!$F$4:$F$44))/NETWORKDAYS($K317,$L317,Assumptions!$F$4:$F$44))</f>
        <v>0</v>
      </c>
      <c r="AT317" s="21" t="n">
        <f aca="false">IF($J317=0,0,MAX(0,NETWORKDAYS(MAX($K317,AT$4),MIN($L317,EOMONTH(AT$4,0)),Assumptions!$F$4:$F$44))/NETWORKDAYS($K317,$L317,Assumptions!$F$4:$F$44))</f>
        <v>0</v>
      </c>
      <c r="AU317" s="21" t="n">
        <f aca="false">IF($J317=0,0,MAX(0,NETWORKDAYS(MAX($K317,AU$4),MIN($L317,EOMONTH(AU$4,0)),Assumptions!$F$4:$F$44))/NETWORKDAYS($K317,$L317,Assumptions!$F$4:$F$44))</f>
        <v>0</v>
      </c>
      <c r="AV317" s="21" t="n">
        <f aca="false">IF($J317=0,0,MAX(0,NETWORKDAYS(MAX($K317,AV$4),MIN($L317,EOMONTH(AV$4,0)),Assumptions!$F$4:$F$44))/NETWORKDAYS($K317,$L317,Assumptions!$F$4:$F$44))</f>
        <v>0</v>
      </c>
      <c r="AW317" s="21" t="n">
        <f aca="false">IF($J317=0,0,MAX(0,NETWORKDAYS(MAX($K317,AW$4),MIN($L317,EOMONTH(AW$4,0)),Assumptions!$F$4:$F$44))/NETWORKDAYS($K317,$L317,Assumptions!$F$4:$F$44))</f>
        <v>0</v>
      </c>
      <c r="AX317" s="21" t="n">
        <f aca="false">IF($J317=0,0,MAX(0,NETWORKDAYS(MAX($K317,AX$4),MIN($L317,EOMONTH(AX$4,0)),Assumptions!$F$4:$F$44))/NETWORKDAYS($K317,$L317,Assumptions!$F$4:$F$44))</f>
        <v>0</v>
      </c>
      <c r="AY317" s="21" t="n">
        <f aca="false">IF($J317=0,0,MAX(0,NETWORKDAYS(MAX($K317,AY$4),MIN($L317,EOMONTH(AY$4,0)),Assumptions!$F$4:$F$44))/NETWORKDAYS($K317,$L317,Assumptions!$F$4:$F$44))</f>
        <v>0</v>
      </c>
      <c r="AZ317" s="21" t="n">
        <f aca="false">IF($J317=0,0,MAX(0,NETWORKDAYS(MAX($K317,AZ$4),MIN($L317,EOMONTH(AZ$4,0)),Assumptions!$F$4:$F$44))/NETWORKDAYS($K317,$L317,Assumptions!$F$4:$F$44))</f>
        <v>0</v>
      </c>
      <c r="BA317" s="21" t="n">
        <f aca="false">IF($J317=0,0,MAX(0,NETWORKDAYS(MAX($K317,BA$4),MIN($L317,EOMONTH(BA$4,0)),Assumptions!$F$4:$F$44))/NETWORKDAYS($K317,$L317,Assumptions!$F$4:$F$44))</f>
        <v>0</v>
      </c>
      <c r="BB317" s="21" t="n">
        <f aca="false">IF($J317=0,0,MAX(0,NETWORKDAYS(MAX($K317,BB$4),MIN($L317,EOMONTH(BB$4,0)),Assumptions!$F$4:$F$44))/NETWORKDAYS($K317,$L317,Assumptions!$F$4:$F$44))</f>
        <v>0</v>
      </c>
      <c r="BC317" s="21" t="n">
        <f aca="false">IF($J317=0,0,MAX(0,NETWORKDAYS(MAX($K317,BC$4),MIN($L317,EOMONTH(BC$4,0)),Assumptions!$F$4:$F$44))/NETWORKDAYS($K317,$L317,Assumptions!$F$4:$F$44))</f>
        <v>0</v>
      </c>
    </row>
    <row r="318" customFormat="false" ht="15" hidden="false" customHeight="false" outlineLevel="2" collapsed="false">
      <c r="A318" s="27" t="n">
        <v>314</v>
      </c>
      <c r="B318" s="27" t="s">
        <v>705</v>
      </c>
      <c r="C318" s="27" t="n">
        <v>3</v>
      </c>
      <c r="D318" s="27" t="s">
        <v>92</v>
      </c>
      <c r="E318" s="28" t="s">
        <v>320</v>
      </c>
      <c r="F318" s="27" t="s">
        <v>681</v>
      </c>
      <c r="G318" s="27" t="s">
        <v>692</v>
      </c>
      <c r="H318" s="27" t="s">
        <v>53</v>
      </c>
      <c r="I318" s="29" t="n">
        <v>209</v>
      </c>
      <c r="J318" s="29" t="n">
        <v>46</v>
      </c>
      <c r="K318" s="30" t="n">
        <f aca="false">WORKDAY(Assumptions!$C$4,I318,Assumptions!$F$4:$F$44)</f>
        <v>46619</v>
      </c>
      <c r="L318" s="30" t="n">
        <f aca="false">IF(J318=0,K318,WORKDAY(K318,J318-1,Assumptions!$F$4:$F$44))</f>
        <v>46682</v>
      </c>
      <c r="M318" s="29" t="s">
        <v>700</v>
      </c>
      <c r="N318" s="31" t="n">
        <v>0</v>
      </c>
      <c r="O318" s="31" t="n">
        <v>0</v>
      </c>
      <c r="P318" s="31" t="n">
        <v>0</v>
      </c>
      <c r="Q318" s="31" t="n">
        <v>0</v>
      </c>
      <c r="R318" s="31" t="n">
        <v>0</v>
      </c>
      <c r="S318" s="31" t="n">
        <v>0</v>
      </c>
      <c r="T318" s="31" t="n">
        <v>9</v>
      </c>
      <c r="U318" s="31" t="n">
        <v>0</v>
      </c>
      <c r="V318" s="31" t="n">
        <v>0</v>
      </c>
      <c r="W318" s="31" t="n">
        <v>0</v>
      </c>
      <c r="X318" s="31" t="n">
        <v>0</v>
      </c>
      <c r="Y318" s="32" t="n">
        <f aca="false">SUM(N318:X318)</f>
        <v>9</v>
      </c>
      <c r="Z318" s="32" t="n">
        <f aca="false">Y318*(1+Assumptions!$C$5)</f>
        <v>10.35</v>
      </c>
      <c r="AA318" s="27" t="s">
        <v>321</v>
      </c>
      <c r="AB318" s="27" t="s">
        <v>95</v>
      </c>
      <c r="AC318" s="27"/>
      <c r="AD318" s="33" t="n">
        <v>0</v>
      </c>
      <c r="AF318" s="21" t="n">
        <f aca="false">IF($J318=0,0,MAX(0,NETWORKDAYS(MAX($K318,AF$4),MIN($L318,EOMONTH(AF$4,0)),Assumptions!$F$4:$F$44))/NETWORKDAYS($K318,$L318,Assumptions!$F$4:$F$44))</f>
        <v>0</v>
      </c>
      <c r="AG318" s="21" t="n">
        <f aca="false">IF($J318=0,0,MAX(0,NETWORKDAYS(MAX($K318,AG$4),MIN($L318,EOMONTH(AG$4,0)),Assumptions!$F$4:$F$44))/NETWORKDAYS($K318,$L318,Assumptions!$F$4:$F$44))</f>
        <v>0</v>
      </c>
      <c r="AH318" s="21" t="n">
        <f aca="false">IF($J318=0,0,MAX(0,NETWORKDAYS(MAX($K318,AH$4),MIN($L318,EOMONTH(AH$4,0)),Assumptions!$F$4:$F$44))/NETWORKDAYS($K318,$L318,Assumptions!$F$4:$F$44))</f>
        <v>0</v>
      </c>
      <c r="AI318" s="21" t="n">
        <f aca="false">IF($J318=0,0,MAX(0,NETWORKDAYS(MAX($K318,AI$4),MIN($L318,EOMONTH(AI$4,0)),Assumptions!$F$4:$F$44))/NETWORKDAYS($K318,$L318,Assumptions!$F$4:$F$44))</f>
        <v>0</v>
      </c>
      <c r="AJ318" s="21" t="n">
        <f aca="false">IF($J318=0,0,MAX(0,NETWORKDAYS(MAX($K318,AJ$4),MIN($L318,EOMONTH(AJ$4,0)),Assumptions!$F$4:$F$44))/NETWORKDAYS($K318,$L318,Assumptions!$F$4:$F$44))</f>
        <v>0</v>
      </c>
      <c r="AK318" s="21" t="n">
        <f aca="false">IF($J318=0,0,MAX(0,NETWORKDAYS(MAX($K318,AK$4),MIN($L318,EOMONTH(AK$4,0)),Assumptions!$F$4:$F$44))/NETWORKDAYS($K318,$L318,Assumptions!$F$4:$F$44))</f>
        <v>0</v>
      </c>
      <c r="AL318" s="21" t="n">
        <f aca="false">IF($J318=0,0,MAX(0,NETWORKDAYS(MAX($K318,AL$4),MIN($L318,EOMONTH(AL$4,0)),Assumptions!$F$4:$F$44))/NETWORKDAYS($K318,$L318,Assumptions!$F$4:$F$44))</f>
        <v>0</v>
      </c>
      <c r="AM318" s="21" t="n">
        <f aca="false">IF($J318=0,0,MAX(0,NETWORKDAYS(MAX($K318,AM$4),MIN($L318,EOMONTH(AM$4,0)),Assumptions!$F$4:$F$44))/NETWORKDAYS($K318,$L318,Assumptions!$F$4:$F$44))</f>
        <v>0</v>
      </c>
      <c r="AN318" s="21" t="n">
        <f aca="false">IF($J318=0,0,MAX(0,NETWORKDAYS(MAX($K318,AN$4),MIN($L318,EOMONTH(AN$4,0)),Assumptions!$F$4:$F$44))/NETWORKDAYS($K318,$L318,Assumptions!$F$4:$F$44))</f>
        <v>0</v>
      </c>
      <c r="AO318" s="21" t="n">
        <f aca="false">IF($J318=0,0,MAX(0,NETWORKDAYS(MAX($K318,AO$4),MIN($L318,EOMONTH(AO$4,0)),Assumptions!$F$4:$F$44))/NETWORKDAYS($K318,$L318,Assumptions!$F$4:$F$44))</f>
        <v>0.173913043478261</v>
      </c>
      <c r="AP318" s="21" t="n">
        <f aca="false">IF($J318=0,0,MAX(0,NETWORKDAYS(MAX($K318,AP$4),MIN($L318,EOMONTH(AP$4,0)),Assumptions!$F$4:$F$44))/NETWORKDAYS($K318,$L318,Assumptions!$F$4:$F$44))</f>
        <v>0.478260869565217</v>
      </c>
      <c r="AQ318" s="21" t="n">
        <f aca="false">IF($J318=0,0,MAX(0,NETWORKDAYS(MAX($K318,AQ$4),MIN($L318,EOMONTH(AQ$4,0)),Assumptions!$F$4:$F$44))/NETWORKDAYS($K318,$L318,Assumptions!$F$4:$F$44))</f>
        <v>0.347826086956522</v>
      </c>
      <c r="AR318" s="21" t="n">
        <f aca="false">IF($J318=0,0,MAX(0,NETWORKDAYS(MAX($K318,AR$4),MIN($L318,EOMONTH(AR$4,0)),Assumptions!$F$4:$F$44))/NETWORKDAYS($K318,$L318,Assumptions!$F$4:$F$44))</f>
        <v>0</v>
      </c>
      <c r="AS318" s="21" t="n">
        <f aca="false">IF($J318=0,0,MAX(0,NETWORKDAYS(MAX($K318,AS$4),MIN($L318,EOMONTH(AS$4,0)),Assumptions!$F$4:$F$44))/NETWORKDAYS($K318,$L318,Assumptions!$F$4:$F$44))</f>
        <v>0</v>
      </c>
      <c r="AT318" s="21" t="n">
        <f aca="false">IF($J318=0,0,MAX(0,NETWORKDAYS(MAX($K318,AT$4),MIN($L318,EOMONTH(AT$4,0)),Assumptions!$F$4:$F$44))/NETWORKDAYS($K318,$L318,Assumptions!$F$4:$F$44))</f>
        <v>0</v>
      </c>
      <c r="AU318" s="21" t="n">
        <f aca="false">IF($J318=0,0,MAX(0,NETWORKDAYS(MAX($K318,AU$4),MIN($L318,EOMONTH(AU$4,0)),Assumptions!$F$4:$F$44))/NETWORKDAYS($K318,$L318,Assumptions!$F$4:$F$44))</f>
        <v>0</v>
      </c>
      <c r="AV318" s="21" t="n">
        <f aca="false">IF($J318=0,0,MAX(0,NETWORKDAYS(MAX($K318,AV$4),MIN($L318,EOMONTH(AV$4,0)),Assumptions!$F$4:$F$44))/NETWORKDAYS($K318,$L318,Assumptions!$F$4:$F$44))</f>
        <v>0</v>
      </c>
      <c r="AW318" s="21" t="n">
        <f aca="false">IF($J318=0,0,MAX(0,NETWORKDAYS(MAX($K318,AW$4),MIN($L318,EOMONTH(AW$4,0)),Assumptions!$F$4:$F$44))/NETWORKDAYS($K318,$L318,Assumptions!$F$4:$F$44))</f>
        <v>0</v>
      </c>
      <c r="AX318" s="21" t="n">
        <f aca="false">IF($J318=0,0,MAX(0,NETWORKDAYS(MAX($K318,AX$4),MIN($L318,EOMONTH(AX$4,0)),Assumptions!$F$4:$F$44))/NETWORKDAYS($K318,$L318,Assumptions!$F$4:$F$44))</f>
        <v>0</v>
      </c>
      <c r="AY318" s="21" t="n">
        <f aca="false">IF($J318=0,0,MAX(0,NETWORKDAYS(MAX($K318,AY$4),MIN($L318,EOMONTH(AY$4,0)),Assumptions!$F$4:$F$44))/NETWORKDAYS($K318,$L318,Assumptions!$F$4:$F$44))</f>
        <v>0</v>
      </c>
      <c r="AZ318" s="21" t="n">
        <f aca="false">IF($J318=0,0,MAX(0,NETWORKDAYS(MAX($K318,AZ$4),MIN($L318,EOMONTH(AZ$4,0)),Assumptions!$F$4:$F$44))/NETWORKDAYS($K318,$L318,Assumptions!$F$4:$F$44))</f>
        <v>0</v>
      </c>
      <c r="BA318" s="21" t="n">
        <f aca="false">IF($J318=0,0,MAX(0,NETWORKDAYS(MAX($K318,BA$4),MIN($L318,EOMONTH(BA$4,0)),Assumptions!$F$4:$F$44))/NETWORKDAYS($K318,$L318,Assumptions!$F$4:$F$44))</f>
        <v>0</v>
      </c>
      <c r="BB318" s="21" t="n">
        <f aca="false">IF($J318=0,0,MAX(0,NETWORKDAYS(MAX($K318,BB$4),MIN($L318,EOMONTH(BB$4,0)),Assumptions!$F$4:$F$44))/NETWORKDAYS($K318,$L318,Assumptions!$F$4:$F$44))</f>
        <v>0</v>
      </c>
      <c r="BC318" s="21" t="n">
        <f aca="false">IF($J318=0,0,MAX(0,NETWORKDAYS(MAX($K318,BC$4),MIN($L318,EOMONTH(BC$4,0)),Assumptions!$F$4:$F$44))/NETWORKDAYS($K318,$L318,Assumptions!$F$4:$F$44))</f>
        <v>0</v>
      </c>
    </row>
    <row r="319" customFormat="false" ht="15" hidden="false" customHeight="false" outlineLevel="2" collapsed="false">
      <c r="A319" s="27" t="n">
        <v>315</v>
      </c>
      <c r="B319" s="27" t="s">
        <v>706</v>
      </c>
      <c r="C319" s="27" t="n">
        <v>3</v>
      </c>
      <c r="D319" s="27" t="s">
        <v>92</v>
      </c>
      <c r="E319" s="28" t="s">
        <v>707</v>
      </c>
      <c r="F319" s="27" t="s">
        <v>681</v>
      </c>
      <c r="G319" s="27" t="s">
        <v>692</v>
      </c>
      <c r="H319" s="27" t="s">
        <v>47</v>
      </c>
      <c r="I319" s="29" t="n">
        <v>229</v>
      </c>
      <c r="J319" s="29" t="n">
        <v>37</v>
      </c>
      <c r="K319" s="30" t="n">
        <f aca="false">WORKDAY(Assumptions!$C$4,I319,Assumptions!$F$4:$F$44)</f>
        <v>46647</v>
      </c>
      <c r="L319" s="30" t="n">
        <f aca="false">IF(J319=0,K319,WORKDAY(K319,J319-1,Assumptions!$F$4:$F$44))</f>
        <v>46699</v>
      </c>
      <c r="M319" s="29" t="s">
        <v>708</v>
      </c>
      <c r="N319" s="31" t="n">
        <v>0</v>
      </c>
      <c r="O319" s="31" t="n">
        <v>0</v>
      </c>
      <c r="P319" s="31" t="n">
        <v>0</v>
      </c>
      <c r="Q319" s="31" t="n">
        <v>20</v>
      </c>
      <c r="R319" s="31" t="n">
        <v>0</v>
      </c>
      <c r="S319" s="31" t="n">
        <v>0</v>
      </c>
      <c r="T319" s="31" t="n">
        <v>0</v>
      </c>
      <c r="U319" s="31" t="n">
        <v>0</v>
      </c>
      <c r="V319" s="31" t="n">
        <v>0</v>
      </c>
      <c r="W319" s="31" t="n">
        <v>0</v>
      </c>
      <c r="X319" s="31" t="n">
        <v>0</v>
      </c>
      <c r="Y319" s="32" t="n">
        <f aca="false">SUM(N319:X319)</f>
        <v>20</v>
      </c>
      <c r="Z319" s="32" t="n">
        <f aca="false">Y319*(1+Assumptions!$C$5)</f>
        <v>23</v>
      </c>
      <c r="AA319" s="27" t="s">
        <v>325</v>
      </c>
      <c r="AB319" s="27" t="s">
        <v>95</v>
      </c>
      <c r="AC319" s="27"/>
      <c r="AD319" s="33" t="n">
        <v>0</v>
      </c>
      <c r="AF319" s="21" t="n">
        <f aca="false">IF($J319=0,0,MAX(0,NETWORKDAYS(MAX($K319,AF$4),MIN($L319,EOMONTH(AF$4,0)),Assumptions!$F$4:$F$44))/NETWORKDAYS($K319,$L319,Assumptions!$F$4:$F$44))</f>
        <v>0</v>
      </c>
      <c r="AG319" s="21" t="n">
        <f aca="false">IF($J319=0,0,MAX(0,NETWORKDAYS(MAX($K319,AG$4),MIN($L319,EOMONTH(AG$4,0)),Assumptions!$F$4:$F$44))/NETWORKDAYS($K319,$L319,Assumptions!$F$4:$F$44))</f>
        <v>0</v>
      </c>
      <c r="AH319" s="21" t="n">
        <f aca="false">IF($J319=0,0,MAX(0,NETWORKDAYS(MAX($K319,AH$4),MIN($L319,EOMONTH(AH$4,0)),Assumptions!$F$4:$F$44))/NETWORKDAYS($K319,$L319,Assumptions!$F$4:$F$44))</f>
        <v>0</v>
      </c>
      <c r="AI319" s="21" t="n">
        <f aca="false">IF($J319=0,0,MAX(0,NETWORKDAYS(MAX($K319,AI$4),MIN($L319,EOMONTH(AI$4,0)),Assumptions!$F$4:$F$44))/NETWORKDAYS($K319,$L319,Assumptions!$F$4:$F$44))</f>
        <v>0</v>
      </c>
      <c r="AJ319" s="21" t="n">
        <f aca="false">IF($J319=0,0,MAX(0,NETWORKDAYS(MAX($K319,AJ$4),MIN($L319,EOMONTH(AJ$4,0)),Assumptions!$F$4:$F$44))/NETWORKDAYS($K319,$L319,Assumptions!$F$4:$F$44))</f>
        <v>0</v>
      </c>
      <c r="AK319" s="21" t="n">
        <f aca="false">IF($J319=0,0,MAX(0,NETWORKDAYS(MAX($K319,AK$4),MIN($L319,EOMONTH(AK$4,0)),Assumptions!$F$4:$F$44))/NETWORKDAYS($K319,$L319,Assumptions!$F$4:$F$44))</f>
        <v>0</v>
      </c>
      <c r="AL319" s="21" t="n">
        <f aca="false">IF($J319=0,0,MAX(0,NETWORKDAYS(MAX($K319,AL$4),MIN($L319,EOMONTH(AL$4,0)),Assumptions!$F$4:$F$44))/NETWORKDAYS($K319,$L319,Assumptions!$F$4:$F$44))</f>
        <v>0</v>
      </c>
      <c r="AM319" s="21" t="n">
        <f aca="false">IF($J319=0,0,MAX(0,NETWORKDAYS(MAX($K319,AM$4),MIN($L319,EOMONTH(AM$4,0)),Assumptions!$F$4:$F$44))/NETWORKDAYS($K319,$L319,Assumptions!$F$4:$F$44))</f>
        <v>0</v>
      </c>
      <c r="AN319" s="21" t="n">
        <f aca="false">IF($J319=0,0,MAX(0,NETWORKDAYS(MAX($K319,AN$4),MIN($L319,EOMONTH(AN$4,0)),Assumptions!$F$4:$F$44))/NETWORKDAYS($K319,$L319,Assumptions!$F$4:$F$44))</f>
        <v>0</v>
      </c>
      <c r="AO319" s="21" t="n">
        <f aca="false">IF($J319=0,0,MAX(0,NETWORKDAYS(MAX($K319,AO$4),MIN($L319,EOMONTH(AO$4,0)),Assumptions!$F$4:$F$44))/NETWORKDAYS($K319,$L319,Assumptions!$F$4:$F$44))</f>
        <v>0</v>
      </c>
      <c r="AP319" s="21" t="n">
        <f aca="false">IF($J319=0,0,MAX(0,NETWORKDAYS(MAX($K319,AP$4),MIN($L319,EOMONTH(AP$4,0)),Assumptions!$F$4:$F$44))/NETWORKDAYS($K319,$L319,Assumptions!$F$4:$F$44))</f>
        <v>0.27027027027027</v>
      </c>
      <c r="AQ319" s="21" t="n">
        <f aca="false">IF($J319=0,0,MAX(0,NETWORKDAYS(MAX($K319,AQ$4),MIN($L319,EOMONTH(AQ$4,0)),Assumptions!$F$4:$F$44))/NETWORKDAYS($K319,$L319,Assumptions!$F$4:$F$44))</f>
        <v>0.567567567567568</v>
      </c>
      <c r="AR319" s="21" t="n">
        <f aca="false">IF($J319=0,0,MAX(0,NETWORKDAYS(MAX($K319,AR$4),MIN($L319,EOMONTH(AR$4,0)),Assumptions!$F$4:$F$44))/NETWORKDAYS($K319,$L319,Assumptions!$F$4:$F$44))</f>
        <v>0.162162162162162</v>
      </c>
      <c r="AS319" s="21" t="n">
        <f aca="false">IF($J319=0,0,MAX(0,NETWORKDAYS(MAX($K319,AS$4),MIN($L319,EOMONTH(AS$4,0)),Assumptions!$F$4:$F$44))/NETWORKDAYS($K319,$L319,Assumptions!$F$4:$F$44))</f>
        <v>0</v>
      </c>
      <c r="AT319" s="21" t="n">
        <f aca="false">IF($J319=0,0,MAX(0,NETWORKDAYS(MAX($K319,AT$4),MIN($L319,EOMONTH(AT$4,0)),Assumptions!$F$4:$F$44))/NETWORKDAYS($K319,$L319,Assumptions!$F$4:$F$44))</f>
        <v>0</v>
      </c>
      <c r="AU319" s="21" t="n">
        <f aca="false">IF($J319=0,0,MAX(0,NETWORKDAYS(MAX($K319,AU$4),MIN($L319,EOMONTH(AU$4,0)),Assumptions!$F$4:$F$44))/NETWORKDAYS($K319,$L319,Assumptions!$F$4:$F$44))</f>
        <v>0</v>
      </c>
      <c r="AV319" s="21" t="n">
        <f aca="false">IF($J319=0,0,MAX(0,NETWORKDAYS(MAX($K319,AV$4),MIN($L319,EOMONTH(AV$4,0)),Assumptions!$F$4:$F$44))/NETWORKDAYS($K319,$L319,Assumptions!$F$4:$F$44))</f>
        <v>0</v>
      </c>
      <c r="AW319" s="21" t="n">
        <f aca="false">IF($J319=0,0,MAX(0,NETWORKDAYS(MAX($K319,AW$4),MIN($L319,EOMONTH(AW$4,0)),Assumptions!$F$4:$F$44))/NETWORKDAYS($K319,$L319,Assumptions!$F$4:$F$44))</f>
        <v>0</v>
      </c>
      <c r="AX319" s="21" t="n">
        <f aca="false">IF($J319=0,0,MAX(0,NETWORKDAYS(MAX($K319,AX$4),MIN($L319,EOMONTH(AX$4,0)),Assumptions!$F$4:$F$44))/NETWORKDAYS($K319,$L319,Assumptions!$F$4:$F$44))</f>
        <v>0</v>
      </c>
      <c r="AY319" s="21" t="n">
        <f aca="false">IF($J319=0,0,MAX(0,NETWORKDAYS(MAX($K319,AY$4),MIN($L319,EOMONTH(AY$4,0)),Assumptions!$F$4:$F$44))/NETWORKDAYS($K319,$L319,Assumptions!$F$4:$F$44))</f>
        <v>0</v>
      </c>
      <c r="AZ319" s="21" t="n">
        <f aca="false">IF($J319=0,0,MAX(0,NETWORKDAYS(MAX($K319,AZ$4),MIN($L319,EOMONTH(AZ$4,0)),Assumptions!$F$4:$F$44))/NETWORKDAYS($K319,$L319,Assumptions!$F$4:$F$44))</f>
        <v>0</v>
      </c>
      <c r="BA319" s="21" t="n">
        <f aca="false">IF($J319=0,0,MAX(0,NETWORKDAYS(MAX($K319,BA$4),MIN($L319,EOMONTH(BA$4,0)),Assumptions!$F$4:$F$44))/NETWORKDAYS($K319,$L319,Assumptions!$F$4:$F$44))</f>
        <v>0</v>
      </c>
      <c r="BB319" s="21" t="n">
        <f aca="false">IF($J319=0,0,MAX(0,NETWORKDAYS(MAX($K319,BB$4),MIN($L319,EOMONTH(BB$4,0)),Assumptions!$F$4:$F$44))/NETWORKDAYS($K319,$L319,Assumptions!$F$4:$F$44))</f>
        <v>0</v>
      </c>
      <c r="BC319" s="21" t="n">
        <f aca="false">IF($J319=0,0,MAX(0,NETWORKDAYS(MAX($K319,BC$4),MIN($L319,EOMONTH(BC$4,0)),Assumptions!$F$4:$F$44))/NETWORKDAYS($K319,$L319,Assumptions!$F$4:$F$44))</f>
        <v>0</v>
      </c>
    </row>
    <row r="320" customFormat="false" ht="15" hidden="false" customHeight="false" outlineLevel="2" collapsed="false">
      <c r="A320" s="27" t="n">
        <v>316</v>
      </c>
      <c r="B320" s="27" t="s">
        <v>709</v>
      </c>
      <c r="C320" s="27" t="n">
        <v>3</v>
      </c>
      <c r="D320" s="27" t="s">
        <v>92</v>
      </c>
      <c r="E320" s="28" t="s">
        <v>530</v>
      </c>
      <c r="F320" s="27" t="s">
        <v>681</v>
      </c>
      <c r="G320" s="27" t="s">
        <v>692</v>
      </c>
      <c r="H320" s="27" t="s">
        <v>47</v>
      </c>
      <c r="I320" s="29" t="n">
        <v>222</v>
      </c>
      <c r="J320" s="29" t="n">
        <v>44</v>
      </c>
      <c r="K320" s="30" t="n">
        <f aca="false">WORKDAY(Assumptions!$C$4,I320,Assumptions!$F$4:$F$44)</f>
        <v>46638</v>
      </c>
      <c r="L320" s="30" t="n">
        <f aca="false">IF(J320=0,K320,WORKDAY(K320,J320-1,Assumptions!$F$4:$F$44))</f>
        <v>46699</v>
      </c>
      <c r="M320" s="29" t="s">
        <v>700</v>
      </c>
      <c r="N320" s="31" t="n">
        <v>0</v>
      </c>
      <c r="O320" s="31" t="n">
        <v>0</v>
      </c>
      <c r="P320" s="31" t="n">
        <v>0</v>
      </c>
      <c r="Q320" s="31" t="n">
        <v>15</v>
      </c>
      <c r="R320" s="31" t="n">
        <v>0</v>
      </c>
      <c r="S320" s="31" t="n">
        <v>0</v>
      </c>
      <c r="T320" s="31" t="n">
        <v>0</v>
      </c>
      <c r="U320" s="31" t="n">
        <v>0</v>
      </c>
      <c r="V320" s="31" t="n">
        <v>3</v>
      </c>
      <c r="W320" s="31" t="n">
        <v>0</v>
      </c>
      <c r="X320" s="31" t="n">
        <v>0</v>
      </c>
      <c r="Y320" s="32" t="n">
        <f aca="false">SUM(N320:X320)</f>
        <v>18</v>
      </c>
      <c r="Z320" s="32" t="n">
        <f aca="false">Y320*(1+Assumptions!$C$5)</f>
        <v>20.7</v>
      </c>
      <c r="AA320" s="27" t="s">
        <v>328</v>
      </c>
      <c r="AB320" s="27" t="s">
        <v>95</v>
      </c>
      <c r="AC320" s="27"/>
      <c r="AD320" s="33" t="n">
        <v>0</v>
      </c>
      <c r="AF320" s="21" t="n">
        <f aca="false">IF($J320=0,0,MAX(0,NETWORKDAYS(MAX($K320,AF$4),MIN($L320,EOMONTH(AF$4,0)),Assumptions!$F$4:$F$44))/NETWORKDAYS($K320,$L320,Assumptions!$F$4:$F$44))</f>
        <v>0</v>
      </c>
      <c r="AG320" s="21" t="n">
        <f aca="false">IF($J320=0,0,MAX(0,NETWORKDAYS(MAX($K320,AG$4),MIN($L320,EOMONTH(AG$4,0)),Assumptions!$F$4:$F$44))/NETWORKDAYS($K320,$L320,Assumptions!$F$4:$F$44))</f>
        <v>0</v>
      </c>
      <c r="AH320" s="21" t="n">
        <f aca="false">IF($J320=0,0,MAX(0,NETWORKDAYS(MAX($K320,AH$4),MIN($L320,EOMONTH(AH$4,0)),Assumptions!$F$4:$F$44))/NETWORKDAYS($K320,$L320,Assumptions!$F$4:$F$44))</f>
        <v>0</v>
      </c>
      <c r="AI320" s="21" t="n">
        <f aca="false">IF($J320=0,0,MAX(0,NETWORKDAYS(MAX($K320,AI$4),MIN($L320,EOMONTH(AI$4,0)),Assumptions!$F$4:$F$44))/NETWORKDAYS($K320,$L320,Assumptions!$F$4:$F$44))</f>
        <v>0</v>
      </c>
      <c r="AJ320" s="21" t="n">
        <f aca="false">IF($J320=0,0,MAX(0,NETWORKDAYS(MAX($K320,AJ$4),MIN($L320,EOMONTH(AJ$4,0)),Assumptions!$F$4:$F$44))/NETWORKDAYS($K320,$L320,Assumptions!$F$4:$F$44))</f>
        <v>0</v>
      </c>
      <c r="AK320" s="21" t="n">
        <f aca="false">IF($J320=0,0,MAX(0,NETWORKDAYS(MAX($K320,AK$4),MIN($L320,EOMONTH(AK$4,0)),Assumptions!$F$4:$F$44))/NETWORKDAYS($K320,$L320,Assumptions!$F$4:$F$44))</f>
        <v>0</v>
      </c>
      <c r="AL320" s="21" t="n">
        <f aca="false">IF($J320=0,0,MAX(0,NETWORKDAYS(MAX($K320,AL$4),MIN($L320,EOMONTH(AL$4,0)),Assumptions!$F$4:$F$44))/NETWORKDAYS($K320,$L320,Assumptions!$F$4:$F$44))</f>
        <v>0</v>
      </c>
      <c r="AM320" s="21" t="n">
        <f aca="false">IF($J320=0,0,MAX(0,NETWORKDAYS(MAX($K320,AM$4),MIN($L320,EOMONTH(AM$4,0)),Assumptions!$F$4:$F$44))/NETWORKDAYS($K320,$L320,Assumptions!$F$4:$F$44))</f>
        <v>0</v>
      </c>
      <c r="AN320" s="21" t="n">
        <f aca="false">IF($J320=0,0,MAX(0,NETWORKDAYS(MAX($K320,AN$4),MIN($L320,EOMONTH(AN$4,0)),Assumptions!$F$4:$F$44))/NETWORKDAYS($K320,$L320,Assumptions!$F$4:$F$44))</f>
        <v>0</v>
      </c>
      <c r="AO320" s="21" t="n">
        <f aca="false">IF($J320=0,0,MAX(0,NETWORKDAYS(MAX($K320,AO$4),MIN($L320,EOMONTH(AO$4,0)),Assumptions!$F$4:$F$44))/NETWORKDAYS($K320,$L320,Assumptions!$F$4:$F$44))</f>
        <v>0</v>
      </c>
      <c r="AP320" s="21" t="n">
        <f aca="false">IF($J320=0,0,MAX(0,NETWORKDAYS(MAX($K320,AP$4),MIN($L320,EOMONTH(AP$4,0)),Assumptions!$F$4:$F$44))/NETWORKDAYS($K320,$L320,Assumptions!$F$4:$F$44))</f>
        <v>0.386363636363636</v>
      </c>
      <c r="AQ320" s="21" t="n">
        <f aca="false">IF($J320=0,0,MAX(0,NETWORKDAYS(MAX($K320,AQ$4),MIN($L320,EOMONTH(AQ$4,0)),Assumptions!$F$4:$F$44))/NETWORKDAYS($K320,$L320,Assumptions!$F$4:$F$44))</f>
        <v>0.477272727272727</v>
      </c>
      <c r="AR320" s="21" t="n">
        <f aca="false">IF($J320=0,0,MAX(0,NETWORKDAYS(MAX($K320,AR$4),MIN($L320,EOMONTH(AR$4,0)),Assumptions!$F$4:$F$44))/NETWORKDAYS($K320,$L320,Assumptions!$F$4:$F$44))</f>
        <v>0.136363636363636</v>
      </c>
      <c r="AS320" s="21" t="n">
        <f aca="false">IF($J320=0,0,MAX(0,NETWORKDAYS(MAX($K320,AS$4),MIN($L320,EOMONTH(AS$4,0)),Assumptions!$F$4:$F$44))/NETWORKDAYS($K320,$L320,Assumptions!$F$4:$F$44))</f>
        <v>0</v>
      </c>
      <c r="AT320" s="21" t="n">
        <f aca="false">IF($J320=0,0,MAX(0,NETWORKDAYS(MAX($K320,AT$4),MIN($L320,EOMONTH(AT$4,0)),Assumptions!$F$4:$F$44))/NETWORKDAYS($K320,$L320,Assumptions!$F$4:$F$44))</f>
        <v>0</v>
      </c>
      <c r="AU320" s="21" t="n">
        <f aca="false">IF($J320=0,0,MAX(0,NETWORKDAYS(MAX($K320,AU$4),MIN($L320,EOMONTH(AU$4,0)),Assumptions!$F$4:$F$44))/NETWORKDAYS($K320,$L320,Assumptions!$F$4:$F$44))</f>
        <v>0</v>
      </c>
      <c r="AV320" s="21" t="n">
        <f aca="false">IF($J320=0,0,MAX(0,NETWORKDAYS(MAX($K320,AV$4),MIN($L320,EOMONTH(AV$4,0)),Assumptions!$F$4:$F$44))/NETWORKDAYS($K320,$L320,Assumptions!$F$4:$F$44))</f>
        <v>0</v>
      </c>
      <c r="AW320" s="21" t="n">
        <f aca="false">IF($J320=0,0,MAX(0,NETWORKDAYS(MAX($K320,AW$4),MIN($L320,EOMONTH(AW$4,0)),Assumptions!$F$4:$F$44))/NETWORKDAYS($K320,$L320,Assumptions!$F$4:$F$44))</f>
        <v>0</v>
      </c>
      <c r="AX320" s="21" t="n">
        <f aca="false">IF($J320=0,0,MAX(0,NETWORKDAYS(MAX($K320,AX$4),MIN($L320,EOMONTH(AX$4,0)),Assumptions!$F$4:$F$44))/NETWORKDAYS($K320,$L320,Assumptions!$F$4:$F$44))</f>
        <v>0</v>
      </c>
      <c r="AY320" s="21" t="n">
        <f aca="false">IF($J320=0,0,MAX(0,NETWORKDAYS(MAX($K320,AY$4),MIN($L320,EOMONTH(AY$4,0)),Assumptions!$F$4:$F$44))/NETWORKDAYS($K320,$L320,Assumptions!$F$4:$F$44))</f>
        <v>0</v>
      </c>
      <c r="AZ320" s="21" t="n">
        <f aca="false">IF($J320=0,0,MAX(0,NETWORKDAYS(MAX($K320,AZ$4),MIN($L320,EOMONTH(AZ$4,0)),Assumptions!$F$4:$F$44))/NETWORKDAYS($K320,$L320,Assumptions!$F$4:$F$44))</f>
        <v>0</v>
      </c>
      <c r="BA320" s="21" t="n">
        <f aca="false">IF($J320=0,0,MAX(0,NETWORKDAYS(MAX($K320,BA$4),MIN($L320,EOMONTH(BA$4,0)),Assumptions!$F$4:$F$44))/NETWORKDAYS($K320,$L320,Assumptions!$F$4:$F$44))</f>
        <v>0</v>
      </c>
      <c r="BB320" s="21" t="n">
        <f aca="false">IF($J320=0,0,MAX(0,NETWORKDAYS(MAX($K320,BB$4),MIN($L320,EOMONTH(BB$4,0)),Assumptions!$F$4:$F$44))/NETWORKDAYS($K320,$L320,Assumptions!$F$4:$F$44))</f>
        <v>0</v>
      </c>
      <c r="BC320" s="21" t="n">
        <f aca="false">IF($J320=0,0,MAX(0,NETWORKDAYS(MAX($K320,BC$4),MIN($L320,EOMONTH(BC$4,0)),Assumptions!$F$4:$F$44))/NETWORKDAYS($K320,$L320,Assumptions!$F$4:$F$44))</f>
        <v>0</v>
      </c>
    </row>
    <row r="321" customFormat="false" ht="15" hidden="false" customHeight="false" outlineLevel="2" collapsed="false">
      <c r="A321" s="27" t="n">
        <v>317</v>
      </c>
      <c r="B321" s="27" t="s">
        <v>710</v>
      </c>
      <c r="C321" s="27" t="n">
        <v>3</v>
      </c>
      <c r="D321" s="27" t="s">
        <v>92</v>
      </c>
      <c r="E321" s="28" t="s">
        <v>330</v>
      </c>
      <c r="F321" s="27" t="s">
        <v>681</v>
      </c>
      <c r="G321" s="27" t="s">
        <v>692</v>
      </c>
      <c r="H321" s="27" t="s">
        <v>47</v>
      </c>
      <c r="I321" s="29" t="n">
        <v>242</v>
      </c>
      <c r="J321" s="29" t="n">
        <v>26</v>
      </c>
      <c r="K321" s="30" t="n">
        <f aca="false">WORKDAY(Assumptions!$C$4,I321,Assumptions!$F$4:$F$44)</f>
        <v>46666</v>
      </c>
      <c r="L321" s="30" t="n">
        <f aca="false">IF(J321=0,K321,WORKDAY(K321,J321-1,Assumptions!$F$4:$F$44))</f>
        <v>46701</v>
      </c>
      <c r="M321" s="29" t="s">
        <v>708</v>
      </c>
      <c r="N321" s="31" t="n">
        <v>0</v>
      </c>
      <c r="O321" s="31" t="n">
        <v>2</v>
      </c>
      <c r="P321" s="31" t="n">
        <v>0</v>
      </c>
      <c r="Q321" s="31" t="n">
        <v>4</v>
      </c>
      <c r="R321" s="31" t="n">
        <v>4</v>
      </c>
      <c r="S321" s="31" t="n">
        <v>0</v>
      </c>
      <c r="T321" s="31" t="n">
        <v>0</v>
      </c>
      <c r="U321" s="31" t="n">
        <v>0</v>
      </c>
      <c r="V321" s="31" t="n">
        <v>0</v>
      </c>
      <c r="W321" s="31" t="n">
        <v>0</v>
      </c>
      <c r="X321" s="31" t="n">
        <v>0</v>
      </c>
      <c r="Y321" s="32" t="n">
        <f aca="false">SUM(N321:X321)</f>
        <v>10</v>
      </c>
      <c r="Z321" s="32" t="n">
        <f aca="false">Y321*(1+Assumptions!$C$5)</f>
        <v>11.5</v>
      </c>
      <c r="AA321" s="27" t="s">
        <v>331</v>
      </c>
      <c r="AB321" s="27" t="s">
        <v>95</v>
      </c>
      <c r="AC321" s="27"/>
      <c r="AD321" s="33" t="n">
        <v>0</v>
      </c>
      <c r="AF321" s="21" t="n">
        <f aca="false">IF($J321=0,0,MAX(0,NETWORKDAYS(MAX($K321,AF$4),MIN($L321,EOMONTH(AF$4,0)),Assumptions!$F$4:$F$44))/NETWORKDAYS($K321,$L321,Assumptions!$F$4:$F$44))</f>
        <v>0</v>
      </c>
      <c r="AG321" s="21" t="n">
        <f aca="false">IF($J321=0,0,MAX(0,NETWORKDAYS(MAX($K321,AG$4),MIN($L321,EOMONTH(AG$4,0)),Assumptions!$F$4:$F$44))/NETWORKDAYS($K321,$L321,Assumptions!$F$4:$F$44))</f>
        <v>0</v>
      </c>
      <c r="AH321" s="21" t="n">
        <f aca="false">IF($J321=0,0,MAX(0,NETWORKDAYS(MAX($K321,AH$4),MIN($L321,EOMONTH(AH$4,0)),Assumptions!$F$4:$F$44))/NETWORKDAYS($K321,$L321,Assumptions!$F$4:$F$44))</f>
        <v>0</v>
      </c>
      <c r="AI321" s="21" t="n">
        <f aca="false">IF($J321=0,0,MAX(0,NETWORKDAYS(MAX($K321,AI$4),MIN($L321,EOMONTH(AI$4,0)),Assumptions!$F$4:$F$44))/NETWORKDAYS($K321,$L321,Assumptions!$F$4:$F$44))</f>
        <v>0</v>
      </c>
      <c r="AJ321" s="21" t="n">
        <f aca="false">IF($J321=0,0,MAX(0,NETWORKDAYS(MAX($K321,AJ$4),MIN($L321,EOMONTH(AJ$4,0)),Assumptions!$F$4:$F$44))/NETWORKDAYS($K321,$L321,Assumptions!$F$4:$F$44))</f>
        <v>0</v>
      </c>
      <c r="AK321" s="21" t="n">
        <f aca="false">IF($J321=0,0,MAX(0,NETWORKDAYS(MAX($K321,AK$4),MIN($L321,EOMONTH(AK$4,0)),Assumptions!$F$4:$F$44))/NETWORKDAYS($K321,$L321,Assumptions!$F$4:$F$44))</f>
        <v>0</v>
      </c>
      <c r="AL321" s="21" t="n">
        <f aca="false">IF($J321=0,0,MAX(0,NETWORKDAYS(MAX($K321,AL$4),MIN($L321,EOMONTH(AL$4,0)),Assumptions!$F$4:$F$44))/NETWORKDAYS($K321,$L321,Assumptions!$F$4:$F$44))</f>
        <v>0</v>
      </c>
      <c r="AM321" s="21" t="n">
        <f aca="false">IF($J321=0,0,MAX(0,NETWORKDAYS(MAX($K321,AM$4),MIN($L321,EOMONTH(AM$4,0)),Assumptions!$F$4:$F$44))/NETWORKDAYS($K321,$L321,Assumptions!$F$4:$F$44))</f>
        <v>0</v>
      </c>
      <c r="AN321" s="21" t="n">
        <f aca="false">IF($J321=0,0,MAX(0,NETWORKDAYS(MAX($K321,AN$4),MIN($L321,EOMONTH(AN$4,0)),Assumptions!$F$4:$F$44))/NETWORKDAYS($K321,$L321,Assumptions!$F$4:$F$44))</f>
        <v>0</v>
      </c>
      <c r="AO321" s="21" t="n">
        <f aca="false">IF($J321=0,0,MAX(0,NETWORKDAYS(MAX($K321,AO$4),MIN($L321,EOMONTH(AO$4,0)),Assumptions!$F$4:$F$44))/NETWORKDAYS($K321,$L321,Assumptions!$F$4:$F$44))</f>
        <v>0</v>
      </c>
      <c r="AP321" s="21" t="n">
        <f aca="false">IF($J321=0,0,MAX(0,NETWORKDAYS(MAX($K321,AP$4),MIN($L321,EOMONTH(AP$4,0)),Assumptions!$F$4:$F$44))/NETWORKDAYS($K321,$L321,Assumptions!$F$4:$F$44))</f>
        <v>0</v>
      </c>
      <c r="AQ321" s="21" t="n">
        <f aca="false">IF($J321=0,0,MAX(0,NETWORKDAYS(MAX($K321,AQ$4),MIN($L321,EOMONTH(AQ$4,0)),Assumptions!$F$4:$F$44))/NETWORKDAYS($K321,$L321,Assumptions!$F$4:$F$44))</f>
        <v>0.692307692307692</v>
      </c>
      <c r="AR321" s="21" t="n">
        <f aca="false">IF($J321=0,0,MAX(0,NETWORKDAYS(MAX($K321,AR$4),MIN($L321,EOMONTH(AR$4,0)),Assumptions!$F$4:$F$44))/NETWORKDAYS($K321,$L321,Assumptions!$F$4:$F$44))</f>
        <v>0.307692307692308</v>
      </c>
      <c r="AS321" s="21" t="n">
        <f aca="false">IF($J321=0,0,MAX(0,NETWORKDAYS(MAX($K321,AS$4),MIN($L321,EOMONTH(AS$4,0)),Assumptions!$F$4:$F$44))/NETWORKDAYS($K321,$L321,Assumptions!$F$4:$F$44))</f>
        <v>0</v>
      </c>
      <c r="AT321" s="21" t="n">
        <f aca="false">IF($J321=0,0,MAX(0,NETWORKDAYS(MAX($K321,AT$4),MIN($L321,EOMONTH(AT$4,0)),Assumptions!$F$4:$F$44))/NETWORKDAYS($K321,$L321,Assumptions!$F$4:$F$44))</f>
        <v>0</v>
      </c>
      <c r="AU321" s="21" t="n">
        <f aca="false">IF($J321=0,0,MAX(0,NETWORKDAYS(MAX($K321,AU$4),MIN($L321,EOMONTH(AU$4,0)),Assumptions!$F$4:$F$44))/NETWORKDAYS($K321,$L321,Assumptions!$F$4:$F$44))</f>
        <v>0</v>
      </c>
      <c r="AV321" s="21" t="n">
        <f aca="false">IF($J321=0,0,MAX(0,NETWORKDAYS(MAX($K321,AV$4),MIN($L321,EOMONTH(AV$4,0)),Assumptions!$F$4:$F$44))/NETWORKDAYS($K321,$L321,Assumptions!$F$4:$F$44))</f>
        <v>0</v>
      </c>
      <c r="AW321" s="21" t="n">
        <f aca="false">IF($J321=0,0,MAX(0,NETWORKDAYS(MAX($K321,AW$4),MIN($L321,EOMONTH(AW$4,0)),Assumptions!$F$4:$F$44))/NETWORKDAYS($K321,$L321,Assumptions!$F$4:$F$44))</f>
        <v>0</v>
      </c>
      <c r="AX321" s="21" t="n">
        <f aca="false">IF($J321=0,0,MAX(0,NETWORKDAYS(MAX($K321,AX$4),MIN($L321,EOMONTH(AX$4,0)),Assumptions!$F$4:$F$44))/NETWORKDAYS($K321,$L321,Assumptions!$F$4:$F$44))</f>
        <v>0</v>
      </c>
      <c r="AY321" s="21" t="n">
        <f aca="false">IF($J321=0,0,MAX(0,NETWORKDAYS(MAX($K321,AY$4),MIN($L321,EOMONTH(AY$4,0)),Assumptions!$F$4:$F$44))/NETWORKDAYS($K321,$L321,Assumptions!$F$4:$F$44))</f>
        <v>0</v>
      </c>
      <c r="AZ321" s="21" t="n">
        <f aca="false">IF($J321=0,0,MAX(0,NETWORKDAYS(MAX($K321,AZ$4),MIN($L321,EOMONTH(AZ$4,0)),Assumptions!$F$4:$F$44))/NETWORKDAYS($K321,$L321,Assumptions!$F$4:$F$44))</f>
        <v>0</v>
      </c>
      <c r="BA321" s="21" t="n">
        <f aca="false">IF($J321=0,0,MAX(0,NETWORKDAYS(MAX($K321,BA$4),MIN($L321,EOMONTH(BA$4,0)),Assumptions!$F$4:$F$44))/NETWORKDAYS($K321,$L321,Assumptions!$F$4:$F$44))</f>
        <v>0</v>
      </c>
      <c r="BB321" s="21" t="n">
        <f aca="false">IF($J321=0,0,MAX(0,NETWORKDAYS(MAX($K321,BB$4),MIN($L321,EOMONTH(BB$4,0)),Assumptions!$F$4:$F$44))/NETWORKDAYS($K321,$L321,Assumptions!$F$4:$F$44))</f>
        <v>0</v>
      </c>
      <c r="BC321" s="21" t="n">
        <f aca="false">IF($J321=0,0,MAX(0,NETWORKDAYS(MAX($K321,BC$4),MIN($L321,EOMONTH(BC$4,0)),Assumptions!$F$4:$F$44))/NETWORKDAYS($K321,$L321,Assumptions!$F$4:$F$44))</f>
        <v>0</v>
      </c>
    </row>
    <row r="322" customFormat="false" ht="15" hidden="false" customHeight="false" outlineLevel="2" collapsed="false">
      <c r="A322" s="27" t="n">
        <v>318</v>
      </c>
      <c r="B322" s="27" t="s">
        <v>711</v>
      </c>
      <c r="C322" s="27" t="n">
        <v>3</v>
      </c>
      <c r="D322" s="27" t="s">
        <v>92</v>
      </c>
      <c r="E322" s="28" t="s">
        <v>336</v>
      </c>
      <c r="F322" s="27" t="s">
        <v>681</v>
      </c>
      <c r="G322" s="27" t="s">
        <v>692</v>
      </c>
      <c r="H322" s="27" t="s">
        <v>57</v>
      </c>
      <c r="I322" s="29" t="n">
        <v>258</v>
      </c>
      <c r="J322" s="29" t="n">
        <v>21</v>
      </c>
      <c r="K322" s="30" t="n">
        <f aca="false">WORKDAY(Assumptions!$C$4,I322,Assumptions!$F$4:$F$44)</f>
        <v>46688</v>
      </c>
      <c r="L322" s="30" t="n">
        <f aca="false">IF(J322=0,K322,WORKDAY(K322,J322-1,Assumptions!$F$4:$F$44))</f>
        <v>46716</v>
      </c>
      <c r="M322" s="29" t="s">
        <v>712</v>
      </c>
      <c r="N322" s="31" t="n">
        <v>0</v>
      </c>
      <c r="O322" s="31" t="n">
        <v>0</v>
      </c>
      <c r="P322" s="31" t="n">
        <v>0</v>
      </c>
      <c r="Q322" s="31" t="n">
        <v>0</v>
      </c>
      <c r="R322" s="31" t="n">
        <v>0</v>
      </c>
      <c r="S322" s="31" t="n">
        <v>0</v>
      </c>
      <c r="T322" s="31" t="n">
        <v>0</v>
      </c>
      <c r="U322" s="31" t="n">
        <v>0</v>
      </c>
      <c r="V322" s="31" t="n">
        <v>18</v>
      </c>
      <c r="W322" s="31" t="n">
        <v>0</v>
      </c>
      <c r="X322" s="31" t="n">
        <v>0</v>
      </c>
      <c r="Y322" s="32" t="n">
        <f aca="false">SUM(N322:X322)</f>
        <v>18</v>
      </c>
      <c r="Z322" s="32" t="n">
        <f aca="false">Y322*(1+Assumptions!$C$5)</f>
        <v>20.7</v>
      </c>
      <c r="AA322" s="27" t="s">
        <v>338</v>
      </c>
      <c r="AB322" s="27" t="s">
        <v>95</v>
      </c>
      <c r="AC322" s="27"/>
      <c r="AD322" s="33" t="n">
        <v>0</v>
      </c>
      <c r="AF322" s="21" t="n">
        <f aca="false">IF($J322=0,0,MAX(0,NETWORKDAYS(MAX($K322,AF$4),MIN($L322,EOMONTH(AF$4,0)),Assumptions!$F$4:$F$44))/NETWORKDAYS($K322,$L322,Assumptions!$F$4:$F$44))</f>
        <v>0</v>
      </c>
      <c r="AG322" s="21" t="n">
        <f aca="false">IF($J322=0,0,MAX(0,NETWORKDAYS(MAX($K322,AG$4),MIN($L322,EOMONTH(AG$4,0)),Assumptions!$F$4:$F$44))/NETWORKDAYS($K322,$L322,Assumptions!$F$4:$F$44))</f>
        <v>0</v>
      </c>
      <c r="AH322" s="21" t="n">
        <f aca="false">IF($J322=0,0,MAX(0,NETWORKDAYS(MAX($K322,AH$4),MIN($L322,EOMONTH(AH$4,0)),Assumptions!$F$4:$F$44))/NETWORKDAYS($K322,$L322,Assumptions!$F$4:$F$44))</f>
        <v>0</v>
      </c>
      <c r="AI322" s="21" t="n">
        <f aca="false">IF($J322=0,0,MAX(0,NETWORKDAYS(MAX($K322,AI$4),MIN($L322,EOMONTH(AI$4,0)),Assumptions!$F$4:$F$44))/NETWORKDAYS($K322,$L322,Assumptions!$F$4:$F$44))</f>
        <v>0</v>
      </c>
      <c r="AJ322" s="21" t="n">
        <f aca="false">IF($J322=0,0,MAX(0,NETWORKDAYS(MAX($K322,AJ$4),MIN($L322,EOMONTH(AJ$4,0)),Assumptions!$F$4:$F$44))/NETWORKDAYS($K322,$L322,Assumptions!$F$4:$F$44))</f>
        <v>0</v>
      </c>
      <c r="AK322" s="21" t="n">
        <f aca="false">IF($J322=0,0,MAX(0,NETWORKDAYS(MAX($K322,AK$4),MIN($L322,EOMONTH(AK$4,0)),Assumptions!$F$4:$F$44))/NETWORKDAYS($K322,$L322,Assumptions!$F$4:$F$44))</f>
        <v>0</v>
      </c>
      <c r="AL322" s="21" t="n">
        <f aca="false">IF($J322=0,0,MAX(0,NETWORKDAYS(MAX($K322,AL$4),MIN($L322,EOMONTH(AL$4,0)),Assumptions!$F$4:$F$44))/NETWORKDAYS($K322,$L322,Assumptions!$F$4:$F$44))</f>
        <v>0</v>
      </c>
      <c r="AM322" s="21" t="n">
        <f aca="false">IF($J322=0,0,MAX(0,NETWORKDAYS(MAX($K322,AM$4),MIN($L322,EOMONTH(AM$4,0)),Assumptions!$F$4:$F$44))/NETWORKDAYS($K322,$L322,Assumptions!$F$4:$F$44))</f>
        <v>0</v>
      </c>
      <c r="AN322" s="21" t="n">
        <f aca="false">IF($J322=0,0,MAX(0,NETWORKDAYS(MAX($K322,AN$4),MIN($L322,EOMONTH(AN$4,0)),Assumptions!$F$4:$F$44))/NETWORKDAYS($K322,$L322,Assumptions!$F$4:$F$44))</f>
        <v>0</v>
      </c>
      <c r="AO322" s="21" t="n">
        <f aca="false">IF($J322=0,0,MAX(0,NETWORKDAYS(MAX($K322,AO$4),MIN($L322,EOMONTH(AO$4,0)),Assumptions!$F$4:$F$44))/NETWORKDAYS($K322,$L322,Assumptions!$F$4:$F$44))</f>
        <v>0</v>
      </c>
      <c r="AP322" s="21" t="n">
        <f aca="false">IF($J322=0,0,MAX(0,NETWORKDAYS(MAX($K322,AP$4),MIN($L322,EOMONTH(AP$4,0)),Assumptions!$F$4:$F$44))/NETWORKDAYS($K322,$L322,Assumptions!$F$4:$F$44))</f>
        <v>0</v>
      </c>
      <c r="AQ322" s="21" t="n">
        <f aca="false">IF($J322=0,0,MAX(0,NETWORKDAYS(MAX($K322,AQ$4),MIN($L322,EOMONTH(AQ$4,0)),Assumptions!$F$4:$F$44))/NETWORKDAYS($K322,$L322,Assumptions!$F$4:$F$44))</f>
        <v>0.0952380952380952</v>
      </c>
      <c r="AR322" s="21" t="n">
        <f aca="false">IF($J322=0,0,MAX(0,NETWORKDAYS(MAX($K322,AR$4),MIN($L322,EOMONTH(AR$4,0)),Assumptions!$F$4:$F$44))/NETWORKDAYS($K322,$L322,Assumptions!$F$4:$F$44))</f>
        <v>0.904761904761905</v>
      </c>
      <c r="AS322" s="21" t="n">
        <f aca="false">IF($J322=0,0,MAX(0,NETWORKDAYS(MAX($K322,AS$4),MIN($L322,EOMONTH(AS$4,0)),Assumptions!$F$4:$F$44))/NETWORKDAYS($K322,$L322,Assumptions!$F$4:$F$44))</f>
        <v>0</v>
      </c>
      <c r="AT322" s="21" t="n">
        <f aca="false">IF($J322=0,0,MAX(0,NETWORKDAYS(MAX($K322,AT$4),MIN($L322,EOMONTH(AT$4,0)),Assumptions!$F$4:$F$44))/NETWORKDAYS($K322,$L322,Assumptions!$F$4:$F$44))</f>
        <v>0</v>
      </c>
      <c r="AU322" s="21" t="n">
        <f aca="false">IF($J322=0,0,MAX(0,NETWORKDAYS(MAX($K322,AU$4),MIN($L322,EOMONTH(AU$4,0)),Assumptions!$F$4:$F$44))/NETWORKDAYS($K322,$L322,Assumptions!$F$4:$F$44))</f>
        <v>0</v>
      </c>
      <c r="AV322" s="21" t="n">
        <f aca="false">IF($J322=0,0,MAX(0,NETWORKDAYS(MAX($K322,AV$4),MIN($L322,EOMONTH(AV$4,0)),Assumptions!$F$4:$F$44))/NETWORKDAYS($K322,$L322,Assumptions!$F$4:$F$44))</f>
        <v>0</v>
      </c>
      <c r="AW322" s="21" t="n">
        <f aca="false">IF($J322=0,0,MAX(0,NETWORKDAYS(MAX($K322,AW$4),MIN($L322,EOMONTH(AW$4,0)),Assumptions!$F$4:$F$44))/NETWORKDAYS($K322,$L322,Assumptions!$F$4:$F$44))</f>
        <v>0</v>
      </c>
      <c r="AX322" s="21" t="n">
        <f aca="false">IF($J322=0,0,MAX(0,NETWORKDAYS(MAX($K322,AX$4),MIN($L322,EOMONTH(AX$4,0)),Assumptions!$F$4:$F$44))/NETWORKDAYS($K322,$L322,Assumptions!$F$4:$F$44))</f>
        <v>0</v>
      </c>
      <c r="AY322" s="21" t="n">
        <f aca="false">IF($J322=0,0,MAX(0,NETWORKDAYS(MAX($K322,AY$4),MIN($L322,EOMONTH(AY$4,0)),Assumptions!$F$4:$F$44))/NETWORKDAYS($K322,$L322,Assumptions!$F$4:$F$44))</f>
        <v>0</v>
      </c>
      <c r="AZ322" s="21" t="n">
        <f aca="false">IF($J322=0,0,MAX(0,NETWORKDAYS(MAX($K322,AZ$4),MIN($L322,EOMONTH(AZ$4,0)),Assumptions!$F$4:$F$44))/NETWORKDAYS($K322,$L322,Assumptions!$F$4:$F$44))</f>
        <v>0</v>
      </c>
      <c r="BA322" s="21" t="n">
        <f aca="false">IF($J322=0,0,MAX(0,NETWORKDAYS(MAX($K322,BA$4),MIN($L322,EOMONTH(BA$4,0)),Assumptions!$F$4:$F$44))/NETWORKDAYS($K322,$L322,Assumptions!$F$4:$F$44))</f>
        <v>0</v>
      </c>
      <c r="BB322" s="21" t="n">
        <f aca="false">IF($J322=0,0,MAX(0,NETWORKDAYS(MAX($K322,BB$4),MIN($L322,EOMONTH(BB$4,0)),Assumptions!$F$4:$F$44))/NETWORKDAYS($K322,$L322,Assumptions!$F$4:$F$44))</f>
        <v>0</v>
      </c>
      <c r="BC322" s="21" t="n">
        <f aca="false">IF($J322=0,0,MAX(0,NETWORKDAYS(MAX($K322,BC$4),MIN($L322,EOMONTH(BC$4,0)),Assumptions!$F$4:$F$44))/NETWORKDAYS($K322,$L322,Assumptions!$F$4:$F$44))</f>
        <v>0</v>
      </c>
    </row>
    <row r="323" customFormat="false" ht="15" hidden="false" customHeight="false" outlineLevel="2" collapsed="false">
      <c r="A323" s="27" t="n">
        <v>319</v>
      </c>
      <c r="B323" s="27" t="s">
        <v>713</v>
      </c>
      <c r="C323" s="27" t="n">
        <v>3</v>
      </c>
      <c r="D323" s="27" t="s">
        <v>92</v>
      </c>
      <c r="E323" s="28" t="s">
        <v>340</v>
      </c>
      <c r="F323" s="27" t="s">
        <v>681</v>
      </c>
      <c r="G323" s="27" t="s">
        <v>692</v>
      </c>
      <c r="H323" s="27" t="s">
        <v>47</v>
      </c>
      <c r="I323" s="29" t="n">
        <v>262</v>
      </c>
      <c r="J323" s="29" t="n">
        <v>26</v>
      </c>
      <c r="K323" s="30" t="n">
        <f aca="false">WORKDAY(Assumptions!$C$4,I323,Assumptions!$F$4:$F$44)</f>
        <v>46694</v>
      </c>
      <c r="L323" s="30" t="n">
        <f aca="false">IF(J323=0,K323,WORKDAY(K323,J323-1,Assumptions!$F$4:$F$44))</f>
        <v>46729</v>
      </c>
      <c r="M323" s="29" t="s">
        <v>714</v>
      </c>
      <c r="N323" s="31" t="n">
        <v>0</v>
      </c>
      <c r="O323" s="31" t="n">
        <v>0</v>
      </c>
      <c r="P323" s="31" t="n">
        <v>0</v>
      </c>
      <c r="Q323" s="31" t="n">
        <v>7</v>
      </c>
      <c r="R323" s="31" t="n">
        <v>4</v>
      </c>
      <c r="S323" s="31" t="n">
        <v>0</v>
      </c>
      <c r="T323" s="31" t="n">
        <v>0</v>
      </c>
      <c r="U323" s="31" t="n">
        <v>0</v>
      </c>
      <c r="V323" s="31" t="n">
        <v>4</v>
      </c>
      <c r="W323" s="31" t="n">
        <v>0</v>
      </c>
      <c r="X323" s="31" t="n">
        <v>0</v>
      </c>
      <c r="Y323" s="32" t="n">
        <f aca="false">SUM(N323:X323)</f>
        <v>15</v>
      </c>
      <c r="Z323" s="32" t="n">
        <f aca="false">Y323*(1+Assumptions!$C$5)</f>
        <v>17.25</v>
      </c>
      <c r="AA323" s="27" t="s">
        <v>342</v>
      </c>
      <c r="AB323" s="27" t="s">
        <v>95</v>
      </c>
      <c r="AC323" s="27"/>
      <c r="AD323" s="33" t="n">
        <v>0</v>
      </c>
      <c r="AF323" s="21" t="n">
        <f aca="false">IF($J323=0,0,MAX(0,NETWORKDAYS(MAX($K323,AF$4),MIN($L323,EOMONTH(AF$4,0)),Assumptions!$F$4:$F$44))/NETWORKDAYS($K323,$L323,Assumptions!$F$4:$F$44))</f>
        <v>0</v>
      </c>
      <c r="AG323" s="21" t="n">
        <f aca="false">IF($J323=0,0,MAX(0,NETWORKDAYS(MAX($K323,AG$4),MIN($L323,EOMONTH(AG$4,0)),Assumptions!$F$4:$F$44))/NETWORKDAYS($K323,$L323,Assumptions!$F$4:$F$44))</f>
        <v>0</v>
      </c>
      <c r="AH323" s="21" t="n">
        <f aca="false">IF($J323=0,0,MAX(0,NETWORKDAYS(MAX($K323,AH$4),MIN($L323,EOMONTH(AH$4,0)),Assumptions!$F$4:$F$44))/NETWORKDAYS($K323,$L323,Assumptions!$F$4:$F$44))</f>
        <v>0</v>
      </c>
      <c r="AI323" s="21" t="n">
        <f aca="false">IF($J323=0,0,MAX(0,NETWORKDAYS(MAX($K323,AI$4),MIN($L323,EOMONTH(AI$4,0)),Assumptions!$F$4:$F$44))/NETWORKDAYS($K323,$L323,Assumptions!$F$4:$F$44))</f>
        <v>0</v>
      </c>
      <c r="AJ323" s="21" t="n">
        <f aca="false">IF($J323=0,0,MAX(0,NETWORKDAYS(MAX($K323,AJ$4),MIN($L323,EOMONTH(AJ$4,0)),Assumptions!$F$4:$F$44))/NETWORKDAYS($K323,$L323,Assumptions!$F$4:$F$44))</f>
        <v>0</v>
      </c>
      <c r="AK323" s="21" t="n">
        <f aca="false">IF($J323=0,0,MAX(0,NETWORKDAYS(MAX($K323,AK$4),MIN($L323,EOMONTH(AK$4,0)),Assumptions!$F$4:$F$44))/NETWORKDAYS($K323,$L323,Assumptions!$F$4:$F$44))</f>
        <v>0</v>
      </c>
      <c r="AL323" s="21" t="n">
        <f aca="false">IF($J323=0,0,MAX(0,NETWORKDAYS(MAX($K323,AL$4),MIN($L323,EOMONTH(AL$4,0)),Assumptions!$F$4:$F$44))/NETWORKDAYS($K323,$L323,Assumptions!$F$4:$F$44))</f>
        <v>0</v>
      </c>
      <c r="AM323" s="21" t="n">
        <f aca="false">IF($J323=0,0,MAX(0,NETWORKDAYS(MAX($K323,AM$4),MIN($L323,EOMONTH(AM$4,0)),Assumptions!$F$4:$F$44))/NETWORKDAYS($K323,$L323,Assumptions!$F$4:$F$44))</f>
        <v>0</v>
      </c>
      <c r="AN323" s="21" t="n">
        <f aca="false">IF($J323=0,0,MAX(0,NETWORKDAYS(MAX($K323,AN$4),MIN($L323,EOMONTH(AN$4,0)),Assumptions!$F$4:$F$44))/NETWORKDAYS($K323,$L323,Assumptions!$F$4:$F$44))</f>
        <v>0</v>
      </c>
      <c r="AO323" s="21" t="n">
        <f aca="false">IF($J323=0,0,MAX(0,NETWORKDAYS(MAX($K323,AO$4),MIN($L323,EOMONTH(AO$4,0)),Assumptions!$F$4:$F$44))/NETWORKDAYS($K323,$L323,Assumptions!$F$4:$F$44))</f>
        <v>0</v>
      </c>
      <c r="AP323" s="21" t="n">
        <f aca="false">IF($J323=0,0,MAX(0,NETWORKDAYS(MAX($K323,AP$4),MIN($L323,EOMONTH(AP$4,0)),Assumptions!$F$4:$F$44))/NETWORKDAYS($K323,$L323,Assumptions!$F$4:$F$44))</f>
        <v>0</v>
      </c>
      <c r="AQ323" s="21" t="n">
        <f aca="false">IF($J323=0,0,MAX(0,NETWORKDAYS(MAX($K323,AQ$4),MIN($L323,EOMONTH(AQ$4,0)),Assumptions!$F$4:$F$44))/NETWORKDAYS($K323,$L323,Assumptions!$F$4:$F$44))</f>
        <v>0</v>
      </c>
      <c r="AR323" s="21" t="n">
        <f aca="false">IF($J323=0,0,MAX(0,NETWORKDAYS(MAX($K323,AR$4),MIN($L323,EOMONTH(AR$4,0)),Assumptions!$F$4:$F$44))/NETWORKDAYS($K323,$L323,Assumptions!$F$4:$F$44))</f>
        <v>0.769230769230769</v>
      </c>
      <c r="AS323" s="21" t="n">
        <f aca="false">IF($J323=0,0,MAX(0,NETWORKDAYS(MAX($K323,AS$4),MIN($L323,EOMONTH(AS$4,0)),Assumptions!$F$4:$F$44))/NETWORKDAYS($K323,$L323,Assumptions!$F$4:$F$44))</f>
        <v>0.230769230769231</v>
      </c>
      <c r="AT323" s="21" t="n">
        <f aca="false">IF($J323=0,0,MAX(0,NETWORKDAYS(MAX($K323,AT$4),MIN($L323,EOMONTH(AT$4,0)),Assumptions!$F$4:$F$44))/NETWORKDAYS($K323,$L323,Assumptions!$F$4:$F$44))</f>
        <v>0</v>
      </c>
      <c r="AU323" s="21" t="n">
        <f aca="false">IF($J323=0,0,MAX(0,NETWORKDAYS(MAX($K323,AU$4),MIN($L323,EOMONTH(AU$4,0)),Assumptions!$F$4:$F$44))/NETWORKDAYS($K323,$L323,Assumptions!$F$4:$F$44))</f>
        <v>0</v>
      </c>
      <c r="AV323" s="21" t="n">
        <f aca="false">IF($J323=0,0,MAX(0,NETWORKDAYS(MAX($K323,AV$4),MIN($L323,EOMONTH(AV$4,0)),Assumptions!$F$4:$F$44))/NETWORKDAYS($K323,$L323,Assumptions!$F$4:$F$44))</f>
        <v>0</v>
      </c>
      <c r="AW323" s="21" t="n">
        <f aca="false">IF($J323=0,0,MAX(0,NETWORKDAYS(MAX($K323,AW$4),MIN($L323,EOMONTH(AW$4,0)),Assumptions!$F$4:$F$44))/NETWORKDAYS($K323,$L323,Assumptions!$F$4:$F$44))</f>
        <v>0</v>
      </c>
      <c r="AX323" s="21" t="n">
        <f aca="false">IF($J323=0,0,MAX(0,NETWORKDAYS(MAX($K323,AX$4),MIN($L323,EOMONTH(AX$4,0)),Assumptions!$F$4:$F$44))/NETWORKDAYS($K323,$L323,Assumptions!$F$4:$F$44))</f>
        <v>0</v>
      </c>
      <c r="AY323" s="21" t="n">
        <f aca="false">IF($J323=0,0,MAX(0,NETWORKDAYS(MAX($K323,AY$4),MIN($L323,EOMONTH(AY$4,0)),Assumptions!$F$4:$F$44))/NETWORKDAYS($K323,$L323,Assumptions!$F$4:$F$44))</f>
        <v>0</v>
      </c>
      <c r="AZ323" s="21" t="n">
        <f aca="false">IF($J323=0,0,MAX(0,NETWORKDAYS(MAX($K323,AZ$4),MIN($L323,EOMONTH(AZ$4,0)),Assumptions!$F$4:$F$44))/NETWORKDAYS($K323,$L323,Assumptions!$F$4:$F$44))</f>
        <v>0</v>
      </c>
      <c r="BA323" s="21" t="n">
        <f aca="false">IF($J323=0,0,MAX(0,NETWORKDAYS(MAX($K323,BA$4),MIN($L323,EOMONTH(BA$4,0)),Assumptions!$F$4:$F$44))/NETWORKDAYS($K323,$L323,Assumptions!$F$4:$F$44))</f>
        <v>0</v>
      </c>
      <c r="BB323" s="21" t="n">
        <f aca="false">IF($J323=0,0,MAX(0,NETWORKDAYS(MAX($K323,BB$4),MIN($L323,EOMONTH(BB$4,0)),Assumptions!$F$4:$F$44))/NETWORKDAYS($K323,$L323,Assumptions!$F$4:$F$44))</f>
        <v>0</v>
      </c>
      <c r="BC323" s="21" t="n">
        <f aca="false">IF($J323=0,0,MAX(0,NETWORKDAYS(MAX($K323,BC$4),MIN($L323,EOMONTH(BC$4,0)),Assumptions!$F$4:$F$44))/NETWORKDAYS($K323,$L323,Assumptions!$F$4:$F$44))</f>
        <v>0</v>
      </c>
    </row>
    <row r="324" customFormat="false" ht="15" hidden="false" customHeight="false" outlineLevel="2" collapsed="false">
      <c r="A324" s="27" t="n">
        <v>320</v>
      </c>
      <c r="B324" s="27" t="s">
        <v>715</v>
      </c>
      <c r="C324" s="27" t="n">
        <v>3</v>
      </c>
      <c r="D324" s="27" t="s">
        <v>92</v>
      </c>
      <c r="E324" s="28" t="s">
        <v>344</v>
      </c>
      <c r="F324" s="27" t="s">
        <v>681</v>
      </c>
      <c r="G324" s="27" t="s">
        <v>692</v>
      </c>
      <c r="H324" s="27" t="s">
        <v>43</v>
      </c>
      <c r="I324" s="29" t="n">
        <v>279</v>
      </c>
      <c r="J324" s="29" t="n">
        <v>13</v>
      </c>
      <c r="K324" s="30" t="n">
        <f aca="false">WORKDAY(Assumptions!$C$4,I324,Assumptions!$F$4:$F$44)</f>
        <v>46717</v>
      </c>
      <c r="L324" s="30" t="n">
        <f aca="false">IF(J324=0,K324,WORKDAY(K324,J324-1,Assumptions!$F$4:$F$44))</f>
        <v>46735</v>
      </c>
      <c r="M324" s="29" t="s">
        <v>714</v>
      </c>
      <c r="N324" s="31" t="n">
        <v>0</v>
      </c>
      <c r="O324" s="31" t="n">
        <v>4</v>
      </c>
      <c r="P324" s="31" t="n">
        <v>0</v>
      </c>
      <c r="Q324" s="31" t="n">
        <v>0</v>
      </c>
      <c r="R324" s="31" t="n">
        <v>0</v>
      </c>
      <c r="S324" s="31" t="n">
        <v>0</v>
      </c>
      <c r="T324" s="31" t="n">
        <v>0</v>
      </c>
      <c r="U324" s="31" t="n">
        <v>0</v>
      </c>
      <c r="V324" s="31" t="n">
        <v>4</v>
      </c>
      <c r="W324" s="31" t="n">
        <v>0</v>
      </c>
      <c r="X324" s="31" t="n">
        <v>0</v>
      </c>
      <c r="Y324" s="32" t="n">
        <f aca="false">SUM(N324:X324)</f>
        <v>8</v>
      </c>
      <c r="Z324" s="32" t="n">
        <f aca="false">Y324*(1+Assumptions!$C$5)</f>
        <v>9.2</v>
      </c>
      <c r="AA324" s="27" t="s">
        <v>345</v>
      </c>
      <c r="AB324" s="27" t="s">
        <v>95</v>
      </c>
      <c r="AC324" s="27"/>
      <c r="AD324" s="33" t="n">
        <v>0</v>
      </c>
      <c r="AF324" s="21" t="n">
        <f aca="false">IF($J324=0,0,MAX(0,NETWORKDAYS(MAX($K324,AF$4),MIN($L324,EOMONTH(AF$4,0)),Assumptions!$F$4:$F$44))/NETWORKDAYS($K324,$L324,Assumptions!$F$4:$F$44))</f>
        <v>0</v>
      </c>
      <c r="AG324" s="21" t="n">
        <f aca="false">IF($J324=0,0,MAX(0,NETWORKDAYS(MAX($K324,AG$4),MIN($L324,EOMONTH(AG$4,0)),Assumptions!$F$4:$F$44))/NETWORKDAYS($K324,$L324,Assumptions!$F$4:$F$44))</f>
        <v>0</v>
      </c>
      <c r="AH324" s="21" t="n">
        <f aca="false">IF($J324=0,0,MAX(0,NETWORKDAYS(MAX($K324,AH$4),MIN($L324,EOMONTH(AH$4,0)),Assumptions!$F$4:$F$44))/NETWORKDAYS($K324,$L324,Assumptions!$F$4:$F$44))</f>
        <v>0</v>
      </c>
      <c r="AI324" s="21" t="n">
        <f aca="false">IF($J324=0,0,MAX(0,NETWORKDAYS(MAX($K324,AI$4),MIN($L324,EOMONTH(AI$4,0)),Assumptions!$F$4:$F$44))/NETWORKDAYS($K324,$L324,Assumptions!$F$4:$F$44))</f>
        <v>0</v>
      </c>
      <c r="AJ324" s="21" t="n">
        <f aca="false">IF($J324=0,0,MAX(0,NETWORKDAYS(MAX($K324,AJ$4),MIN($L324,EOMONTH(AJ$4,0)),Assumptions!$F$4:$F$44))/NETWORKDAYS($K324,$L324,Assumptions!$F$4:$F$44))</f>
        <v>0</v>
      </c>
      <c r="AK324" s="21" t="n">
        <f aca="false">IF($J324=0,0,MAX(0,NETWORKDAYS(MAX($K324,AK$4),MIN($L324,EOMONTH(AK$4,0)),Assumptions!$F$4:$F$44))/NETWORKDAYS($K324,$L324,Assumptions!$F$4:$F$44))</f>
        <v>0</v>
      </c>
      <c r="AL324" s="21" t="n">
        <f aca="false">IF($J324=0,0,MAX(0,NETWORKDAYS(MAX($K324,AL$4),MIN($L324,EOMONTH(AL$4,0)),Assumptions!$F$4:$F$44))/NETWORKDAYS($K324,$L324,Assumptions!$F$4:$F$44))</f>
        <v>0</v>
      </c>
      <c r="AM324" s="21" t="n">
        <f aca="false">IF($J324=0,0,MAX(0,NETWORKDAYS(MAX($K324,AM$4),MIN($L324,EOMONTH(AM$4,0)),Assumptions!$F$4:$F$44))/NETWORKDAYS($K324,$L324,Assumptions!$F$4:$F$44))</f>
        <v>0</v>
      </c>
      <c r="AN324" s="21" t="n">
        <f aca="false">IF($J324=0,0,MAX(0,NETWORKDAYS(MAX($K324,AN$4),MIN($L324,EOMONTH(AN$4,0)),Assumptions!$F$4:$F$44))/NETWORKDAYS($K324,$L324,Assumptions!$F$4:$F$44))</f>
        <v>0</v>
      </c>
      <c r="AO324" s="21" t="n">
        <f aca="false">IF($J324=0,0,MAX(0,NETWORKDAYS(MAX($K324,AO$4),MIN($L324,EOMONTH(AO$4,0)),Assumptions!$F$4:$F$44))/NETWORKDAYS($K324,$L324,Assumptions!$F$4:$F$44))</f>
        <v>0</v>
      </c>
      <c r="AP324" s="21" t="n">
        <f aca="false">IF($J324=0,0,MAX(0,NETWORKDAYS(MAX($K324,AP$4),MIN($L324,EOMONTH(AP$4,0)),Assumptions!$F$4:$F$44))/NETWORKDAYS($K324,$L324,Assumptions!$F$4:$F$44))</f>
        <v>0</v>
      </c>
      <c r="AQ324" s="21" t="n">
        <f aca="false">IF($J324=0,0,MAX(0,NETWORKDAYS(MAX($K324,AQ$4),MIN($L324,EOMONTH(AQ$4,0)),Assumptions!$F$4:$F$44))/NETWORKDAYS($K324,$L324,Assumptions!$F$4:$F$44))</f>
        <v>0</v>
      </c>
      <c r="AR324" s="21" t="n">
        <f aca="false">IF($J324=0,0,MAX(0,NETWORKDAYS(MAX($K324,AR$4),MIN($L324,EOMONTH(AR$4,0)),Assumptions!$F$4:$F$44))/NETWORKDAYS($K324,$L324,Assumptions!$F$4:$F$44))</f>
        <v>0.230769230769231</v>
      </c>
      <c r="AS324" s="21" t="n">
        <f aca="false">IF($J324=0,0,MAX(0,NETWORKDAYS(MAX($K324,AS$4),MIN($L324,EOMONTH(AS$4,0)),Assumptions!$F$4:$F$44))/NETWORKDAYS($K324,$L324,Assumptions!$F$4:$F$44))</f>
        <v>0.769230769230769</v>
      </c>
      <c r="AT324" s="21" t="n">
        <f aca="false">IF($J324=0,0,MAX(0,NETWORKDAYS(MAX($K324,AT$4),MIN($L324,EOMONTH(AT$4,0)),Assumptions!$F$4:$F$44))/NETWORKDAYS($K324,$L324,Assumptions!$F$4:$F$44))</f>
        <v>0</v>
      </c>
      <c r="AU324" s="21" t="n">
        <f aca="false">IF($J324=0,0,MAX(0,NETWORKDAYS(MAX($K324,AU$4),MIN($L324,EOMONTH(AU$4,0)),Assumptions!$F$4:$F$44))/NETWORKDAYS($K324,$L324,Assumptions!$F$4:$F$44))</f>
        <v>0</v>
      </c>
      <c r="AV324" s="21" t="n">
        <f aca="false">IF($J324=0,0,MAX(0,NETWORKDAYS(MAX($K324,AV$4),MIN($L324,EOMONTH(AV$4,0)),Assumptions!$F$4:$F$44))/NETWORKDAYS($K324,$L324,Assumptions!$F$4:$F$44))</f>
        <v>0</v>
      </c>
      <c r="AW324" s="21" t="n">
        <f aca="false">IF($J324=0,0,MAX(0,NETWORKDAYS(MAX($K324,AW$4),MIN($L324,EOMONTH(AW$4,0)),Assumptions!$F$4:$F$44))/NETWORKDAYS($K324,$L324,Assumptions!$F$4:$F$44))</f>
        <v>0</v>
      </c>
      <c r="AX324" s="21" t="n">
        <f aca="false">IF($J324=0,0,MAX(0,NETWORKDAYS(MAX($K324,AX$4),MIN($L324,EOMONTH(AX$4,0)),Assumptions!$F$4:$F$44))/NETWORKDAYS($K324,$L324,Assumptions!$F$4:$F$44))</f>
        <v>0</v>
      </c>
      <c r="AY324" s="21" t="n">
        <f aca="false">IF($J324=0,0,MAX(0,NETWORKDAYS(MAX($K324,AY$4),MIN($L324,EOMONTH(AY$4,0)),Assumptions!$F$4:$F$44))/NETWORKDAYS($K324,$L324,Assumptions!$F$4:$F$44))</f>
        <v>0</v>
      </c>
      <c r="AZ324" s="21" t="n">
        <f aca="false">IF($J324=0,0,MAX(0,NETWORKDAYS(MAX($K324,AZ$4),MIN($L324,EOMONTH(AZ$4,0)),Assumptions!$F$4:$F$44))/NETWORKDAYS($K324,$L324,Assumptions!$F$4:$F$44))</f>
        <v>0</v>
      </c>
      <c r="BA324" s="21" t="n">
        <f aca="false">IF($J324=0,0,MAX(0,NETWORKDAYS(MAX($K324,BA$4),MIN($L324,EOMONTH(BA$4,0)),Assumptions!$F$4:$F$44))/NETWORKDAYS($K324,$L324,Assumptions!$F$4:$F$44))</f>
        <v>0</v>
      </c>
      <c r="BB324" s="21" t="n">
        <f aca="false">IF($J324=0,0,MAX(0,NETWORKDAYS(MAX($K324,BB$4),MIN($L324,EOMONTH(BB$4,0)),Assumptions!$F$4:$F$44))/NETWORKDAYS($K324,$L324,Assumptions!$F$4:$F$44))</f>
        <v>0</v>
      </c>
      <c r="BC324" s="21" t="n">
        <f aca="false">IF($J324=0,0,MAX(0,NETWORKDAYS(MAX($K324,BC$4),MIN($L324,EOMONTH(BC$4,0)),Assumptions!$F$4:$F$44))/NETWORKDAYS($K324,$L324,Assumptions!$F$4:$F$44))</f>
        <v>0</v>
      </c>
    </row>
    <row r="325" customFormat="false" ht="15" hidden="false" customHeight="false" outlineLevel="2" collapsed="false">
      <c r="A325" s="27" t="n">
        <v>321</v>
      </c>
      <c r="B325" s="27" t="s">
        <v>716</v>
      </c>
      <c r="C325" s="27" t="n">
        <v>3</v>
      </c>
      <c r="D325" s="27" t="s">
        <v>92</v>
      </c>
      <c r="E325" s="28" t="s">
        <v>347</v>
      </c>
      <c r="F325" s="27" t="s">
        <v>681</v>
      </c>
      <c r="G325" s="27" t="s">
        <v>692</v>
      </c>
      <c r="H325" s="27" t="s">
        <v>61</v>
      </c>
      <c r="I325" s="29" t="n">
        <v>282</v>
      </c>
      <c r="J325" s="29" t="n">
        <v>13</v>
      </c>
      <c r="K325" s="30" t="n">
        <f aca="false">WORKDAY(Assumptions!$C$4,I325,Assumptions!$F$4:$F$44)</f>
        <v>46722</v>
      </c>
      <c r="L325" s="30" t="n">
        <f aca="false">IF(J325=0,K325,WORKDAY(K325,J325-1,Assumptions!$F$4:$F$44))</f>
        <v>46738</v>
      </c>
      <c r="M325" s="29" t="s">
        <v>717</v>
      </c>
      <c r="N325" s="31" t="n">
        <v>0</v>
      </c>
      <c r="O325" s="31" t="n">
        <v>2</v>
      </c>
      <c r="P325" s="31" t="n">
        <v>0</v>
      </c>
      <c r="Q325" s="31" t="n">
        <v>0</v>
      </c>
      <c r="R325" s="31" t="n">
        <v>0</v>
      </c>
      <c r="S325" s="31" t="n">
        <v>0</v>
      </c>
      <c r="T325" s="31" t="n">
        <v>0</v>
      </c>
      <c r="U325" s="31" t="n">
        <v>0</v>
      </c>
      <c r="V325" s="31" t="n">
        <v>0</v>
      </c>
      <c r="W325" s="31" t="n">
        <v>0</v>
      </c>
      <c r="X325" s="31" t="n">
        <v>5</v>
      </c>
      <c r="Y325" s="32" t="n">
        <f aca="false">SUM(N325:X325)</f>
        <v>7</v>
      </c>
      <c r="Z325" s="32" t="n">
        <f aca="false">Y325*(1+Assumptions!$C$5)</f>
        <v>8.05</v>
      </c>
      <c r="AA325" s="27" t="s">
        <v>349</v>
      </c>
      <c r="AB325" s="27" t="s">
        <v>95</v>
      </c>
      <c r="AC325" s="27"/>
      <c r="AD325" s="33" t="n">
        <v>0</v>
      </c>
      <c r="AF325" s="21" t="n">
        <f aca="false">IF($J325=0,0,MAX(0,NETWORKDAYS(MAX($K325,AF$4),MIN($L325,EOMONTH(AF$4,0)),Assumptions!$F$4:$F$44))/NETWORKDAYS($K325,$L325,Assumptions!$F$4:$F$44))</f>
        <v>0</v>
      </c>
      <c r="AG325" s="21" t="n">
        <f aca="false">IF($J325=0,0,MAX(0,NETWORKDAYS(MAX($K325,AG$4),MIN($L325,EOMONTH(AG$4,0)),Assumptions!$F$4:$F$44))/NETWORKDAYS($K325,$L325,Assumptions!$F$4:$F$44))</f>
        <v>0</v>
      </c>
      <c r="AH325" s="21" t="n">
        <f aca="false">IF($J325=0,0,MAX(0,NETWORKDAYS(MAX($K325,AH$4),MIN($L325,EOMONTH(AH$4,0)),Assumptions!$F$4:$F$44))/NETWORKDAYS($K325,$L325,Assumptions!$F$4:$F$44))</f>
        <v>0</v>
      </c>
      <c r="AI325" s="21" t="n">
        <f aca="false">IF($J325=0,0,MAX(0,NETWORKDAYS(MAX($K325,AI$4),MIN($L325,EOMONTH(AI$4,0)),Assumptions!$F$4:$F$44))/NETWORKDAYS($K325,$L325,Assumptions!$F$4:$F$44))</f>
        <v>0</v>
      </c>
      <c r="AJ325" s="21" t="n">
        <f aca="false">IF($J325=0,0,MAX(0,NETWORKDAYS(MAX($K325,AJ$4),MIN($L325,EOMONTH(AJ$4,0)),Assumptions!$F$4:$F$44))/NETWORKDAYS($K325,$L325,Assumptions!$F$4:$F$44))</f>
        <v>0</v>
      </c>
      <c r="AK325" s="21" t="n">
        <f aca="false">IF($J325=0,0,MAX(0,NETWORKDAYS(MAX($K325,AK$4),MIN($L325,EOMONTH(AK$4,0)),Assumptions!$F$4:$F$44))/NETWORKDAYS($K325,$L325,Assumptions!$F$4:$F$44))</f>
        <v>0</v>
      </c>
      <c r="AL325" s="21" t="n">
        <f aca="false">IF($J325=0,0,MAX(0,NETWORKDAYS(MAX($K325,AL$4),MIN($L325,EOMONTH(AL$4,0)),Assumptions!$F$4:$F$44))/NETWORKDAYS($K325,$L325,Assumptions!$F$4:$F$44))</f>
        <v>0</v>
      </c>
      <c r="AM325" s="21" t="n">
        <f aca="false">IF($J325=0,0,MAX(0,NETWORKDAYS(MAX($K325,AM$4),MIN($L325,EOMONTH(AM$4,0)),Assumptions!$F$4:$F$44))/NETWORKDAYS($K325,$L325,Assumptions!$F$4:$F$44))</f>
        <v>0</v>
      </c>
      <c r="AN325" s="21" t="n">
        <f aca="false">IF($J325=0,0,MAX(0,NETWORKDAYS(MAX($K325,AN$4),MIN($L325,EOMONTH(AN$4,0)),Assumptions!$F$4:$F$44))/NETWORKDAYS($K325,$L325,Assumptions!$F$4:$F$44))</f>
        <v>0</v>
      </c>
      <c r="AO325" s="21" t="n">
        <f aca="false">IF($J325=0,0,MAX(0,NETWORKDAYS(MAX($K325,AO$4),MIN($L325,EOMONTH(AO$4,0)),Assumptions!$F$4:$F$44))/NETWORKDAYS($K325,$L325,Assumptions!$F$4:$F$44))</f>
        <v>0</v>
      </c>
      <c r="AP325" s="21" t="n">
        <f aca="false">IF($J325=0,0,MAX(0,NETWORKDAYS(MAX($K325,AP$4),MIN($L325,EOMONTH(AP$4,0)),Assumptions!$F$4:$F$44))/NETWORKDAYS($K325,$L325,Assumptions!$F$4:$F$44))</f>
        <v>0</v>
      </c>
      <c r="AQ325" s="21" t="n">
        <f aca="false">IF($J325=0,0,MAX(0,NETWORKDAYS(MAX($K325,AQ$4),MIN($L325,EOMONTH(AQ$4,0)),Assumptions!$F$4:$F$44))/NETWORKDAYS($K325,$L325,Assumptions!$F$4:$F$44))</f>
        <v>0</v>
      </c>
      <c r="AR325" s="21" t="n">
        <f aca="false">IF($J325=0,0,MAX(0,NETWORKDAYS(MAX($K325,AR$4),MIN($L325,EOMONTH(AR$4,0)),Assumptions!$F$4:$F$44))/NETWORKDAYS($K325,$L325,Assumptions!$F$4:$F$44))</f>
        <v>0</v>
      </c>
      <c r="AS325" s="21" t="n">
        <f aca="false">IF($J325=0,0,MAX(0,NETWORKDAYS(MAX($K325,AS$4),MIN($L325,EOMONTH(AS$4,0)),Assumptions!$F$4:$F$44))/NETWORKDAYS($K325,$L325,Assumptions!$F$4:$F$44))</f>
        <v>1</v>
      </c>
      <c r="AT325" s="21" t="n">
        <f aca="false">IF($J325=0,0,MAX(0,NETWORKDAYS(MAX($K325,AT$4),MIN($L325,EOMONTH(AT$4,0)),Assumptions!$F$4:$F$44))/NETWORKDAYS($K325,$L325,Assumptions!$F$4:$F$44))</f>
        <v>0</v>
      </c>
      <c r="AU325" s="21" t="n">
        <f aca="false">IF($J325=0,0,MAX(0,NETWORKDAYS(MAX($K325,AU$4),MIN($L325,EOMONTH(AU$4,0)),Assumptions!$F$4:$F$44))/NETWORKDAYS($K325,$L325,Assumptions!$F$4:$F$44))</f>
        <v>0</v>
      </c>
      <c r="AV325" s="21" t="n">
        <f aca="false">IF($J325=0,0,MAX(0,NETWORKDAYS(MAX($K325,AV$4),MIN($L325,EOMONTH(AV$4,0)),Assumptions!$F$4:$F$44))/NETWORKDAYS($K325,$L325,Assumptions!$F$4:$F$44))</f>
        <v>0</v>
      </c>
      <c r="AW325" s="21" t="n">
        <f aca="false">IF($J325=0,0,MAX(0,NETWORKDAYS(MAX($K325,AW$4),MIN($L325,EOMONTH(AW$4,0)),Assumptions!$F$4:$F$44))/NETWORKDAYS($K325,$L325,Assumptions!$F$4:$F$44))</f>
        <v>0</v>
      </c>
      <c r="AX325" s="21" t="n">
        <f aca="false">IF($J325=0,0,MAX(0,NETWORKDAYS(MAX($K325,AX$4),MIN($L325,EOMONTH(AX$4,0)),Assumptions!$F$4:$F$44))/NETWORKDAYS($K325,$L325,Assumptions!$F$4:$F$44))</f>
        <v>0</v>
      </c>
      <c r="AY325" s="21" t="n">
        <f aca="false">IF($J325=0,0,MAX(0,NETWORKDAYS(MAX($K325,AY$4),MIN($L325,EOMONTH(AY$4,0)),Assumptions!$F$4:$F$44))/NETWORKDAYS($K325,$L325,Assumptions!$F$4:$F$44))</f>
        <v>0</v>
      </c>
      <c r="AZ325" s="21" t="n">
        <f aca="false">IF($J325=0,0,MAX(0,NETWORKDAYS(MAX($K325,AZ$4),MIN($L325,EOMONTH(AZ$4,0)),Assumptions!$F$4:$F$44))/NETWORKDAYS($K325,$L325,Assumptions!$F$4:$F$44))</f>
        <v>0</v>
      </c>
      <c r="BA325" s="21" t="n">
        <f aca="false">IF($J325=0,0,MAX(0,NETWORKDAYS(MAX($K325,BA$4),MIN($L325,EOMONTH(BA$4,0)),Assumptions!$F$4:$F$44))/NETWORKDAYS($K325,$L325,Assumptions!$F$4:$F$44))</f>
        <v>0</v>
      </c>
      <c r="BB325" s="21" t="n">
        <f aca="false">IF($J325=0,0,MAX(0,NETWORKDAYS(MAX($K325,BB$4),MIN($L325,EOMONTH(BB$4,0)),Assumptions!$F$4:$F$44))/NETWORKDAYS($K325,$L325,Assumptions!$F$4:$F$44))</f>
        <v>0</v>
      </c>
      <c r="BC325" s="21" t="n">
        <f aca="false">IF($J325=0,0,MAX(0,NETWORKDAYS(MAX($K325,BC$4),MIN($L325,EOMONTH(BC$4,0)),Assumptions!$F$4:$F$44))/NETWORKDAYS($K325,$L325,Assumptions!$F$4:$F$44))</f>
        <v>0</v>
      </c>
    </row>
    <row r="326" customFormat="false" ht="15" hidden="false" customHeight="false" outlineLevel="1" collapsed="false">
      <c r="A326" s="22" t="n">
        <v>322</v>
      </c>
      <c r="B326" s="22" t="s">
        <v>718</v>
      </c>
      <c r="C326" s="22" t="n">
        <v>2</v>
      </c>
      <c r="D326" s="22" t="s">
        <v>89</v>
      </c>
      <c r="E326" s="23" t="s">
        <v>719</v>
      </c>
      <c r="F326" s="22" t="s">
        <v>681</v>
      </c>
      <c r="G326" s="22" t="s">
        <v>720</v>
      </c>
      <c r="H326" s="22"/>
      <c r="I326" s="22"/>
      <c r="J326" s="22" t="n">
        <f aca="false">NETWORKDAYS(K326,L326,Assumptions!$F$4:$F$44)</f>
        <v>119</v>
      </c>
      <c r="K326" s="24" t="n">
        <f aca="false">MIN(K327:K341)</f>
        <v>46574</v>
      </c>
      <c r="L326" s="24" t="n">
        <f aca="false">MAX(L327:L341)</f>
        <v>46738</v>
      </c>
      <c r="M326" s="22"/>
      <c r="N326" s="25" t="n">
        <f aca="false">SUMPRODUCT(($C$327:$C$341=3)*(N327:N341))</f>
        <v>1</v>
      </c>
      <c r="O326" s="25" t="n">
        <f aca="false">SUMPRODUCT(($C$327:$C$341=3)*(O327:O341))</f>
        <v>23</v>
      </c>
      <c r="P326" s="25" t="n">
        <f aca="false">SUMPRODUCT(($C$327:$C$341=3)*(P327:P341))</f>
        <v>7</v>
      </c>
      <c r="Q326" s="25" t="n">
        <f aca="false">SUMPRODUCT(($C$327:$C$341=3)*(Q327:Q341))</f>
        <v>82</v>
      </c>
      <c r="R326" s="25" t="n">
        <f aca="false">SUMPRODUCT(($C$327:$C$341=3)*(R327:R341))</f>
        <v>41</v>
      </c>
      <c r="S326" s="25" t="n">
        <f aca="false">SUMPRODUCT(($C$327:$C$341=3)*(S327:S341))</f>
        <v>12</v>
      </c>
      <c r="T326" s="25" t="n">
        <f aca="false">SUMPRODUCT(($C$327:$C$341=3)*(T327:T341))</f>
        <v>10</v>
      </c>
      <c r="U326" s="25" t="n">
        <f aca="false">SUMPRODUCT(($C$327:$C$341=3)*(U327:U341))</f>
        <v>0</v>
      </c>
      <c r="V326" s="25" t="n">
        <f aca="false">SUMPRODUCT(($C$327:$C$341=3)*(V327:V341))</f>
        <v>31</v>
      </c>
      <c r="W326" s="25" t="n">
        <f aca="false">SUMPRODUCT(($C$327:$C$341=3)*(W327:W341))</f>
        <v>0</v>
      </c>
      <c r="X326" s="25" t="n">
        <f aca="false">SUMPRODUCT(($C$327:$C$341=3)*(X327:X341))</f>
        <v>6</v>
      </c>
      <c r="Y326" s="25" t="n">
        <f aca="false">SUM(N326:X326)</f>
        <v>213</v>
      </c>
      <c r="Z326" s="25" t="n">
        <f aca="false">Y326*(1+Assumptions!$C$5)</f>
        <v>244.95</v>
      </c>
      <c r="AA326" s="22" t="s">
        <v>721</v>
      </c>
      <c r="AB326" s="22"/>
      <c r="AC326" s="22"/>
      <c r="AD326" s="26"/>
      <c r="AF326" s="21" t="n">
        <v>0</v>
      </c>
      <c r="AG326" s="21" t="n">
        <v>0</v>
      </c>
      <c r="AH326" s="21" t="n">
        <v>0</v>
      </c>
      <c r="AI326" s="21" t="n">
        <v>0</v>
      </c>
      <c r="AJ326" s="21" t="n">
        <v>0</v>
      </c>
      <c r="AK326" s="21" t="n">
        <v>0</v>
      </c>
      <c r="AL326" s="21" t="n">
        <v>0</v>
      </c>
      <c r="AM326" s="21" t="n">
        <v>0</v>
      </c>
      <c r="AN326" s="21" t="n">
        <v>0</v>
      </c>
      <c r="AO326" s="21" t="n">
        <v>0</v>
      </c>
      <c r="AP326" s="21" t="n">
        <v>0</v>
      </c>
      <c r="AQ326" s="21" t="n">
        <v>0</v>
      </c>
      <c r="AR326" s="21" t="n">
        <v>0</v>
      </c>
      <c r="AS326" s="21" t="n">
        <v>0</v>
      </c>
      <c r="AT326" s="21" t="n">
        <v>0</v>
      </c>
      <c r="AU326" s="21" t="n">
        <v>0</v>
      </c>
      <c r="AV326" s="21" t="n">
        <v>0</v>
      </c>
      <c r="AW326" s="21" t="n">
        <v>0</v>
      </c>
      <c r="AX326" s="21" t="n">
        <v>0</v>
      </c>
      <c r="AY326" s="21" t="n">
        <v>0</v>
      </c>
      <c r="AZ326" s="21" t="n">
        <v>0</v>
      </c>
      <c r="BA326" s="21" t="n">
        <v>0</v>
      </c>
      <c r="BB326" s="21" t="n">
        <v>0</v>
      </c>
      <c r="BC326" s="21" t="n">
        <v>0</v>
      </c>
    </row>
    <row r="327" customFormat="false" ht="15" hidden="false" customHeight="false" outlineLevel="2" collapsed="false">
      <c r="A327" s="27" t="n">
        <v>323</v>
      </c>
      <c r="B327" s="27" t="s">
        <v>722</v>
      </c>
      <c r="C327" s="27" t="n">
        <v>3</v>
      </c>
      <c r="D327" s="27" t="s">
        <v>92</v>
      </c>
      <c r="E327" s="28" t="s">
        <v>292</v>
      </c>
      <c r="F327" s="27" t="s">
        <v>681</v>
      </c>
      <c r="G327" s="27" t="s">
        <v>720</v>
      </c>
      <c r="H327" s="27" t="s">
        <v>43</v>
      </c>
      <c r="I327" s="29" t="n">
        <v>176</v>
      </c>
      <c r="J327" s="29" t="n">
        <v>16</v>
      </c>
      <c r="K327" s="30" t="n">
        <f aca="false">WORKDAY(Assumptions!$C$4,I327,Assumptions!$F$4:$F$44)</f>
        <v>46574</v>
      </c>
      <c r="L327" s="30" t="n">
        <f aca="false">IF(J327=0,K327,WORKDAY(K327,J327-1,Assumptions!$F$4:$F$44))</f>
        <v>46595</v>
      </c>
      <c r="M327" s="29" t="s">
        <v>695</v>
      </c>
      <c r="N327" s="31" t="n">
        <v>1</v>
      </c>
      <c r="O327" s="31" t="n">
        <v>8</v>
      </c>
      <c r="P327" s="31" t="n">
        <v>2</v>
      </c>
      <c r="Q327" s="31" t="n">
        <v>0</v>
      </c>
      <c r="R327" s="31" t="n">
        <v>0</v>
      </c>
      <c r="S327" s="31" t="n">
        <v>0</v>
      </c>
      <c r="T327" s="31" t="n">
        <v>0</v>
      </c>
      <c r="U327" s="31" t="n">
        <v>0</v>
      </c>
      <c r="V327" s="31" t="n">
        <v>0</v>
      </c>
      <c r="W327" s="31" t="n">
        <v>0</v>
      </c>
      <c r="X327" s="31" t="n">
        <v>0</v>
      </c>
      <c r="Y327" s="32" t="n">
        <f aca="false">SUM(N327:X327)</f>
        <v>11</v>
      </c>
      <c r="Z327" s="32" t="n">
        <f aca="false">Y327*(1+Assumptions!$C$5)</f>
        <v>12.65</v>
      </c>
      <c r="AA327" s="27" t="s">
        <v>294</v>
      </c>
      <c r="AB327" s="27" t="s">
        <v>95</v>
      </c>
      <c r="AC327" s="27"/>
      <c r="AD327" s="33" t="n">
        <v>0</v>
      </c>
      <c r="AF327" s="21" t="n">
        <f aca="false">IF($J327=0,0,MAX(0,NETWORKDAYS(MAX($K327,AF$4),MIN($L327,EOMONTH(AF$4,0)),Assumptions!$F$4:$F$44))/NETWORKDAYS($K327,$L327,Assumptions!$F$4:$F$44))</f>
        <v>0</v>
      </c>
      <c r="AG327" s="21" t="n">
        <f aca="false">IF($J327=0,0,MAX(0,NETWORKDAYS(MAX($K327,AG$4),MIN($L327,EOMONTH(AG$4,0)),Assumptions!$F$4:$F$44))/NETWORKDAYS($K327,$L327,Assumptions!$F$4:$F$44))</f>
        <v>0</v>
      </c>
      <c r="AH327" s="21" t="n">
        <f aca="false">IF($J327=0,0,MAX(0,NETWORKDAYS(MAX($K327,AH$4),MIN($L327,EOMONTH(AH$4,0)),Assumptions!$F$4:$F$44))/NETWORKDAYS($K327,$L327,Assumptions!$F$4:$F$44))</f>
        <v>0</v>
      </c>
      <c r="AI327" s="21" t="n">
        <f aca="false">IF($J327=0,0,MAX(0,NETWORKDAYS(MAX($K327,AI$4),MIN($L327,EOMONTH(AI$4,0)),Assumptions!$F$4:$F$44))/NETWORKDAYS($K327,$L327,Assumptions!$F$4:$F$44))</f>
        <v>0</v>
      </c>
      <c r="AJ327" s="21" t="n">
        <f aca="false">IF($J327=0,0,MAX(0,NETWORKDAYS(MAX($K327,AJ$4),MIN($L327,EOMONTH(AJ$4,0)),Assumptions!$F$4:$F$44))/NETWORKDAYS($K327,$L327,Assumptions!$F$4:$F$44))</f>
        <v>0</v>
      </c>
      <c r="AK327" s="21" t="n">
        <f aca="false">IF($J327=0,0,MAX(0,NETWORKDAYS(MAX($K327,AK$4),MIN($L327,EOMONTH(AK$4,0)),Assumptions!$F$4:$F$44))/NETWORKDAYS($K327,$L327,Assumptions!$F$4:$F$44))</f>
        <v>0</v>
      </c>
      <c r="AL327" s="21" t="n">
        <f aca="false">IF($J327=0,0,MAX(0,NETWORKDAYS(MAX($K327,AL$4),MIN($L327,EOMONTH(AL$4,0)),Assumptions!$F$4:$F$44))/NETWORKDAYS($K327,$L327,Assumptions!$F$4:$F$44))</f>
        <v>0</v>
      </c>
      <c r="AM327" s="21" t="n">
        <f aca="false">IF($J327=0,0,MAX(0,NETWORKDAYS(MAX($K327,AM$4),MIN($L327,EOMONTH(AM$4,0)),Assumptions!$F$4:$F$44))/NETWORKDAYS($K327,$L327,Assumptions!$F$4:$F$44))</f>
        <v>0</v>
      </c>
      <c r="AN327" s="21" t="n">
        <f aca="false">IF($J327=0,0,MAX(0,NETWORKDAYS(MAX($K327,AN$4),MIN($L327,EOMONTH(AN$4,0)),Assumptions!$F$4:$F$44))/NETWORKDAYS($K327,$L327,Assumptions!$F$4:$F$44))</f>
        <v>1</v>
      </c>
      <c r="AO327" s="21" t="n">
        <f aca="false">IF($J327=0,0,MAX(0,NETWORKDAYS(MAX($K327,AO$4),MIN($L327,EOMONTH(AO$4,0)),Assumptions!$F$4:$F$44))/NETWORKDAYS($K327,$L327,Assumptions!$F$4:$F$44))</f>
        <v>0</v>
      </c>
      <c r="AP327" s="21" t="n">
        <f aca="false">IF($J327=0,0,MAX(0,NETWORKDAYS(MAX($K327,AP$4),MIN($L327,EOMONTH(AP$4,0)),Assumptions!$F$4:$F$44))/NETWORKDAYS($K327,$L327,Assumptions!$F$4:$F$44))</f>
        <v>0</v>
      </c>
      <c r="AQ327" s="21" t="n">
        <f aca="false">IF($J327=0,0,MAX(0,NETWORKDAYS(MAX($K327,AQ$4),MIN($L327,EOMONTH(AQ$4,0)),Assumptions!$F$4:$F$44))/NETWORKDAYS($K327,$L327,Assumptions!$F$4:$F$44))</f>
        <v>0</v>
      </c>
      <c r="AR327" s="21" t="n">
        <f aca="false">IF($J327=0,0,MAX(0,NETWORKDAYS(MAX($K327,AR$4),MIN($L327,EOMONTH(AR$4,0)),Assumptions!$F$4:$F$44))/NETWORKDAYS($K327,$L327,Assumptions!$F$4:$F$44))</f>
        <v>0</v>
      </c>
      <c r="AS327" s="21" t="n">
        <f aca="false">IF($J327=0,0,MAX(0,NETWORKDAYS(MAX($K327,AS$4),MIN($L327,EOMONTH(AS$4,0)),Assumptions!$F$4:$F$44))/NETWORKDAYS($K327,$L327,Assumptions!$F$4:$F$44))</f>
        <v>0</v>
      </c>
      <c r="AT327" s="21" t="n">
        <f aca="false">IF($J327=0,0,MAX(0,NETWORKDAYS(MAX($K327,AT$4),MIN($L327,EOMONTH(AT$4,0)),Assumptions!$F$4:$F$44))/NETWORKDAYS($K327,$L327,Assumptions!$F$4:$F$44))</f>
        <v>0</v>
      </c>
      <c r="AU327" s="21" t="n">
        <f aca="false">IF($J327=0,0,MAX(0,NETWORKDAYS(MAX($K327,AU$4),MIN($L327,EOMONTH(AU$4,0)),Assumptions!$F$4:$F$44))/NETWORKDAYS($K327,$L327,Assumptions!$F$4:$F$44))</f>
        <v>0</v>
      </c>
      <c r="AV327" s="21" t="n">
        <f aca="false">IF($J327=0,0,MAX(0,NETWORKDAYS(MAX($K327,AV$4),MIN($L327,EOMONTH(AV$4,0)),Assumptions!$F$4:$F$44))/NETWORKDAYS($K327,$L327,Assumptions!$F$4:$F$44))</f>
        <v>0</v>
      </c>
      <c r="AW327" s="21" t="n">
        <f aca="false">IF($J327=0,0,MAX(0,NETWORKDAYS(MAX($K327,AW$4),MIN($L327,EOMONTH(AW$4,0)),Assumptions!$F$4:$F$44))/NETWORKDAYS($K327,$L327,Assumptions!$F$4:$F$44))</f>
        <v>0</v>
      </c>
      <c r="AX327" s="21" t="n">
        <f aca="false">IF($J327=0,0,MAX(0,NETWORKDAYS(MAX($K327,AX$4),MIN($L327,EOMONTH(AX$4,0)),Assumptions!$F$4:$F$44))/NETWORKDAYS($K327,$L327,Assumptions!$F$4:$F$44))</f>
        <v>0</v>
      </c>
      <c r="AY327" s="21" t="n">
        <f aca="false">IF($J327=0,0,MAX(0,NETWORKDAYS(MAX($K327,AY$4),MIN($L327,EOMONTH(AY$4,0)),Assumptions!$F$4:$F$44))/NETWORKDAYS($K327,$L327,Assumptions!$F$4:$F$44))</f>
        <v>0</v>
      </c>
      <c r="AZ327" s="21" t="n">
        <f aca="false">IF($J327=0,0,MAX(0,NETWORKDAYS(MAX($K327,AZ$4),MIN($L327,EOMONTH(AZ$4,0)),Assumptions!$F$4:$F$44))/NETWORKDAYS($K327,$L327,Assumptions!$F$4:$F$44))</f>
        <v>0</v>
      </c>
      <c r="BA327" s="21" t="n">
        <f aca="false">IF($J327=0,0,MAX(0,NETWORKDAYS(MAX($K327,BA$4),MIN($L327,EOMONTH(BA$4,0)),Assumptions!$F$4:$F$44))/NETWORKDAYS($K327,$L327,Assumptions!$F$4:$F$44))</f>
        <v>0</v>
      </c>
      <c r="BB327" s="21" t="n">
        <f aca="false">IF($J327=0,0,MAX(0,NETWORKDAYS(MAX($K327,BB$4),MIN($L327,EOMONTH(BB$4,0)),Assumptions!$F$4:$F$44))/NETWORKDAYS($K327,$L327,Assumptions!$F$4:$F$44))</f>
        <v>0</v>
      </c>
      <c r="BC327" s="21" t="n">
        <f aca="false">IF($J327=0,0,MAX(0,NETWORKDAYS(MAX($K327,BC$4),MIN($L327,EOMONTH(BC$4,0)),Assumptions!$F$4:$F$44))/NETWORKDAYS($K327,$L327,Assumptions!$F$4:$F$44))</f>
        <v>0</v>
      </c>
    </row>
    <row r="328" customFormat="false" ht="15" hidden="false" customHeight="false" outlineLevel="2" collapsed="false">
      <c r="A328" s="27" t="n">
        <v>324</v>
      </c>
      <c r="B328" s="27" t="s">
        <v>723</v>
      </c>
      <c r="C328" s="27" t="n">
        <v>3</v>
      </c>
      <c r="D328" s="27" t="s">
        <v>92</v>
      </c>
      <c r="E328" s="28" t="s">
        <v>296</v>
      </c>
      <c r="F328" s="27" t="s">
        <v>681</v>
      </c>
      <c r="G328" s="27" t="s">
        <v>720</v>
      </c>
      <c r="H328" s="27" t="s">
        <v>45</v>
      </c>
      <c r="I328" s="29" t="n">
        <v>187</v>
      </c>
      <c r="J328" s="29" t="n">
        <v>16</v>
      </c>
      <c r="K328" s="30" t="n">
        <f aca="false">WORKDAY(Assumptions!$C$4,I328,Assumptions!$F$4:$F$44)</f>
        <v>46589</v>
      </c>
      <c r="L328" s="30" t="n">
        <f aca="false">IF(J328=0,K328,WORKDAY(K328,J328-1,Assumptions!$F$4:$F$44))</f>
        <v>46610</v>
      </c>
      <c r="M328" s="29" t="s">
        <v>724</v>
      </c>
      <c r="N328" s="31" t="n">
        <v>0</v>
      </c>
      <c r="O328" s="31" t="n">
        <v>0</v>
      </c>
      <c r="P328" s="31" t="n">
        <v>5</v>
      </c>
      <c r="Q328" s="31" t="n">
        <v>5</v>
      </c>
      <c r="R328" s="31" t="n">
        <v>0</v>
      </c>
      <c r="S328" s="31" t="n">
        <v>0</v>
      </c>
      <c r="T328" s="31" t="n">
        <v>0</v>
      </c>
      <c r="U328" s="31" t="n">
        <v>0</v>
      </c>
      <c r="V328" s="31" t="n">
        <v>0</v>
      </c>
      <c r="W328" s="31" t="n">
        <v>0</v>
      </c>
      <c r="X328" s="31" t="n">
        <v>0</v>
      </c>
      <c r="Y328" s="32" t="n">
        <f aca="false">SUM(N328:X328)</f>
        <v>10</v>
      </c>
      <c r="Z328" s="32" t="n">
        <f aca="false">Y328*(1+Assumptions!$C$5)</f>
        <v>11.5</v>
      </c>
      <c r="AA328" s="27" t="s">
        <v>298</v>
      </c>
      <c r="AB328" s="27" t="s">
        <v>95</v>
      </c>
      <c r="AC328" s="27"/>
      <c r="AD328" s="33" t="n">
        <v>0</v>
      </c>
      <c r="AF328" s="21" t="n">
        <f aca="false">IF($J328=0,0,MAX(0,NETWORKDAYS(MAX($K328,AF$4),MIN($L328,EOMONTH(AF$4,0)),Assumptions!$F$4:$F$44))/NETWORKDAYS($K328,$L328,Assumptions!$F$4:$F$44))</f>
        <v>0</v>
      </c>
      <c r="AG328" s="21" t="n">
        <f aca="false">IF($J328=0,0,MAX(0,NETWORKDAYS(MAX($K328,AG$4),MIN($L328,EOMONTH(AG$4,0)),Assumptions!$F$4:$F$44))/NETWORKDAYS($K328,$L328,Assumptions!$F$4:$F$44))</f>
        <v>0</v>
      </c>
      <c r="AH328" s="21" t="n">
        <f aca="false">IF($J328=0,0,MAX(0,NETWORKDAYS(MAX($K328,AH$4),MIN($L328,EOMONTH(AH$4,0)),Assumptions!$F$4:$F$44))/NETWORKDAYS($K328,$L328,Assumptions!$F$4:$F$44))</f>
        <v>0</v>
      </c>
      <c r="AI328" s="21" t="n">
        <f aca="false">IF($J328=0,0,MAX(0,NETWORKDAYS(MAX($K328,AI$4),MIN($L328,EOMONTH(AI$4,0)),Assumptions!$F$4:$F$44))/NETWORKDAYS($K328,$L328,Assumptions!$F$4:$F$44))</f>
        <v>0</v>
      </c>
      <c r="AJ328" s="21" t="n">
        <f aca="false">IF($J328=0,0,MAX(0,NETWORKDAYS(MAX($K328,AJ$4),MIN($L328,EOMONTH(AJ$4,0)),Assumptions!$F$4:$F$44))/NETWORKDAYS($K328,$L328,Assumptions!$F$4:$F$44))</f>
        <v>0</v>
      </c>
      <c r="AK328" s="21" t="n">
        <f aca="false">IF($J328=0,0,MAX(0,NETWORKDAYS(MAX($K328,AK$4),MIN($L328,EOMONTH(AK$4,0)),Assumptions!$F$4:$F$44))/NETWORKDAYS($K328,$L328,Assumptions!$F$4:$F$44))</f>
        <v>0</v>
      </c>
      <c r="AL328" s="21" t="n">
        <f aca="false">IF($J328=0,0,MAX(0,NETWORKDAYS(MAX($K328,AL$4),MIN($L328,EOMONTH(AL$4,0)),Assumptions!$F$4:$F$44))/NETWORKDAYS($K328,$L328,Assumptions!$F$4:$F$44))</f>
        <v>0</v>
      </c>
      <c r="AM328" s="21" t="n">
        <f aca="false">IF($J328=0,0,MAX(0,NETWORKDAYS(MAX($K328,AM$4),MIN($L328,EOMONTH(AM$4,0)),Assumptions!$F$4:$F$44))/NETWORKDAYS($K328,$L328,Assumptions!$F$4:$F$44))</f>
        <v>0</v>
      </c>
      <c r="AN328" s="21" t="n">
        <f aca="false">IF($J328=0,0,MAX(0,NETWORKDAYS(MAX($K328,AN$4),MIN($L328,EOMONTH(AN$4,0)),Assumptions!$F$4:$F$44))/NETWORKDAYS($K328,$L328,Assumptions!$F$4:$F$44))</f>
        <v>0.5</v>
      </c>
      <c r="AO328" s="21" t="n">
        <f aca="false">IF($J328=0,0,MAX(0,NETWORKDAYS(MAX($K328,AO$4),MIN($L328,EOMONTH(AO$4,0)),Assumptions!$F$4:$F$44))/NETWORKDAYS($K328,$L328,Assumptions!$F$4:$F$44))</f>
        <v>0.5</v>
      </c>
      <c r="AP328" s="21" t="n">
        <f aca="false">IF($J328=0,0,MAX(0,NETWORKDAYS(MAX($K328,AP$4),MIN($L328,EOMONTH(AP$4,0)),Assumptions!$F$4:$F$44))/NETWORKDAYS($K328,$L328,Assumptions!$F$4:$F$44))</f>
        <v>0</v>
      </c>
      <c r="AQ328" s="21" t="n">
        <f aca="false">IF($J328=0,0,MAX(0,NETWORKDAYS(MAX($K328,AQ$4),MIN($L328,EOMONTH(AQ$4,0)),Assumptions!$F$4:$F$44))/NETWORKDAYS($K328,$L328,Assumptions!$F$4:$F$44))</f>
        <v>0</v>
      </c>
      <c r="AR328" s="21" t="n">
        <f aca="false">IF($J328=0,0,MAX(0,NETWORKDAYS(MAX($K328,AR$4),MIN($L328,EOMONTH(AR$4,0)),Assumptions!$F$4:$F$44))/NETWORKDAYS($K328,$L328,Assumptions!$F$4:$F$44))</f>
        <v>0</v>
      </c>
      <c r="AS328" s="21" t="n">
        <f aca="false">IF($J328=0,0,MAX(0,NETWORKDAYS(MAX($K328,AS$4),MIN($L328,EOMONTH(AS$4,0)),Assumptions!$F$4:$F$44))/NETWORKDAYS($K328,$L328,Assumptions!$F$4:$F$44))</f>
        <v>0</v>
      </c>
      <c r="AT328" s="21" t="n">
        <f aca="false">IF($J328=0,0,MAX(0,NETWORKDAYS(MAX($K328,AT$4),MIN($L328,EOMONTH(AT$4,0)),Assumptions!$F$4:$F$44))/NETWORKDAYS($K328,$L328,Assumptions!$F$4:$F$44))</f>
        <v>0</v>
      </c>
      <c r="AU328" s="21" t="n">
        <f aca="false">IF($J328=0,0,MAX(0,NETWORKDAYS(MAX($K328,AU$4),MIN($L328,EOMONTH(AU$4,0)),Assumptions!$F$4:$F$44))/NETWORKDAYS($K328,$L328,Assumptions!$F$4:$F$44))</f>
        <v>0</v>
      </c>
      <c r="AV328" s="21" t="n">
        <f aca="false">IF($J328=0,0,MAX(0,NETWORKDAYS(MAX($K328,AV$4),MIN($L328,EOMONTH(AV$4,0)),Assumptions!$F$4:$F$44))/NETWORKDAYS($K328,$L328,Assumptions!$F$4:$F$44))</f>
        <v>0</v>
      </c>
      <c r="AW328" s="21" t="n">
        <f aca="false">IF($J328=0,0,MAX(0,NETWORKDAYS(MAX($K328,AW$4),MIN($L328,EOMONTH(AW$4,0)),Assumptions!$F$4:$F$44))/NETWORKDAYS($K328,$L328,Assumptions!$F$4:$F$44))</f>
        <v>0</v>
      </c>
      <c r="AX328" s="21" t="n">
        <f aca="false">IF($J328=0,0,MAX(0,NETWORKDAYS(MAX($K328,AX$4),MIN($L328,EOMONTH(AX$4,0)),Assumptions!$F$4:$F$44))/NETWORKDAYS($K328,$L328,Assumptions!$F$4:$F$44))</f>
        <v>0</v>
      </c>
      <c r="AY328" s="21" t="n">
        <f aca="false">IF($J328=0,0,MAX(0,NETWORKDAYS(MAX($K328,AY$4),MIN($L328,EOMONTH(AY$4,0)),Assumptions!$F$4:$F$44))/NETWORKDAYS($K328,$L328,Assumptions!$F$4:$F$44))</f>
        <v>0</v>
      </c>
      <c r="AZ328" s="21" t="n">
        <f aca="false">IF($J328=0,0,MAX(0,NETWORKDAYS(MAX($K328,AZ$4),MIN($L328,EOMONTH(AZ$4,0)),Assumptions!$F$4:$F$44))/NETWORKDAYS($K328,$L328,Assumptions!$F$4:$F$44))</f>
        <v>0</v>
      </c>
      <c r="BA328" s="21" t="n">
        <f aca="false">IF($J328=0,0,MAX(0,NETWORKDAYS(MAX($K328,BA$4),MIN($L328,EOMONTH(BA$4,0)),Assumptions!$F$4:$F$44))/NETWORKDAYS($K328,$L328,Assumptions!$F$4:$F$44))</f>
        <v>0</v>
      </c>
      <c r="BB328" s="21" t="n">
        <f aca="false">IF($J328=0,0,MAX(0,NETWORKDAYS(MAX($K328,BB$4),MIN($L328,EOMONTH(BB$4,0)),Assumptions!$F$4:$F$44))/NETWORKDAYS($K328,$L328,Assumptions!$F$4:$F$44))</f>
        <v>0</v>
      </c>
      <c r="BC328" s="21" t="n">
        <f aca="false">IF($J328=0,0,MAX(0,NETWORKDAYS(MAX($K328,BC$4),MIN($L328,EOMONTH(BC$4,0)),Assumptions!$F$4:$F$44))/NETWORKDAYS($K328,$L328,Assumptions!$F$4:$F$44))</f>
        <v>0</v>
      </c>
    </row>
    <row r="329" customFormat="false" ht="15" hidden="false" customHeight="false" outlineLevel="2" collapsed="false">
      <c r="A329" s="27" t="n">
        <v>325</v>
      </c>
      <c r="B329" s="27" t="s">
        <v>725</v>
      </c>
      <c r="C329" s="27" t="n">
        <v>3</v>
      </c>
      <c r="D329" s="27" t="s">
        <v>92</v>
      </c>
      <c r="E329" s="28" t="s">
        <v>300</v>
      </c>
      <c r="F329" s="27" t="s">
        <v>681</v>
      </c>
      <c r="G329" s="27" t="s">
        <v>720</v>
      </c>
      <c r="H329" s="27" t="s">
        <v>49</v>
      </c>
      <c r="I329" s="29" t="n">
        <v>187</v>
      </c>
      <c r="J329" s="29" t="n">
        <v>16</v>
      </c>
      <c r="K329" s="30" t="n">
        <f aca="false">WORKDAY(Assumptions!$C$4,I329,Assumptions!$F$4:$F$44)</f>
        <v>46589</v>
      </c>
      <c r="L329" s="30" t="n">
        <f aca="false">IF(J329=0,K329,WORKDAY(K329,J329-1,Assumptions!$F$4:$F$44))</f>
        <v>46610</v>
      </c>
      <c r="M329" s="29" t="s">
        <v>724</v>
      </c>
      <c r="N329" s="31" t="n">
        <v>0</v>
      </c>
      <c r="O329" s="31" t="n">
        <v>2</v>
      </c>
      <c r="P329" s="31" t="n">
        <v>0</v>
      </c>
      <c r="Q329" s="31" t="n">
        <v>0</v>
      </c>
      <c r="R329" s="31" t="n">
        <v>6</v>
      </c>
      <c r="S329" s="31" t="n">
        <v>0</v>
      </c>
      <c r="T329" s="31" t="n">
        <v>0</v>
      </c>
      <c r="U329" s="31" t="n">
        <v>0</v>
      </c>
      <c r="V329" s="31" t="n">
        <v>0</v>
      </c>
      <c r="W329" s="31" t="n">
        <v>0</v>
      </c>
      <c r="X329" s="31" t="n">
        <v>0</v>
      </c>
      <c r="Y329" s="32" t="n">
        <f aca="false">SUM(N329:X329)</f>
        <v>8</v>
      </c>
      <c r="Z329" s="32" t="n">
        <f aca="false">Y329*(1+Assumptions!$C$5)</f>
        <v>9.2</v>
      </c>
      <c r="AA329" s="27" t="s">
        <v>301</v>
      </c>
      <c r="AB329" s="27" t="s">
        <v>95</v>
      </c>
      <c r="AC329" s="27"/>
      <c r="AD329" s="33" t="n">
        <v>0</v>
      </c>
      <c r="AF329" s="21" t="n">
        <f aca="false">IF($J329=0,0,MAX(0,NETWORKDAYS(MAX($K329,AF$4),MIN($L329,EOMONTH(AF$4,0)),Assumptions!$F$4:$F$44))/NETWORKDAYS($K329,$L329,Assumptions!$F$4:$F$44))</f>
        <v>0</v>
      </c>
      <c r="AG329" s="21" t="n">
        <f aca="false">IF($J329=0,0,MAX(0,NETWORKDAYS(MAX($K329,AG$4),MIN($L329,EOMONTH(AG$4,0)),Assumptions!$F$4:$F$44))/NETWORKDAYS($K329,$L329,Assumptions!$F$4:$F$44))</f>
        <v>0</v>
      </c>
      <c r="AH329" s="21" t="n">
        <f aca="false">IF($J329=0,0,MAX(0,NETWORKDAYS(MAX($K329,AH$4),MIN($L329,EOMONTH(AH$4,0)),Assumptions!$F$4:$F$44))/NETWORKDAYS($K329,$L329,Assumptions!$F$4:$F$44))</f>
        <v>0</v>
      </c>
      <c r="AI329" s="21" t="n">
        <f aca="false">IF($J329=0,0,MAX(0,NETWORKDAYS(MAX($K329,AI$4),MIN($L329,EOMONTH(AI$4,0)),Assumptions!$F$4:$F$44))/NETWORKDAYS($K329,$L329,Assumptions!$F$4:$F$44))</f>
        <v>0</v>
      </c>
      <c r="AJ329" s="21" t="n">
        <f aca="false">IF($J329=0,0,MAX(0,NETWORKDAYS(MAX($K329,AJ$4),MIN($L329,EOMONTH(AJ$4,0)),Assumptions!$F$4:$F$44))/NETWORKDAYS($K329,$L329,Assumptions!$F$4:$F$44))</f>
        <v>0</v>
      </c>
      <c r="AK329" s="21" t="n">
        <f aca="false">IF($J329=0,0,MAX(0,NETWORKDAYS(MAX($K329,AK$4),MIN($L329,EOMONTH(AK$4,0)),Assumptions!$F$4:$F$44))/NETWORKDAYS($K329,$L329,Assumptions!$F$4:$F$44))</f>
        <v>0</v>
      </c>
      <c r="AL329" s="21" t="n">
        <f aca="false">IF($J329=0,0,MAX(0,NETWORKDAYS(MAX($K329,AL$4),MIN($L329,EOMONTH(AL$4,0)),Assumptions!$F$4:$F$44))/NETWORKDAYS($K329,$L329,Assumptions!$F$4:$F$44))</f>
        <v>0</v>
      </c>
      <c r="AM329" s="21" t="n">
        <f aca="false">IF($J329=0,0,MAX(0,NETWORKDAYS(MAX($K329,AM$4),MIN($L329,EOMONTH(AM$4,0)),Assumptions!$F$4:$F$44))/NETWORKDAYS($K329,$L329,Assumptions!$F$4:$F$44))</f>
        <v>0</v>
      </c>
      <c r="AN329" s="21" t="n">
        <f aca="false">IF($J329=0,0,MAX(0,NETWORKDAYS(MAX($K329,AN$4),MIN($L329,EOMONTH(AN$4,0)),Assumptions!$F$4:$F$44))/NETWORKDAYS($K329,$L329,Assumptions!$F$4:$F$44))</f>
        <v>0.5</v>
      </c>
      <c r="AO329" s="21" t="n">
        <f aca="false">IF($J329=0,0,MAX(0,NETWORKDAYS(MAX($K329,AO$4),MIN($L329,EOMONTH(AO$4,0)),Assumptions!$F$4:$F$44))/NETWORKDAYS($K329,$L329,Assumptions!$F$4:$F$44))</f>
        <v>0.5</v>
      </c>
      <c r="AP329" s="21" t="n">
        <f aca="false">IF($J329=0,0,MAX(0,NETWORKDAYS(MAX($K329,AP$4),MIN($L329,EOMONTH(AP$4,0)),Assumptions!$F$4:$F$44))/NETWORKDAYS($K329,$L329,Assumptions!$F$4:$F$44))</f>
        <v>0</v>
      </c>
      <c r="AQ329" s="21" t="n">
        <f aca="false">IF($J329=0,0,MAX(0,NETWORKDAYS(MAX($K329,AQ$4),MIN($L329,EOMONTH(AQ$4,0)),Assumptions!$F$4:$F$44))/NETWORKDAYS($K329,$L329,Assumptions!$F$4:$F$44))</f>
        <v>0</v>
      </c>
      <c r="AR329" s="21" t="n">
        <f aca="false">IF($J329=0,0,MAX(0,NETWORKDAYS(MAX($K329,AR$4),MIN($L329,EOMONTH(AR$4,0)),Assumptions!$F$4:$F$44))/NETWORKDAYS($K329,$L329,Assumptions!$F$4:$F$44))</f>
        <v>0</v>
      </c>
      <c r="AS329" s="21" t="n">
        <f aca="false">IF($J329=0,0,MAX(0,NETWORKDAYS(MAX($K329,AS$4),MIN($L329,EOMONTH(AS$4,0)),Assumptions!$F$4:$F$44))/NETWORKDAYS($K329,$L329,Assumptions!$F$4:$F$44))</f>
        <v>0</v>
      </c>
      <c r="AT329" s="21" t="n">
        <f aca="false">IF($J329=0,0,MAX(0,NETWORKDAYS(MAX($K329,AT$4),MIN($L329,EOMONTH(AT$4,0)),Assumptions!$F$4:$F$44))/NETWORKDAYS($K329,$L329,Assumptions!$F$4:$F$44))</f>
        <v>0</v>
      </c>
      <c r="AU329" s="21" t="n">
        <f aca="false">IF($J329=0,0,MAX(0,NETWORKDAYS(MAX($K329,AU$4),MIN($L329,EOMONTH(AU$4,0)),Assumptions!$F$4:$F$44))/NETWORKDAYS($K329,$L329,Assumptions!$F$4:$F$44))</f>
        <v>0</v>
      </c>
      <c r="AV329" s="21" t="n">
        <f aca="false">IF($J329=0,0,MAX(0,NETWORKDAYS(MAX($K329,AV$4),MIN($L329,EOMONTH(AV$4,0)),Assumptions!$F$4:$F$44))/NETWORKDAYS($K329,$L329,Assumptions!$F$4:$F$44))</f>
        <v>0</v>
      </c>
      <c r="AW329" s="21" t="n">
        <f aca="false">IF($J329=0,0,MAX(0,NETWORKDAYS(MAX($K329,AW$4),MIN($L329,EOMONTH(AW$4,0)),Assumptions!$F$4:$F$44))/NETWORKDAYS($K329,$L329,Assumptions!$F$4:$F$44))</f>
        <v>0</v>
      </c>
      <c r="AX329" s="21" t="n">
        <f aca="false">IF($J329=0,0,MAX(0,NETWORKDAYS(MAX($K329,AX$4),MIN($L329,EOMONTH(AX$4,0)),Assumptions!$F$4:$F$44))/NETWORKDAYS($K329,$L329,Assumptions!$F$4:$F$44))</f>
        <v>0</v>
      </c>
      <c r="AY329" s="21" t="n">
        <f aca="false">IF($J329=0,0,MAX(0,NETWORKDAYS(MAX($K329,AY$4),MIN($L329,EOMONTH(AY$4,0)),Assumptions!$F$4:$F$44))/NETWORKDAYS($K329,$L329,Assumptions!$F$4:$F$44))</f>
        <v>0</v>
      </c>
      <c r="AZ329" s="21" t="n">
        <f aca="false">IF($J329=0,0,MAX(0,NETWORKDAYS(MAX($K329,AZ$4),MIN($L329,EOMONTH(AZ$4,0)),Assumptions!$F$4:$F$44))/NETWORKDAYS($K329,$L329,Assumptions!$F$4:$F$44))</f>
        <v>0</v>
      </c>
      <c r="BA329" s="21" t="n">
        <f aca="false">IF($J329=0,0,MAX(0,NETWORKDAYS(MAX($K329,BA$4),MIN($L329,EOMONTH(BA$4,0)),Assumptions!$F$4:$F$44))/NETWORKDAYS($K329,$L329,Assumptions!$F$4:$F$44))</f>
        <v>0</v>
      </c>
      <c r="BB329" s="21" t="n">
        <f aca="false">IF($J329=0,0,MAX(0,NETWORKDAYS(MAX($K329,BB$4),MIN($L329,EOMONTH(BB$4,0)),Assumptions!$F$4:$F$44))/NETWORKDAYS($K329,$L329,Assumptions!$F$4:$F$44))</f>
        <v>0</v>
      </c>
      <c r="BC329" s="21" t="n">
        <f aca="false">IF($J329=0,0,MAX(0,NETWORKDAYS(MAX($K329,BC$4),MIN($L329,EOMONTH(BC$4,0)),Assumptions!$F$4:$F$44))/NETWORKDAYS($K329,$L329,Assumptions!$F$4:$F$44))</f>
        <v>0</v>
      </c>
    </row>
    <row r="330" customFormat="false" ht="15" hidden="false" customHeight="false" outlineLevel="2" collapsed="false">
      <c r="A330" s="27" t="n">
        <v>326</v>
      </c>
      <c r="B330" s="27" t="s">
        <v>726</v>
      </c>
      <c r="C330" s="27" t="n">
        <v>3</v>
      </c>
      <c r="D330" s="27" t="s">
        <v>92</v>
      </c>
      <c r="E330" s="28" t="s">
        <v>303</v>
      </c>
      <c r="F330" s="27" t="s">
        <v>681</v>
      </c>
      <c r="G330" s="27" t="s">
        <v>720</v>
      </c>
      <c r="H330" s="27" t="s">
        <v>47</v>
      </c>
      <c r="I330" s="29" t="n">
        <v>200</v>
      </c>
      <c r="J330" s="29" t="n">
        <v>55</v>
      </c>
      <c r="K330" s="30" t="n">
        <f aca="false">WORKDAY(Assumptions!$C$4,I330,Assumptions!$F$4:$F$44)</f>
        <v>46608</v>
      </c>
      <c r="L330" s="30" t="n">
        <f aca="false">IF(J330=0,K330,WORKDAY(K330,J330-1,Assumptions!$F$4:$F$44))</f>
        <v>46682</v>
      </c>
      <c r="M330" s="29" t="s">
        <v>727</v>
      </c>
      <c r="N330" s="31" t="n">
        <v>0</v>
      </c>
      <c r="O330" s="31" t="n">
        <v>0</v>
      </c>
      <c r="P330" s="31" t="n">
        <v>0</v>
      </c>
      <c r="Q330" s="31" t="n">
        <v>31</v>
      </c>
      <c r="R330" s="31" t="n">
        <v>0</v>
      </c>
      <c r="S330" s="31" t="n">
        <v>0</v>
      </c>
      <c r="T330" s="31" t="n">
        <v>0</v>
      </c>
      <c r="U330" s="31" t="n">
        <v>0</v>
      </c>
      <c r="V330" s="31" t="n">
        <v>0</v>
      </c>
      <c r="W330" s="31" t="n">
        <v>0</v>
      </c>
      <c r="X330" s="31" t="n">
        <v>0</v>
      </c>
      <c r="Y330" s="32" t="n">
        <f aca="false">SUM(N330:X330)</f>
        <v>31</v>
      </c>
      <c r="Z330" s="32" t="n">
        <f aca="false">Y330*(1+Assumptions!$C$5)</f>
        <v>35.65</v>
      </c>
      <c r="AA330" s="27" t="s">
        <v>305</v>
      </c>
      <c r="AB330" s="27" t="s">
        <v>95</v>
      </c>
      <c r="AC330" s="27"/>
      <c r="AD330" s="33" t="n">
        <v>0</v>
      </c>
      <c r="AF330" s="21" t="n">
        <f aca="false">IF($J330=0,0,MAX(0,NETWORKDAYS(MAX($K330,AF$4),MIN($L330,EOMONTH(AF$4,0)),Assumptions!$F$4:$F$44))/NETWORKDAYS($K330,$L330,Assumptions!$F$4:$F$44))</f>
        <v>0</v>
      </c>
      <c r="AG330" s="21" t="n">
        <f aca="false">IF($J330=0,0,MAX(0,NETWORKDAYS(MAX($K330,AG$4),MIN($L330,EOMONTH(AG$4,0)),Assumptions!$F$4:$F$44))/NETWORKDAYS($K330,$L330,Assumptions!$F$4:$F$44))</f>
        <v>0</v>
      </c>
      <c r="AH330" s="21" t="n">
        <f aca="false">IF($J330=0,0,MAX(0,NETWORKDAYS(MAX($K330,AH$4),MIN($L330,EOMONTH(AH$4,0)),Assumptions!$F$4:$F$44))/NETWORKDAYS($K330,$L330,Assumptions!$F$4:$F$44))</f>
        <v>0</v>
      </c>
      <c r="AI330" s="21" t="n">
        <f aca="false">IF($J330=0,0,MAX(0,NETWORKDAYS(MAX($K330,AI$4),MIN($L330,EOMONTH(AI$4,0)),Assumptions!$F$4:$F$44))/NETWORKDAYS($K330,$L330,Assumptions!$F$4:$F$44))</f>
        <v>0</v>
      </c>
      <c r="AJ330" s="21" t="n">
        <f aca="false">IF($J330=0,0,MAX(0,NETWORKDAYS(MAX($K330,AJ$4),MIN($L330,EOMONTH(AJ$4,0)),Assumptions!$F$4:$F$44))/NETWORKDAYS($K330,$L330,Assumptions!$F$4:$F$44))</f>
        <v>0</v>
      </c>
      <c r="AK330" s="21" t="n">
        <f aca="false">IF($J330=0,0,MAX(0,NETWORKDAYS(MAX($K330,AK$4),MIN($L330,EOMONTH(AK$4,0)),Assumptions!$F$4:$F$44))/NETWORKDAYS($K330,$L330,Assumptions!$F$4:$F$44))</f>
        <v>0</v>
      </c>
      <c r="AL330" s="21" t="n">
        <f aca="false">IF($J330=0,0,MAX(0,NETWORKDAYS(MAX($K330,AL$4),MIN($L330,EOMONTH(AL$4,0)),Assumptions!$F$4:$F$44))/NETWORKDAYS($K330,$L330,Assumptions!$F$4:$F$44))</f>
        <v>0</v>
      </c>
      <c r="AM330" s="21" t="n">
        <f aca="false">IF($J330=0,0,MAX(0,NETWORKDAYS(MAX($K330,AM$4),MIN($L330,EOMONTH(AM$4,0)),Assumptions!$F$4:$F$44))/NETWORKDAYS($K330,$L330,Assumptions!$F$4:$F$44))</f>
        <v>0</v>
      </c>
      <c r="AN330" s="21" t="n">
        <f aca="false">IF($J330=0,0,MAX(0,NETWORKDAYS(MAX($K330,AN$4),MIN($L330,EOMONTH(AN$4,0)),Assumptions!$F$4:$F$44))/NETWORKDAYS($K330,$L330,Assumptions!$F$4:$F$44))</f>
        <v>0</v>
      </c>
      <c r="AO330" s="21" t="n">
        <f aca="false">IF($J330=0,0,MAX(0,NETWORKDAYS(MAX($K330,AO$4),MIN($L330,EOMONTH(AO$4,0)),Assumptions!$F$4:$F$44))/NETWORKDAYS($K330,$L330,Assumptions!$F$4:$F$44))</f>
        <v>0.309090909090909</v>
      </c>
      <c r="AP330" s="21" t="n">
        <f aca="false">IF($J330=0,0,MAX(0,NETWORKDAYS(MAX($K330,AP$4),MIN($L330,EOMONTH(AP$4,0)),Assumptions!$F$4:$F$44))/NETWORKDAYS($K330,$L330,Assumptions!$F$4:$F$44))</f>
        <v>0.4</v>
      </c>
      <c r="AQ330" s="21" t="n">
        <f aca="false">IF($J330=0,0,MAX(0,NETWORKDAYS(MAX($K330,AQ$4),MIN($L330,EOMONTH(AQ$4,0)),Assumptions!$F$4:$F$44))/NETWORKDAYS($K330,$L330,Assumptions!$F$4:$F$44))</f>
        <v>0.290909090909091</v>
      </c>
      <c r="AR330" s="21" t="n">
        <f aca="false">IF($J330=0,0,MAX(0,NETWORKDAYS(MAX($K330,AR$4),MIN($L330,EOMONTH(AR$4,0)),Assumptions!$F$4:$F$44))/NETWORKDAYS($K330,$L330,Assumptions!$F$4:$F$44))</f>
        <v>0</v>
      </c>
      <c r="AS330" s="21" t="n">
        <f aca="false">IF($J330=0,0,MAX(0,NETWORKDAYS(MAX($K330,AS$4),MIN($L330,EOMONTH(AS$4,0)),Assumptions!$F$4:$F$44))/NETWORKDAYS($K330,$L330,Assumptions!$F$4:$F$44))</f>
        <v>0</v>
      </c>
      <c r="AT330" s="21" t="n">
        <f aca="false">IF($J330=0,0,MAX(0,NETWORKDAYS(MAX($K330,AT$4),MIN($L330,EOMONTH(AT$4,0)),Assumptions!$F$4:$F$44))/NETWORKDAYS($K330,$L330,Assumptions!$F$4:$F$44))</f>
        <v>0</v>
      </c>
      <c r="AU330" s="21" t="n">
        <f aca="false">IF($J330=0,0,MAX(0,NETWORKDAYS(MAX($K330,AU$4),MIN($L330,EOMONTH(AU$4,0)),Assumptions!$F$4:$F$44))/NETWORKDAYS($K330,$L330,Assumptions!$F$4:$F$44))</f>
        <v>0</v>
      </c>
      <c r="AV330" s="21" t="n">
        <f aca="false">IF($J330=0,0,MAX(0,NETWORKDAYS(MAX($K330,AV$4),MIN($L330,EOMONTH(AV$4,0)),Assumptions!$F$4:$F$44))/NETWORKDAYS($K330,$L330,Assumptions!$F$4:$F$44))</f>
        <v>0</v>
      </c>
      <c r="AW330" s="21" t="n">
        <f aca="false">IF($J330=0,0,MAX(0,NETWORKDAYS(MAX($K330,AW$4),MIN($L330,EOMONTH(AW$4,0)),Assumptions!$F$4:$F$44))/NETWORKDAYS($K330,$L330,Assumptions!$F$4:$F$44))</f>
        <v>0</v>
      </c>
      <c r="AX330" s="21" t="n">
        <f aca="false">IF($J330=0,0,MAX(0,NETWORKDAYS(MAX($K330,AX$4),MIN($L330,EOMONTH(AX$4,0)),Assumptions!$F$4:$F$44))/NETWORKDAYS($K330,$L330,Assumptions!$F$4:$F$44))</f>
        <v>0</v>
      </c>
      <c r="AY330" s="21" t="n">
        <f aca="false">IF($J330=0,0,MAX(0,NETWORKDAYS(MAX($K330,AY$4),MIN($L330,EOMONTH(AY$4,0)),Assumptions!$F$4:$F$44))/NETWORKDAYS($K330,$L330,Assumptions!$F$4:$F$44))</f>
        <v>0</v>
      </c>
      <c r="AZ330" s="21" t="n">
        <f aca="false">IF($J330=0,0,MAX(0,NETWORKDAYS(MAX($K330,AZ$4),MIN($L330,EOMONTH(AZ$4,0)),Assumptions!$F$4:$F$44))/NETWORKDAYS($K330,$L330,Assumptions!$F$4:$F$44))</f>
        <v>0</v>
      </c>
      <c r="BA330" s="21" t="n">
        <f aca="false">IF($J330=0,0,MAX(0,NETWORKDAYS(MAX($K330,BA$4),MIN($L330,EOMONTH(BA$4,0)),Assumptions!$F$4:$F$44))/NETWORKDAYS($K330,$L330,Assumptions!$F$4:$F$44))</f>
        <v>0</v>
      </c>
      <c r="BB330" s="21" t="n">
        <f aca="false">IF($J330=0,0,MAX(0,NETWORKDAYS(MAX($K330,BB$4),MIN($L330,EOMONTH(BB$4,0)),Assumptions!$F$4:$F$44))/NETWORKDAYS($K330,$L330,Assumptions!$F$4:$F$44))</f>
        <v>0</v>
      </c>
      <c r="BC330" s="21" t="n">
        <f aca="false">IF($J330=0,0,MAX(0,NETWORKDAYS(MAX($K330,BC$4),MIN($L330,EOMONTH(BC$4,0)),Assumptions!$F$4:$F$44))/NETWORKDAYS($K330,$L330,Assumptions!$F$4:$F$44))</f>
        <v>0</v>
      </c>
    </row>
    <row r="331" customFormat="false" ht="15" hidden="false" customHeight="false" outlineLevel="2" collapsed="false">
      <c r="A331" s="27" t="n">
        <v>327</v>
      </c>
      <c r="B331" s="27" t="s">
        <v>728</v>
      </c>
      <c r="C331" s="27" t="n">
        <v>3</v>
      </c>
      <c r="D331" s="27" t="s">
        <v>92</v>
      </c>
      <c r="E331" s="28" t="s">
        <v>307</v>
      </c>
      <c r="F331" s="27" t="s">
        <v>681</v>
      </c>
      <c r="G331" s="27" t="s">
        <v>720</v>
      </c>
      <c r="H331" s="27" t="s">
        <v>47</v>
      </c>
      <c r="I331" s="29" t="n">
        <v>216</v>
      </c>
      <c r="J331" s="29" t="n">
        <v>40</v>
      </c>
      <c r="K331" s="30" t="n">
        <f aca="false">WORKDAY(Assumptions!$C$4,I331,Assumptions!$F$4:$F$44)</f>
        <v>46630</v>
      </c>
      <c r="L331" s="30" t="n">
        <f aca="false">IF(J331=0,K331,WORKDAY(K331,J331-1,Assumptions!$F$4:$F$44))</f>
        <v>46685</v>
      </c>
      <c r="M331" s="29" t="s">
        <v>727</v>
      </c>
      <c r="N331" s="31" t="n">
        <v>0</v>
      </c>
      <c r="O331" s="31" t="n">
        <v>4</v>
      </c>
      <c r="P331" s="31" t="n">
        <v>0</v>
      </c>
      <c r="Q331" s="31" t="n">
        <v>10</v>
      </c>
      <c r="R331" s="31" t="n">
        <v>0</v>
      </c>
      <c r="S331" s="31" t="n">
        <v>0</v>
      </c>
      <c r="T331" s="31" t="n">
        <v>0</v>
      </c>
      <c r="U331" s="31" t="n">
        <v>0</v>
      </c>
      <c r="V331" s="31" t="n">
        <v>0</v>
      </c>
      <c r="W331" s="31" t="n">
        <v>0</v>
      </c>
      <c r="X331" s="31" t="n">
        <v>0</v>
      </c>
      <c r="Y331" s="32" t="n">
        <f aca="false">SUM(N331:X331)</f>
        <v>14</v>
      </c>
      <c r="Z331" s="32" t="n">
        <f aca="false">Y331*(1+Assumptions!$C$5)</f>
        <v>16.1</v>
      </c>
      <c r="AA331" s="27" t="s">
        <v>308</v>
      </c>
      <c r="AB331" s="27" t="s">
        <v>95</v>
      </c>
      <c r="AC331" s="27"/>
      <c r="AD331" s="33" t="n">
        <v>0</v>
      </c>
      <c r="AF331" s="21" t="n">
        <f aca="false">IF($J331=0,0,MAX(0,NETWORKDAYS(MAX($K331,AF$4),MIN($L331,EOMONTH(AF$4,0)),Assumptions!$F$4:$F$44))/NETWORKDAYS($K331,$L331,Assumptions!$F$4:$F$44))</f>
        <v>0</v>
      </c>
      <c r="AG331" s="21" t="n">
        <f aca="false">IF($J331=0,0,MAX(0,NETWORKDAYS(MAX($K331,AG$4),MIN($L331,EOMONTH(AG$4,0)),Assumptions!$F$4:$F$44))/NETWORKDAYS($K331,$L331,Assumptions!$F$4:$F$44))</f>
        <v>0</v>
      </c>
      <c r="AH331" s="21" t="n">
        <f aca="false">IF($J331=0,0,MAX(0,NETWORKDAYS(MAX($K331,AH$4),MIN($L331,EOMONTH(AH$4,0)),Assumptions!$F$4:$F$44))/NETWORKDAYS($K331,$L331,Assumptions!$F$4:$F$44))</f>
        <v>0</v>
      </c>
      <c r="AI331" s="21" t="n">
        <f aca="false">IF($J331=0,0,MAX(0,NETWORKDAYS(MAX($K331,AI$4),MIN($L331,EOMONTH(AI$4,0)),Assumptions!$F$4:$F$44))/NETWORKDAYS($K331,$L331,Assumptions!$F$4:$F$44))</f>
        <v>0</v>
      </c>
      <c r="AJ331" s="21" t="n">
        <f aca="false">IF($J331=0,0,MAX(0,NETWORKDAYS(MAX($K331,AJ$4),MIN($L331,EOMONTH(AJ$4,0)),Assumptions!$F$4:$F$44))/NETWORKDAYS($K331,$L331,Assumptions!$F$4:$F$44))</f>
        <v>0</v>
      </c>
      <c r="AK331" s="21" t="n">
        <f aca="false">IF($J331=0,0,MAX(0,NETWORKDAYS(MAX($K331,AK$4),MIN($L331,EOMONTH(AK$4,0)),Assumptions!$F$4:$F$44))/NETWORKDAYS($K331,$L331,Assumptions!$F$4:$F$44))</f>
        <v>0</v>
      </c>
      <c r="AL331" s="21" t="n">
        <f aca="false">IF($J331=0,0,MAX(0,NETWORKDAYS(MAX($K331,AL$4),MIN($L331,EOMONTH(AL$4,0)),Assumptions!$F$4:$F$44))/NETWORKDAYS($K331,$L331,Assumptions!$F$4:$F$44))</f>
        <v>0</v>
      </c>
      <c r="AM331" s="21" t="n">
        <f aca="false">IF($J331=0,0,MAX(0,NETWORKDAYS(MAX($K331,AM$4),MIN($L331,EOMONTH(AM$4,0)),Assumptions!$F$4:$F$44))/NETWORKDAYS($K331,$L331,Assumptions!$F$4:$F$44))</f>
        <v>0</v>
      </c>
      <c r="AN331" s="21" t="n">
        <f aca="false">IF($J331=0,0,MAX(0,NETWORKDAYS(MAX($K331,AN$4),MIN($L331,EOMONTH(AN$4,0)),Assumptions!$F$4:$F$44))/NETWORKDAYS($K331,$L331,Assumptions!$F$4:$F$44))</f>
        <v>0</v>
      </c>
      <c r="AO331" s="21" t="n">
        <f aca="false">IF($J331=0,0,MAX(0,NETWORKDAYS(MAX($K331,AO$4),MIN($L331,EOMONTH(AO$4,0)),Assumptions!$F$4:$F$44))/NETWORKDAYS($K331,$L331,Assumptions!$F$4:$F$44))</f>
        <v>0.025</v>
      </c>
      <c r="AP331" s="21" t="n">
        <f aca="false">IF($J331=0,0,MAX(0,NETWORKDAYS(MAX($K331,AP$4),MIN($L331,EOMONTH(AP$4,0)),Assumptions!$F$4:$F$44))/NETWORKDAYS($K331,$L331,Assumptions!$F$4:$F$44))</f>
        <v>0.55</v>
      </c>
      <c r="AQ331" s="21" t="n">
        <f aca="false">IF($J331=0,0,MAX(0,NETWORKDAYS(MAX($K331,AQ$4),MIN($L331,EOMONTH(AQ$4,0)),Assumptions!$F$4:$F$44))/NETWORKDAYS($K331,$L331,Assumptions!$F$4:$F$44))</f>
        <v>0.425</v>
      </c>
      <c r="AR331" s="21" t="n">
        <f aca="false">IF($J331=0,0,MAX(0,NETWORKDAYS(MAX($K331,AR$4),MIN($L331,EOMONTH(AR$4,0)),Assumptions!$F$4:$F$44))/NETWORKDAYS($K331,$L331,Assumptions!$F$4:$F$44))</f>
        <v>0</v>
      </c>
      <c r="AS331" s="21" t="n">
        <f aca="false">IF($J331=0,0,MAX(0,NETWORKDAYS(MAX($K331,AS$4),MIN($L331,EOMONTH(AS$4,0)),Assumptions!$F$4:$F$44))/NETWORKDAYS($K331,$L331,Assumptions!$F$4:$F$44))</f>
        <v>0</v>
      </c>
      <c r="AT331" s="21" t="n">
        <f aca="false">IF($J331=0,0,MAX(0,NETWORKDAYS(MAX($K331,AT$4),MIN($L331,EOMONTH(AT$4,0)),Assumptions!$F$4:$F$44))/NETWORKDAYS($K331,$L331,Assumptions!$F$4:$F$44))</f>
        <v>0</v>
      </c>
      <c r="AU331" s="21" t="n">
        <f aca="false">IF($J331=0,0,MAX(0,NETWORKDAYS(MAX($K331,AU$4),MIN($L331,EOMONTH(AU$4,0)),Assumptions!$F$4:$F$44))/NETWORKDAYS($K331,$L331,Assumptions!$F$4:$F$44))</f>
        <v>0</v>
      </c>
      <c r="AV331" s="21" t="n">
        <f aca="false">IF($J331=0,0,MAX(0,NETWORKDAYS(MAX($K331,AV$4),MIN($L331,EOMONTH(AV$4,0)),Assumptions!$F$4:$F$44))/NETWORKDAYS($K331,$L331,Assumptions!$F$4:$F$44))</f>
        <v>0</v>
      </c>
      <c r="AW331" s="21" t="n">
        <f aca="false">IF($J331=0,0,MAX(0,NETWORKDAYS(MAX($K331,AW$4),MIN($L331,EOMONTH(AW$4,0)),Assumptions!$F$4:$F$44))/NETWORKDAYS($K331,$L331,Assumptions!$F$4:$F$44))</f>
        <v>0</v>
      </c>
      <c r="AX331" s="21" t="n">
        <f aca="false">IF($J331=0,0,MAX(0,NETWORKDAYS(MAX($K331,AX$4),MIN($L331,EOMONTH(AX$4,0)),Assumptions!$F$4:$F$44))/NETWORKDAYS($K331,$L331,Assumptions!$F$4:$F$44))</f>
        <v>0</v>
      </c>
      <c r="AY331" s="21" t="n">
        <f aca="false">IF($J331=0,0,MAX(0,NETWORKDAYS(MAX($K331,AY$4),MIN($L331,EOMONTH(AY$4,0)),Assumptions!$F$4:$F$44))/NETWORKDAYS($K331,$L331,Assumptions!$F$4:$F$44))</f>
        <v>0</v>
      </c>
      <c r="AZ331" s="21" t="n">
        <f aca="false">IF($J331=0,0,MAX(0,NETWORKDAYS(MAX($K331,AZ$4),MIN($L331,EOMONTH(AZ$4,0)),Assumptions!$F$4:$F$44))/NETWORKDAYS($K331,$L331,Assumptions!$F$4:$F$44))</f>
        <v>0</v>
      </c>
      <c r="BA331" s="21" t="n">
        <f aca="false">IF($J331=0,0,MAX(0,NETWORKDAYS(MAX($K331,BA$4),MIN($L331,EOMONTH(BA$4,0)),Assumptions!$F$4:$F$44))/NETWORKDAYS($K331,$L331,Assumptions!$F$4:$F$44))</f>
        <v>0</v>
      </c>
      <c r="BB331" s="21" t="n">
        <f aca="false">IF($J331=0,0,MAX(0,NETWORKDAYS(MAX($K331,BB$4),MIN($L331,EOMONTH(BB$4,0)),Assumptions!$F$4:$F$44))/NETWORKDAYS($K331,$L331,Assumptions!$F$4:$F$44))</f>
        <v>0</v>
      </c>
      <c r="BC331" s="21" t="n">
        <f aca="false">IF($J331=0,0,MAX(0,NETWORKDAYS(MAX($K331,BC$4),MIN($L331,EOMONTH(BC$4,0)),Assumptions!$F$4:$F$44))/NETWORKDAYS($K331,$L331,Assumptions!$F$4:$F$44))</f>
        <v>0</v>
      </c>
    </row>
    <row r="332" customFormat="false" ht="15" hidden="false" customHeight="false" outlineLevel="2" collapsed="false">
      <c r="A332" s="27" t="n">
        <v>328</v>
      </c>
      <c r="B332" s="27" t="s">
        <v>729</v>
      </c>
      <c r="C332" s="27" t="n">
        <v>3</v>
      </c>
      <c r="D332" s="27" t="s">
        <v>92</v>
      </c>
      <c r="E332" s="28" t="s">
        <v>310</v>
      </c>
      <c r="F332" s="27" t="s">
        <v>681</v>
      </c>
      <c r="G332" s="27" t="s">
        <v>720</v>
      </c>
      <c r="H332" s="27" t="s">
        <v>49</v>
      </c>
      <c r="I332" s="29" t="n">
        <v>209</v>
      </c>
      <c r="J332" s="29" t="n">
        <v>53</v>
      </c>
      <c r="K332" s="30" t="n">
        <f aca="false">WORKDAY(Assumptions!$C$4,I332,Assumptions!$F$4:$F$44)</f>
        <v>46619</v>
      </c>
      <c r="L332" s="30" t="n">
        <f aca="false">IF(J332=0,K332,WORKDAY(K332,J332-1,Assumptions!$F$4:$F$44))</f>
        <v>46693</v>
      </c>
      <c r="M332" s="29" t="s">
        <v>730</v>
      </c>
      <c r="N332" s="31" t="n">
        <v>0</v>
      </c>
      <c r="O332" s="31" t="n">
        <v>0</v>
      </c>
      <c r="P332" s="31" t="n">
        <v>0</v>
      </c>
      <c r="Q332" s="31" t="n">
        <v>0</v>
      </c>
      <c r="R332" s="31" t="n">
        <v>26</v>
      </c>
      <c r="S332" s="31" t="n">
        <v>0</v>
      </c>
      <c r="T332" s="31" t="n">
        <v>0</v>
      </c>
      <c r="U332" s="31" t="n">
        <v>0</v>
      </c>
      <c r="V332" s="31" t="n">
        <v>0</v>
      </c>
      <c r="W332" s="31" t="n">
        <v>0</v>
      </c>
      <c r="X332" s="31" t="n">
        <v>0</v>
      </c>
      <c r="Y332" s="32" t="n">
        <f aca="false">SUM(N332:X332)</f>
        <v>26</v>
      </c>
      <c r="Z332" s="32" t="n">
        <f aca="false">Y332*(1+Assumptions!$C$5)</f>
        <v>29.9</v>
      </c>
      <c r="AA332" s="27" t="s">
        <v>312</v>
      </c>
      <c r="AB332" s="27" t="s">
        <v>95</v>
      </c>
      <c r="AC332" s="27"/>
      <c r="AD332" s="33" t="n">
        <v>0</v>
      </c>
      <c r="AF332" s="21" t="n">
        <f aca="false">IF($J332=0,0,MAX(0,NETWORKDAYS(MAX($K332,AF$4),MIN($L332,EOMONTH(AF$4,0)),Assumptions!$F$4:$F$44))/NETWORKDAYS($K332,$L332,Assumptions!$F$4:$F$44))</f>
        <v>0</v>
      </c>
      <c r="AG332" s="21" t="n">
        <f aca="false">IF($J332=0,0,MAX(0,NETWORKDAYS(MAX($K332,AG$4),MIN($L332,EOMONTH(AG$4,0)),Assumptions!$F$4:$F$44))/NETWORKDAYS($K332,$L332,Assumptions!$F$4:$F$44))</f>
        <v>0</v>
      </c>
      <c r="AH332" s="21" t="n">
        <f aca="false">IF($J332=0,0,MAX(0,NETWORKDAYS(MAX($K332,AH$4),MIN($L332,EOMONTH(AH$4,0)),Assumptions!$F$4:$F$44))/NETWORKDAYS($K332,$L332,Assumptions!$F$4:$F$44))</f>
        <v>0</v>
      </c>
      <c r="AI332" s="21" t="n">
        <f aca="false">IF($J332=0,0,MAX(0,NETWORKDAYS(MAX($K332,AI$4),MIN($L332,EOMONTH(AI$4,0)),Assumptions!$F$4:$F$44))/NETWORKDAYS($K332,$L332,Assumptions!$F$4:$F$44))</f>
        <v>0</v>
      </c>
      <c r="AJ332" s="21" t="n">
        <f aca="false">IF($J332=0,0,MAX(0,NETWORKDAYS(MAX($K332,AJ$4),MIN($L332,EOMONTH(AJ$4,0)),Assumptions!$F$4:$F$44))/NETWORKDAYS($K332,$L332,Assumptions!$F$4:$F$44))</f>
        <v>0</v>
      </c>
      <c r="AK332" s="21" t="n">
        <f aca="false">IF($J332=0,0,MAX(0,NETWORKDAYS(MAX($K332,AK$4),MIN($L332,EOMONTH(AK$4,0)),Assumptions!$F$4:$F$44))/NETWORKDAYS($K332,$L332,Assumptions!$F$4:$F$44))</f>
        <v>0</v>
      </c>
      <c r="AL332" s="21" t="n">
        <f aca="false">IF($J332=0,0,MAX(0,NETWORKDAYS(MAX($K332,AL$4),MIN($L332,EOMONTH(AL$4,0)),Assumptions!$F$4:$F$44))/NETWORKDAYS($K332,$L332,Assumptions!$F$4:$F$44))</f>
        <v>0</v>
      </c>
      <c r="AM332" s="21" t="n">
        <f aca="false">IF($J332=0,0,MAX(0,NETWORKDAYS(MAX($K332,AM$4),MIN($L332,EOMONTH(AM$4,0)),Assumptions!$F$4:$F$44))/NETWORKDAYS($K332,$L332,Assumptions!$F$4:$F$44))</f>
        <v>0</v>
      </c>
      <c r="AN332" s="21" t="n">
        <f aca="false">IF($J332=0,0,MAX(0,NETWORKDAYS(MAX($K332,AN$4),MIN($L332,EOMONTH(AN$4,0)),Assumptions!$F$4:$F$44))/NETWORKDAYS($K332,$L332,Assumptions!$F$4:$F$44))</f>
        <v>0</v>
      </c>
      <c r="AO332" s="21" t="n">
        <f aca="false">IF($J332=0,0,MAX(0,NETWORKDAYS(MAX($K332,AO$4),MIN($L332,EOMONTH(AO$4,0)),Assumptions!$F$4:$F$44))/NETWORKDAYS($K332,$L332,Assumptions!$F$4:$F$44))</f>
        <v>0.150943396226415</v>
      </c>
      <c r="AP332" s="21" t="n">
        <f aca="false">IF($J332=0,0,MAX(0,NETWORKDAYS(MAX($K332,AP$4),MIN($L332,EOMONTH(AP$4,0)),Assumptions!$F$4:$F$44))/NETWORKDAYS($K332,$L332,Assumptions!$F$4:$F$44))</f>
        <v>0.415094339622642</v>
      </c>
      <c r="AQ332" s="21" t="n">
        <f aca="false">IF($J332=0,0,MAX(0,NETWORKDAYS(MAX($K332,AQ$4),MIN($L332,EOMONTH(AQ$4,0)),Assumptions!$F$4:$F$44))/NETWORKDAYS($K332,$L332,Assumptions!$F$4:$F$44))</f>
        <v>0.39622641509434</v>
      </c>
      <c r="AR332" s="21" t="n">
        <f aca="false">IF($J332=0,0,MAX(0,NETWORKDAYS(MAX($K332,AR$4),MIN($L332,EOMONTH(AR$4,0)),Assumptions!$F$4:$F$44))/NETWORKDAYS($K332,$L332,Assumptions!$F$4:$F$44))</f>
        <v>0.0377358490566038</v>
      </c>
      <c r="AS332" s="21" t="n">
        <f aca="false">IF($J332=0,0,MAX(0,NETWORKDAYS(MAX($K332,AS$4),MIN($L332,EOMONTH(AS$4,0)),Assumptions!$F$4:$F$44))/NETWORKDAYS($K332,$L332,Assumptions!$F$4:$F$44))</f>
        <v>0</v>
      </c>
      <c r="AT332" s="21" t="n">
        <f aca="false">IF($J332=0,0,MAX(0,NETWORKDAYS(MAX($K332,AT$4),MIN($L332,EOMONTH(AT$4,0)),Assumptions!$F$4:$F$44))/NETWORKDAYS($K332,$L332,Assumptions!$F$4:$F$44))</f>
        <v>0</v>
      </c>
      <c r="AU332" s="21" t="n">
        <f aca="false">IF($J332=0,0,MAX(0,NETWORKDAYS(MAX($K332,AU$4),MIN($L332,EOMONTH(AU$4,0)),Assumptions!$F$4:$F$44))/NETWORKDAYS($K332,$L332,Assumptions!$F$4:$F$44))</f>
        <v>0</v>
      </c>
      <c r="AV332" s="21" t="n">
        <f aca="false">IF($J332=0,0,MAX(0,NETWORKDAYS(MAX($K332,AV$4),MIN($L332,EOMONTH(AV$4,0)),Assumptions!$F$4:$F$44))/NETWORKDAYS($K332,$L332,Assumptions!$F$4:$F$44))</f>
        <v>0</v>
      </c>
      <c r="AW332" s="21" t="n">
        <f aca="false">IF($J332=0,0,MAX(0,NETWORKDAYS(MAX($K332,AW$4),MIN($L332,EOMONTH(AW$4,0)),Assumptions!$F$4:$F$44))/NETWORKDAYS($K332,$L332,Assumptions!$F$4:$F$44))</f>
        <v>0</v>
      </c>
      <c r="AX332" s="21" t="n">
        <f aca="false">IF($J332=0,0,MAX(0,NETWORKDAYS(MAX($K332,AX$4),MIN($L332,EOMONTH(AX$4,0)),Assumptions!$F$4:$F$44))/NETWORKDAYS($K332,$L332,Assumptions!$F$4:$F$44))</f>
        <v>0</v>
      </c>
      <c r="AY332" s="21" t="n">
        <f aca="false">IF($J332=0,0,MAX(0,NETWORKDAYS(MAX($K332,AY$4),MIN($L332,EOMONTH(AY$4,0)),Assumptions!$F$4:$F$44))/NETWORKDAYS($K332,$L332,Assumptions!$F$4:$F$44))</f>
        <v>0</v>
      </c>
      <c r="AZ332" s="21" t="n">
        <f aca="false">IF($J332=0,0,MAX(0,NETWORKDAYS(MAX($K332,AZ$4),MIN($L332,EOMONTH(AZ$4,0)),Assumptions!$F$4:$F$44))/NETWORKDAYS($K332,$L332,Assumptions!$F$4:$F$44))</f>
        <v>0</v>
      </c>
      <c r="BA332" s="21" t="n">
        <f aca="false">IF($J332=0,0,MAX(0,NETWORKDAYS(MAX($K332,BA$4),MIN($L332,EOMONTH(BA$4,0)),Assumptions!$F$4:$F$44))/NETWORKDAYS($K332,$L332,Assumptions!$F$4:$F$44))</f>
        <v>0</v>
      </c>
      <c r="BB332" s="21" t="n">
        <f aca="false">IF($J332=0,0,MAX(0,NETWORKDAYS(MAX($K332,BB$4),MIN($L332,EOMONTH(BB$4,0)),Assumptions!$F$4:$F$44))/NETWORKDAYS($K332,$L332,Assumptions!$F$4:$F$44))</f>
        <v>0</v>
      </c>
      <c r="BC332" s="21" t="n">
        <f aca="false">IF($J332=0,0,MAX(0,NETWORKDAYS(MAX($K332,BC$4),MIN($L332,EOMONTH(BC$4,0)),Assumptions!$F$4:$F$44))/NETWORKDAYS($K332,$L332,Assumptions!$F$4:$F$44))</f>
        <v>0</v>
      </c>
    </row>
    <row r="333" customFormat="false" ht="15" hidden="false" customHeight="false" outlineLevel="2" collapsed="false">
      <c r="A333" s="27" t="n">
        <v>329</v>
      </c>
      <c r="B333" s="27" t="s">
        <v>731</v>
      </c>
      <c r="C333" s="27" t="n">
        <v>3</v>
      </c>
      <c r="D333" s="27" t="s">
        <v>92</v>
      </c>
      <c r="E333" s="28" t="s">
        <v>317</v>
      </c>
      <c r="F333" s="27" t="s">
        <v>681</v>
      </c>
      <c r="G333" s="27" t="s">
        <v>720</v>
      </c>
      <c r="H333" s="27" t="s">
        <v>51</v>
      </c>
      <c r="I333" s="29" t="n">
        <v>222</v>
      </c>
      <c r="J333" s="29" t="n">
        <v>40</v>
      </c>
      <c r="K333" s="30" t="n">
        <f aca="false">WORKDAY(Assumptions!$C$4,I333,Assumptions!$F$4:$F$44)</f>
        <v>46638</v>
      </c>
      <c r="L333" s="30" t="n">
        <f aca="false">IF(J333=0,K333,WORKDAY(K333,J333-1,Assumptions!$F$4:$F$44))</f>
        <v>46693</v>
      </c>
      <c r="M333" s="29" t="s">
        <v>730</v>
      </c>
      <c r="N333" s="31" t="n">
        <v>0</v>
      </c>
      <c r="O333" s="31" t="n">
        <v>0</v>
      </c>
      <c r="P333" s="31" t="n">
        <v>0</v>
      </c>
      <c r="Q333" s="31" t="n">
        <v>0</v>
      </c>
      <c r="R333" s="31" t="n">
        <v>0</v>
      </c>
      <c r="S333" s="31" t="n">
        <v>12</v>
      </c>
      <c r="T333" s="31" t="n">
        <v>0</v>
      </c>
      <c r="U333" s="31" t="n">
        <v>0</v>
      </c>
      <c r="V333" s="31" t="n">
        <v>0</v>
      </c>
      <c r="W333" s="31" t="n">
        <v>0</v>
      </c>
      <c r="X333" s="31" t="n">
        <v>0</v>
      </c>
      <c r="Y333" s="32" t="n">
        <f aca="false">SUM(N333:X333)</f>
        <v>12</v>
      </c>
      <c r="Z333" s="32" t="n">
        <f aca="false">Y333*(1+Assumptions!$C$5)</f>
        <v>13.8</v>
      </c>
      <c r="AA333" s="27" t="s">
        <v>318</v>
      </c>
      <c r="AB333" s="27" t="s">
        <v>95</v>
      </c>
      <c r="AC333" s="27"/>
      <c r="AD333" s="33" t="n">
        <v>0</v>
      </c>
      <c r="AF333" s="21" t="n">
        <f aca="false">IF($J333=0,0,MAX(0,NETWORKDAYS(MAX($K333,AF$4),MIN($L333,EOMONTH(AF$4,0)),Assumptions!$F$4:$F$44))/NETWORKDAYS($K333,$L333,Assumptions!$F$4:$F$44))</f>
        <v>0</v>
      </c>
      <c r="AG333" s="21" t="n">
        <f aca="false">IF($J333=0,0,MAX(0,NETWORKDAYS(MAX($K333,AG$4),MIN($L333,EOMONTH(AG$4,0)),Assumptions!$F$4:$F$44))/NETWORKDAYS($K333,$L333,Assumptions!$F$4:$F$44))</f>
        <v>0</v>
      </c>
      <c r="AH333" s="21" t="n">
        <f aca="false">IF($J333=0,0,MAX(0,NETWORKDAYS(MAX($K333,AH$4),MIN($L333,EOMONTH(AH$4,0)),Assumptions!$F$4:$F$44))/NETWORKDAYS($K333,$L333,Assumptions!$F$4:$F$44))</f>
        <v>0</v>
      </c>
      <c r="AI333" s="21" t="n">
        <f aca="false">IF($J333=0,0,MAX(0,NETWORKDAYS(MAX($K333,AI$4),MIN($L333,EOMONTH(AI$4,0)),Assumptions!$F$4:$F$44))/NETWORKDAYS($K333,$L333,Assumptions!$F$4:$F$44))</f>
        <v>0</v>
      </c>
      <c r="AJ333" s="21" t="n">
        <f aca="false">IF($J333=0,0,MAX(0,NETWORKDAYS(MAX($K333,AJ$4),MIN($L333,EOMONTH(AJ$4,0)),Assumptions!$F$4:$F$44))/NETWORKDAYS($K333,$L333,Assumptions!$F$4:$F$44))</f>
        <v>0</v>
      </c>
      <c r="AK333" s="21" t="n">
        <f aca="false">IF($J333=0,0,MAX(0,NETWORKDAYS(MAX($K333,AK$4),MIN($L333,EOMONTH(AK$4,0)),Assumptions!$F$4:$F$44))/NETWORKDAYS($K333,$L333,Assumptions!$F$4:$F$44))</f>
        <v>0</v>
      </c>
      <c r="AL333" s="21" t="n">
        <f aca="false">IF($J333=0,0,MAX(0,NETWORKDAYS(MAX($K333,AL$4),MIN($L333,EOMONTH(AL$4,0)),Assumptions!$F$4:$F$44))/NETWORKDAYS($K333,$L333,Assumptions!$F$4:$F$44))</f>
        <v>0</v>
      </c>
      <c r="AM333" s="21" t="n">
        <f aca="false">IF($J333=0,0,MAX(0,NETWORKDAYS(MAX($K333,AM$4),MIN($L333,EOMONTH(AM$4,0)),Assumptions!$F$4:$F$44))/NETWORKDAYS($K333,$L333,Assumptions!$F$4:$F$44))</f>
        <v>0</v>
      </c>
      <c r="AN333" s="21" t="n">
        <f aca="false">IF($J333=0,0,MAX(0,NETWORKDAYS(MAX($K333,AN$4),MIN($L333,EOMONTH(AN$4,0)),Assumptions!$F$4:$F$44))/NETWORKDAYS($K333,$L333,Assumptions!$F$4:$F$44))</f>
        <v>0</v>
      </c>
      <c r="AO333" s="21" t="n">
        <f aca="false">IF($J333=0,0,MAX(0,NETWORKDAYS(MAX($K333,AO$4),MIN($L333,EOMONTH(AO$4,0)),Assumptions!$F$4:$F$44))/NETWORKDAYS($K333,$L333,Assumptions!$F$4:$F$44))</f>
        <v>0</v>
      </c>
      <c r="AP333" s="21" t="n">
        <f aca="false">IF($J333=0,0,MAX(0,NETWORKDAYS(MAX($K333,AP$4),MIN($L333,EOMONTH(AP$4,0)),Assumptions!$F$4:$F$44))/NETWORKDAYS($K333,$L333,Assumptions!$F$4:$F$44))</f>
        <v>0.425</v>
      </c>
      <c r="AQ333" s="21" t="n">
        <f aca="false">IF($J333=0,0,MAX(0,NETWORKDAYS(MAX($K333,AQ$4),MIN($L333,EOMONTH(AQ$4,0)),Assumptions!$F$4:$F$44))/NETWORKDAYS($K333,$L333,Assumptions!$F$4:$F$44))</f>
        <v>0.525</v>
      </c>
      <c r="AR333" s="21" t="n">
        <f aca="false">IF($J333=0,0,MAX(0,NETWORKDAYS(MAX($K333,AR$4),MIN($L333,EOMONTH(AR$4,0)),Assumptions!$F$4:$F$44))/NETWORKDAYS($K333,$L333,Assumptions!$F$4:$F$44))</f>
        <v>0.05</v>
      </c>
      <c r="AS333" s="21" t="n">
        <f aca="false">IF($J333=0,0,MAX(0,NETWORKDAYS(MAX($K333,AS$4),MIN($L333,EOMONTH(AS$4,0)),Assumptions!$F$4:$F$44))/NETWORKDAYS($K333,$L333,Assumptions!$F$4:$F$44))</f>
        <v>0</v>
      </c>
      <c r="AT333" s="21" t="n">
        <f aca="false">IF($J333=0,0,MAX(0,NETWORKDAYS(MAX($K333,AT$4),MIN($L333,EOMONTH(AT$4,0)),Assumptions!$F$4:$F$44))/NETWORKDAYS($K333,$L333,Assumptions!$F$4:$F$44))</f>
        <v>0</v>
      </c>
      <c r="AU333" s="21" t="n">
        <f aca="false">IF($J333=0,0,MAX(0,NETWORKDAYS(MAX($K333,AU$4),MIN($L333,EOMONTH(AU$4,0)),Assumptions!$F$4:$F$44))/NETWORKDAYS($K333,$L333,Assumptions!$F$4:$F$44))</f>
        <v>0</v>
      </c>
      <c r="AV333" s="21" t="n">
        <f aca="false">IF($J333=0,0,MAX(0,NETWORKDAYS(MAX($K333,AV$4),MIN($L333,EOMONTH(AV$4,0)),Assumptions!$F$4:$F$44))/NETWORKDAYS($K333,$L333,Assumptions!$F$4:$F$44))</f>
        <v>0</v>
      </c>
      <c r="AW333" s="21" t="n">
        <f aca="false">IF($J333=0,0,MAX(0,NETWORKDAYS(MAX($K333,AW$4),MIN($L333,EOMONTH(AW$4,0)),Assumptions!$F$4:$F$44))/NETWORKDAYS($K333,$L333,Assumptions!$F$4:$F$44))</f>
        <v>0</v>
      </c>
      <c r="AX333" s="21" t="n">
        <f aca="false">IF($J333=0,0,MAX(0,NETWORKDAYS(MAX($K333,AX$4),MIN($L333,EOMONTH(AX$4,0)),Assumptions!$F$4:$F$44))/NETWORKDAYS($K333,$L333,Assumptions!$F$4:$F$44))</f>
        <v>0</v>
      </c>
      <c r="AY333" s="21" t="n">
        <f aca="false">IF($J333=0,0,MAX(0,NETWORKDAYS(MAX($K333,AY$4),MIN($L333,EOMONTH(AY$4,0)),Assumptions!$F$4:$F$44))/NETWORKDAYS($K333,$L333,Assumptions!$F$4:$F$44))</f>
        <v>0</v>
      </c>
      <c r="AZ333" s="21" t="n">
        <f aca="false">IF($J333=0,0,MAX(0,NETWORKDAYS(MAX($K333,AZ$4),MIN($L333,EOMONTH(AZ$4,0)),Assumptions!$F$4:$F$44))/NETWORKDAYS($K333,$L333,Assumptions!$F$4:$F$44))</f>
        <v>0</v>
      </c>
      <c r="BA333" s="21" t="n">
        <f aca="false">IF($J333=0,0,MAX(0,NETWORKDAYS(MAX($K333,BA$4),MIN($L333,EOMONTH(BA$4,0)),Assumptions!$F$4:$F$44))/NETWORKDAYS($K333,$L333,Assumptions!$F$4:$F$44))</f>
        <v>0</v>
      </c>
      <c r="BB333" s="21" t="n">
        <f aca="false">IF($J333=0,0,MAX(0,NETWORKDAYS(MAX($K333,BB$4),MIN($L333,EOMONTH(BB$4,0)),Assumptions!$F$4:$F$44))/NETWORKDAYS($K333,$L333,Assumptions!$F$4:$F$44))</f>
        <v>0</v>
      </c>
      <c r="BC333" s="21" t="n">
        <f aca="false">IF($J333=0,0,MAX(0,NETWORKDAYS(MAX($K333,BC$4),MIN($L333,EOMONTH(BC$4,0)),Assumptions!$F$4:$F$44))/NETWORKDAYS($K333,$L333,Assumptions!$F$4:$F$44))</f>
        <v>0</v>
      </c>
    </row>
    <row r="334" customFormat="false" ht="15" hidden="false" customHeight="false" outlineLevel="2" collapsed="false">
      <c r="A334" s="27" t="n">
        <v>330</v>
      </c>
      <c r="B334" s="27" t="s">
        <v>732</v>
      </c>
      <c r="C334" s="27" t="n">
        <v>3</v>
      </c>
      <c r="D334" s="27" t="s">
        <v>92</v>
      </c>
      <c r="E334" s="28" t="s">
        <v>320</v>
      </c>
      <c r="F334" s="27" t="s">
        <v>681</v>
      </c>
      <c r="G334" s="27" t="s">
        <v>720</v>
      </c>
      <c r="H334" s="27" t="s">
        <v>53</v>
      </c>
      <c r="I334" s="29" t="n">
        <v>209</v>
      </c>
      <c r="J334" s="29" t="n">
        <v>46</v>
      </c>
      <c r="K334" s="30" t="n">
        <f aca="false">WORKDAY(Assumptions!$C$4,I334,Assumptions!$F$4:$F$44)</f>
        <v>46619</v>
      </c>
      <c r="L334" s="30" t="n">
        <f aca="false">IF(J334=0,K334,WORKDAY(K334,J334-1,Assumptions!$F$4:$F$44))</f>
        <v>46682</v>
      </c>
      <c r="M334" s="29" t="s">
        <v>727</v>
      </c>
      <c r="N334" s="31" t="n">
        <v>0</v>
      </c>
      <c r="O334" s="31" t="n">
        <v>0</v>
      </c>
      <c r="P334" s="31" t="n">
        <v>0</v>
      </c>
      <c r="Q334" s="31" t="n">
        <v>0</v>
      </c>
      <c r="R334" s="31" t="n">
        <v>0</v>
      </c>
      <c r="S334" s="31" t="n">
        <v>0</v>
      </c>
      <c r="T334" s="31" t="n">
        <v>10</v>
      </c>
      <c r="U334" s="31" t="n">
        <v>0</v>
      </c>
      <c r="V334" s="31" t="n">
        <v>0</v>
      </c>
      <c r="W334" s="31" t="n">
        <v>0</v>
      </c>
      <c r="X334" s="31" t="n">
        <v>0</v>
      </c>
      <c r="Y334" s="32" t="n">
        <f aca="false">SUM(N334:X334)</f>
        <v>10</v>
      </c>
      <c r="Z334" s="32" t="n">
        <f aca="false">Y334*(1+Assumptions!$C$5)</f>
        <v>11.5</v>
      </c>
      <c r="AA334" s="27" t="s">
        <v>321</v>
      </c>
      <c r="AB334" s="27" t="s">
        <v>95</v>
      </c>
      <c r="AC334" s="27"/>
      <c r="AD334" s="33" t="n">
        <v>0</v>
      </c>
      <c r="AF334" s="21" t="n">
        <f aca="false">IF($J334=0,0,MAX(0,NETWORKDAYS(MAX($K334,AF$4),MIN($L334,EOMONTH(AF$4,0)),Assumptions!$F$4:$F$44))/NETWORKDAYS($K334,$L334,Assumptions!$F$4:$F$44))</f>
        <v>0</v>
      </c>
      <c r="AG334" s="21" t="n">
        <f aca="false">IF($J334=0,0,MAX(0,NETWORKDAYS(MAX($K334,AG$4),MIN($L334,EOMONTH(AG$4,0)),Assumptions!$F$4:$F$44))/NETWORKDAYS($K334,$L334,Assumptions!$F$4:$F$44))</f>
        <v>0</v>
      </c>
      <c r="AH334" s="21" t="n">
        <f aca="false">IF($J334=0,0,MAX(0,NETWORKDAYS(MAX($K334,AH$4),MIN($L334,EOMONTH(AH$4,0)),Assumptions!$F$4:$F$44))/NETWORKDAYS($K334,$L334,Assumptions!$F$4:$F$44))</f>
        <v>0</v>
      </c>
      <c r="AI334" s="21" t="n">
        <f aca="false">IF($J334=0,0,MAX(0,NETWORKDAYS(MAX($K334,AI$4),MIN($L334,EOMONTH(AI$4,0)),Assumptions!$F$4:$F$44))/NETWORKDAYS($K334,$L334,Assumptions!$F$4:$F$44))</f>
        <v>0</v>
      </c>
      <c r="AJ334" s="21" t="n">
        <f aca="false">IF($J334=0,0,MAX(0,NETWORKDAYS(MAX($K334,AJ$4),MIN($L334,EOMONTH(AJ$4,0)),Assumptions!$F$4:$F$44))/NETWORKDAYS($K334,$L334,Assumptions!$F$4:$F$44))</f>
        <v>0</v>
      </c>
      <c r="AK334" s="21" t="n">
        <f aca="false">IF($J334=0,0,MAX(0,NETWORKDAYS(MAX($K334,AK$4),MIN($L334,EOMONTH(AK$4,0)),Assumptions!$F$4:$F$44))/NETWORKDAYS($K334,$L334,Assumptions!$F$4:$F$44))</f>
        <v>0</v>
      </c>
      <c r="AL334" s="21" t="n">
        <f aca="false">IF($J334=0,0,MAX(0,NETWORKDAYS(MAX($K334,AL$4),MIN($L334,EOMONTH(AL$4,0)),Assumptions!$F$4:$F$44))/NETWORKDAYS($K334,$L334,Assumptions!$F$4:$F$44))</f>
        <v>0</v>
      </c>
      <c r="AM334" s="21" t="n">
        <f aca="false">IF($J334=0,0,MAX(0,NETWORKDAYS(MAX($K334,AM$4),MIN($L334,EOMONTH(AM$4,0)),Assumptions!$F$4:$F$44))/NETWORKDAYS($K334,$L334,Assumptions!$F$4:$F$44))</f>
        <v>0</v>
      </c>
      <c r="AN334" s="21" t="n">
        <f aca="false">IF($J334=0,0,MAX(0,NETWORKDAYS(MAX($K334,AN$4),MIN($L334,EOMONTH(AN$4,0)),Assumptions!$F$4:$F$44))/NETWORKDAYS($K334,$L334,Assumptions!$F$4:$F$44))</f>
        <v>0</v>
      </c>
      <c r="AO334" s="21" t="n">
        <f aca="false">IF($J334=0,0,MAX(0,NETWORKDAYS(MAX($K334,AO$4),MIN($L334,EOMONTH(AO$4,0)),Assumptions!$F$4:$F$44))/NETWORKDAYS($K334,$L334,Assumptions!$F$4:$F$44))</f>
        <v>0.173913043478261</v>
      </c>
      <c r="AP334" s="21" t="n">
        <f aca="false">IF($J334=0,0,MAX(0,NETWORKDAYS(MAX($K334,AP$4),MIN($L334,EOMONTH(AP$4,0)),Assumptions!$F$4:$F$44))/NETWORKDAYS($K334,$L334,Assumptions!$F$4:$F$44))</f>
        <v>0.478260869565217</v>
      </c>
      <c r="AQ334" s="21" t="n">
        <f aca="false">IF($J334=0,0,MAX(0,NETWORKDAYS(MAX($K334,AQ$4),MIN($L334,EOMONTH(AQ$4,0)),Assumptions!$F$4:$F$44))/NETWORKDAYS($K334,$L334,Assumptions!$F$4:$F$44))</f>
        <v>0.347826086956522</v>
      </c>
      <c r="AR334" s="21" t="n">
        <f aca="false">IF($J334=0,0,MAX(0,NETWORKDAYS(MAX($K334,AR$4),MIN($L334,EOMONTH(AR$4,0)),Assumptions!$F$4:$F$44))/NETWORKDAYS($K334,$L334,Assumptions!$F$4:$F$44))</f>
        <v>0</v>
      </c>
      <c r="AS334" s="21" t="n">
        <f aca="false">IF($J334=0,0,MAX(0,NETWORKDAYS(MAX($K334,AS$4),MIN($L334,EOMONTH(AS$4,0)),Assumptions!$F$4:$F$44))/NETWORKDAYS($K334,$L334,Assumptions!$F$4:$F$44))</f>
        <v>0</v>
      </c>
      <c r="AT334" s="21" t="n">
        <f aca="false">IF($J334=0,0,MAX(0,NETWORKDAYS(MAX($K334,AT$4),MIN($L334,EOMONTH(AT$4,0)),Assumptions!$F$4:$F$44))/NETWORKDAYS($K334,$L334,Assumptions!$F$4:$F$44))</f>
        <v>0</v>
      </c>
      <c r="AU334" s="21" t="n">
        <f aca="false">IF($J334=0,0,MAX(0,NETWORKDAYS(MAX($K334,AU$4),MIN($L334,EOMONTH(AU$4,0)),Assumptions!$F$4:$F$44))/NETWORKDAYS($K334,$L334,Assumptions!$F$4:$F$44))</f>
        <v>0</v>
      </c>
      <c r="AV334" s="21" t="n">
        <f aca="false">IF($J334=0,0,MAX(0,NETWORKDAYS(MAX($K334,AV$4),MIN($L334,EOMONTH(AV$4,0)),Assumptions!$F$4:$F$44))/NETWORKDAYS($K334,$L334,Assumptions!$F$4:$F$44))</f>
        <v>0</v>
      </c>
      <c r="AW334" s="21" t="n">
        <f aca="false">IF($J334=0,0,MAX(0,NETWORKDAYS(MAX($K334,AW$4),MIN($L334,EOMONTH(AW$4,0)),Assumptions!$F$4:$F$44))/NETWORKDAYS($K334,$L334,Assumptions!$F$4:$F$44))</f>
        <v>0</v>
      </c>
      <c r="AX334" s="21" t="n">
        <f aca="false">IF($J334=0,0,MAX(0,NETWORKDAYS(MAX($K334,AX$4),MIN($L334,EOMONTH(AX$4,0)),Assumptions!$F$4:$F$44))/NETWORKDAYS($K334,$L334,Assumptions!$F$4:$F$44))</f>
        <v>0</v>
      </c>
      <c r="AY334" s="21" t="n">
        <f aca="false">IF($J334=0,0,MAX(0,NETWORKDAYS(MAX($K334,AY$4),MIN($L334,EOMONTH(AY$4,0)),Assumptions!$F$4:$F$44))/NETWORKDAYS($K334,$L334,Assumptions!$F$4:$F$44))</f>
        <v>0</v>
      </c>
      <c r="AZ334" s="21" t="n">
        <f aca="false">IF($J334=0,0,MAX(0,NETWORKDAYS(MAX($K334,AZ$4),MIN($L334,EOMONTH(AZ$4,0)),Assumptions!$F$4:$F$44))/NETWORKDAYS($K334,$L334,Assumptions!$F$4:$F$44))</f>
        <v>0</v>
      </c>
      <c r="BA334" s="21" t="n">
        <f aca="false">IF($J334=0,0,MAX(0,NETWORKDAYS(MAX($K334,BA$4),MIN($L334,EOMONTH(BA$4,0)),Assumptions!$F$4:$F$44))/NETWORKDAYS($K334,$L334,Assumptions!$F$4:$F$44))</f>
        <v>0</v>
      </c>
      <c r="BB334" s="21" t="n">
        <f aca="false">IF($J334=0,0,MAX(0,NETWORKDAYS(MAX($K334,BB$4),MIN($L334,EOMONTH(BB$4,0)),Assumptions!$F$4:$F$44))/NETWORKDAYS($K334,$L334,Assumptions!$F$4:$F$44))</f>
        <v>0</v>
      </c>
      <c r="BC334" s="21" t="n">
        <f aca="false">IF($J334=0,0,MAX(0,NETWORKDAYS(MAX($K334,BC$4),MIN($L334,EOMONTH(BC$4,0)),Assumptions!$F$4:$F$44))/NETWORKDAYS($K334,$L334,Assumptions!$F$4:$F$44))</f>
        <v>0</v>
      </c>
    </row>
    <row r="335" customFormat="false" ht="15" hidden="false" customHeight="false" outlineLevel="2" collapsed="false">
      <c r="A335" s="27" t="n">
        <v>331</v>
      </c>
      <c r="B335" s="27" t="s">
        <v>733</v>
      </c>
      <c r="C335" s="27" t="n">
        <v>3</v>
      </c>
      <c r="D335" s="27" t="s">
        <v>92</v>
      </c>
      <c r="E335" s="28" t="s">
        <v>734</v>
      </c>
      <c r="F335" s="27" t="s">
        <v>681</v>
      </c>
      <c r="G335" s="27" t="s">
        <v>720</v>
      </c>
      <c r="H335" s="27" t="s">
        <v>47</v>
      </c>
      <c r="I335" s="29" t="n">
        <v>229</v>
      </c>
      <c r="J335" s="29" t="n">
        <v>37</v>
      </c>
      <c r="K335" s="30" t="n">
        <f aca="false">WORKDAY(Assumptions!$C$4,I335,Assumptions!$F$4:$F$44)</f>
        <v>46647</v>
      </c>
      <c r="L335" s="30" t="n">
        <f aca="false">IF(J335=0,K335,WORKDAY(K335,J335-1,Assumptions!$F$4:$F$44))</f>
        <v>46699</v>
      </c>
      <c r="M335" s="29" t="s">
        <v>735</v>
      </c>
      <c r="N335" s="31" t="n">
        <v>0</v>
      </c>
      <c r="O335" s="31" t="n">
        <v>0</v>
      </c>
      <c r="P335" s="31" t="n">
        <v>0</v>
      </c>
      <c r="Q335" s="31" t="n">
        <v>14</v>
      </c>
      <c r="R335" s="31" t="n">
        <v>0</v>
      </c>
      <c r="S335" s="31" t="n">
        <v>0</v>
      </c>
      <c r="T335" s="31" t="n">
        <v>0</v>
      </c>
      <c r="U335" s="31" t="n">
        <v>0</v>
      </c>
      <c r="V335" s="31" t="n">
        <v>0</v>
      </c>
      <c r="W335" s="31" t="n">
        <v>0</v>
      </c>
      <c r="X335" s="31" t="n">
        <v>0</v>
      </c>
      <c r="Y335" s="32" t="n">
        <f aca="false">SUM(N335:X335)</f>
        <v>14</v>
      </c>
      <c r="Z335" s="32" t="n">
        <f aca="false">Y335*(1+Assumptions!$C$5)</f>
        <v>16.1</v>
      </c>
      <c r="AA335" s="27" t="s">
        <v>325</v>
      </c>
      <c r="AB335" s="27" t="s">
        <v>95</v>
      </c>
      <c r="AC335" s="27"/>
      <c r="AD335" s="33" t="n">
        <v>0</v>
      </c>
      <c r="AF335" s="21" t="n">
        <f aca="false">IF($J335=0,0,MAX(0,NETWORKDAYS(MAX($K335,AF$4),MIN($L335,EOMONTH(AF$4,0)),Assumptions!$F$4:$F$44))/NETWORKDAYS($K335,$L335,Assumptions!$F$4:$F$44))</f>
        <v>0</v>
      </c>
      <c r="AG335" s="21" t="n">
        <f aca="false">IF($J335=0,0,MAX(0,NETWORKDAYS(MAX($K335,AG$4),MIN($L335,EOMONTH(AG$4,0)),Assumptions!$F$4:$F$44))/NETWORKDAYS($K335,$L335,Assumptions!$F$4:$F$44))</f>
        <v>0</v>
      </c>
      <c r="AH335" s="21" t="n">
        <f aca="false">IF($J335=0,0,MAX(0,NETWORKDAYS(MAX($K335,AH$4),MIN($L335,EOMONTH(AH$4,0)),Assumptions!$F$4:$F$44))/NETWORKDAYS($K335,$L335,Assumptions!$F$4:$F$44))</f>
        <v>0</v>
      </c>
      <c r="AI335" s="21" t="n">
        <f aca="false">IF($J335=0,0,MAX(0,NETWORKDAYS(MAX($K335,AI$4),MIN($L335,EOMONTH(AI$4,0)),Assumptions!$F$4:$F$44))/NETWORKDAYS($K335,$L335,Assumptions!$F$4:$F$44))</f>
        <v>0</v>
      </c>
      <c r="AJ335" s="21" t="n">
        <f aca="false">IF($J335=0,0,MAX(0,NETWORKDAYS(MAX($K335,AJ$4),MIN($L335,EOMONTH(AJ$4,0)),Assumptions!$F$4:$F$44))/NETWORKDAYS($K335,$L335,Assumptions!$F$4:$F$44))</f>
        <v>0</v>
      </c>
      <c r="AK335" s="21" t="n">
        <f aca="false">IF($J335=0,0,MAX(0,NETWORKDAYS(MAX($K335,AK$4),MIN($L335,EOMONTH(AK$4,0)),Assumptions!$F$4:$F$44))/NETWORKDAYS($K335,$L335,Assumptions!$F$4:$F$44))</f>
        <v>0</v>
      </c>
      <c r="AL335" s="21" t="n">
        <f aca="false">IF($J335=0,0,MAX(0,NETWORKDAYS(MAX($K335,AL$4),MIN($L335,EOMONTH(AL$4,0)),Assumptions!$F$4:$F$44))/NETWORKDAYS($K335,$L335,Assumptions!$F$4:$F$44))</f>
        <v>0</v>
      </c>
      <c r="AM335" s="21" t="n">
        <f aca="false">IF($J335=0,0,MAX(0,NETWORKDAYS(MAX($K335,AM$4),MIN($L335,EOMONTH(AM$4,0)),Assumptions!$F$4:$F$44))/NETWORKDAYS($K335,$L335,Assumptions!$F$4:$F$44))</f>
        <v>0</v>
      </c>
      <c r="AN335" s="21" t="n">
        <f aca="false">IF($J335=0,0,MAX(0,NETWORKDAYS(MAX($K335,AN$4),MIN($L335,EOMONTH(AN$4,0)),Assumptions!$F$4:$F$44))/NETWORKDAYS($K335,$L335,Assumptions!$F$4:$F$44))</f>
        <v>0</v>
      </c>
      <c r="AO335" s="21" t="n">
        <f aca="false">IF($J335=0,0,MAX(0,NETWORKDAYS(MAX($K335,AO$4),MIN($L335,EOMONTH(AO$4,0)),Assumptions!$F$4:$F$44))/NETWORKDAYS($K335,$L335,Assumptions!$F$4:$F$44))</f>
        <v>0</v>
      </c>
      <c r="AP335" s="21" t="n">
        <f aca="false">IF($J335=0,0,MAX(0,NETWORKDAYS(MAX($K335,AP$4),MIN($L335,EOMONTH(AP$4,0)),Assumptions!$F$4:$F$44))/NETWORKDAYS($K335,$L335,Assumptions!$F$4:$F$44))</f>
        <v>0.27027027027027</v>
      </c>
      <c r="AQ335" s="21" t="n">
        <f aca="false">IF($J335=0,0,MAX(0,NETWORKDAYS(MAX($K335,AQ$4),MIN($L335,EOMONTH(AQ$4,0)),Assumptions!$F$4:$F$44))/NETWORKDAYS($K335,$L335,Assumptions!$F$4:$F$44))</f>
        <v>0.567567567567568</v>
      </c>
      <c r="AR335" s="21" t="n">
        <f aca="false">IF($J335=0,0,MAX(0,NETWORKDAYS(MAX($K335,AR$4),MIN($L335,EOMONTH(AR$4,0)),Assumptions!$F$4:$F$44))/NETWORKDAYS($K335,$L335,Assumptions!$F$4:$F$44))</f>
        <v>0.162162162162162</v>
      </c>
      <c r="AS335" s="21" t="n">
        <f aca="false">IF($J335=0,0,MAX(0,NETWORKDAYS(MAX($K335,AS$4),MIN($L335,EOMONTH(AS$4,0)),Assumptions!$F$4:$F$44))/NETWORKDAYS($K335,$L335,Assumptions!$F$4:$F$44))</f>
        <v>0</v>
      </c>
      <c r="AT335" s="21" t="n">
        <f aca="false">IF($J335=0,0,MAX(0,NETWORKDAYS(MAX($K335,AT$4),MIN($L335,EOMONTH(AT$4,0)),Assumptions!$F$4:$F$44))/NETWORKDAYS($K335,$L335,Assumptions!$F$4:$F$44))</f>
        <v>0</v>
      </c>
      <c r="AU335" s="21" t="n">
        <f aca="false">IF($J335=0,0,MAX(0,NETWORKDAYS(MAX($K335,AU$4),MIN($L335,EOMONTH(AU$4,0)),Assumptions!$F$4:$F$44))/NETWORKDAYS($K335,$L335,Assumptions!$F$4:$F$44))</f>
        <v>0</v>
      </c>
      <c r="AV335" s="21" t="n">
        <f aca="false">IF($J335=0,0,MAX(0,NETWORKDAYS(MAX($K335,AV$4),MIN($L335,EOMONTH(AV$4,0)),Assumptions!$F$4:$F$44))/NETWORKDAYS($K335,$L335,Assumptions!$F$4:$F$44))</f>
        <v>0</v>
      </c>
      <c r="AW335" s="21" t="n">
        <f aca="false">IF($J335=0,0,MAX(0,NETWORKDAYS(MAX($K335,AW$4),MIN($L335,EOMONTH(AW$4,0)),Assumptions!$F$4:$F$44))/NETWORKDAYS($K335,$L335,Assumptions!$F$4:$F$44))</f>
        <v>0</v>
      </c>
      <c r="AX335" s="21" t="n">
        <f aca="false">IF($J335=0,0,MAX(0,NETWORKDAYS(MAX($K335,AX$4),MIN($L335,EOMONTH(AX$4,0)),Assumptions!$F$4:$F$44))/NETWORKDAYS($K335,$L335,Assumptions!$F$4:$F$44))</f>
        <v>0</v>
      </c>
      <c r="AY335" s="21" t="n">
        <f aca="false">IF($J335=0,0,MAX(0,NETWORKDAYS(MAX($K335,AY$4),MIN($L335,EOMONTH(AY$4,0)),Assumptions!$F$4:$F$44))/NETWORKDAYS($K335,$L335,Assumptions!$F$4:$F$44))</f>
        <v>0</v>
      </c>
      <c r="AZ335" s="21" t="n">
        <f aca="false">IF($J335=0,0,MAX(0,NETWORKDAYS(MAX($K335,AZ$4),MIN($L335,EOMONTH(AZ$4,0)),Assumptions!$F$4:$F$44))/NETWORKDAYS($K335,$L335,Assumptions!$F$4:$F$44))</f>
        <v>0</v>
      </c>
      <c r="BA335" s="21" t="n">
        <f aca="false">IF($J335=0,0,MAX(0,NETWORKDAYS(MAX($K335,BA$4),MIN($L335,EOMONTH(BA$4,0)),Assumptions!$F$4:$F$44))/NETWORKDAYS($K335,$L335,Assumptions!$F$4:$F$44))</f>
        <v>0</v>
      </c>
      <c r="BB335" s="21" t="n">
        <f aca="false">IF($J335=0,0,MAX(0,NETWORKDAYS(MAX($K335,BB$4),MIN($L335,EOMONTH(BB$4,0)),Assumptions!$F$4:$F$44))/NETWORKDAYS($K335,$L335,Assumptions!$F$4:$F$44))</f>
        <v>0</v>
      </c>
      <c r="BC335" s="21" t="n">
        <f aca="false">IF($J335=0,0,MAX(0,NETWORKDAYS(MAX($K335,BC$4),MIN($L335,EOMONTH(BC$4,0)),Assumptions!$F$4:$F$44))/NETWORKDAYS($K335,$L335,Assumptions!$F$4:$F$44))</f>
        <v>0</v>
      </c>
    </row>
    <row r="336" customFormat="false" ht="15" hidden="false" customHeight="false" outlineLevel="2" collapsed="false">
      <c r="A336" s="27" t="n">
        <v>332</v>
      </c>
      <c r="B336" s="27" t="s">
        <v>736</v>
      </c>
      <c r="C336" s="27" t="n">
        <v>3</v>
      </c>
      <c r="D336" s="27" t="s">
        <v>92</v>
      </c>
      <c r="E336" s="28" t="s">
        <v>370</v>
      </c>
      <c r="F336" s="27" t="s">
        <v>681</v>
      </c>
      <c r="G336" s="27" t="s">
        <v>720</v>
      </c>
      <c r="H336" s="27" t="s">
        <v>47</v>
      </c>
      <c r="I336" s="29" t="n">
        <v>222</v>
      </c>
      <c r="J336" s="29" t="n">
        <v>44</v>
      </c>
      <c r="K336" s="30" t="n">
        <f aca="false">WORKDAY(Assumptions!$C$4,I336,Assumptions!$F$4:$F$44)</f>
        <v>46638</v>
      </c>
      <c r="L336" s="30" t="n">
        <f aca="false">IF(J336=0,K336,WORKDAY(K336,J336-1,Assumptions!$F$4:$F$44))</f>
        <v>46699</v>
      </c>
      <c r="M336" s="29" t="s">
        <v>727</v>
      </c>
      <c r="N336" s="31" t="n">
        <v>0</v>
      </c>
      <c r="O336" s="31" t="n">
        <v>0</v>
      </c>
      <c r="P336" s="31" t="n">
        <v>0</v>
      </c>
      <c r="Q336" s="31" t="n">
        <v>10</v>
      </c>
      <c r="R336" s="31" t="n">
        <v>0</v>
      </c>
      <c r="S336" s="31" t="n">
        <v>0</v>
      </c>
      <c r="T336" s="31" t="n">
        <v>0</v>
      </c>
      <c r="U336" s="31" t="n">
        <v>0</v>
      </c>
      <c r="V336" s="31" t="n">
        <v>2</v>
      </c>
      <c r="W336" s="31" t="n">
        <v>0</v>
      </c>
      <c r="X336" s="31" t="n">
        <v>0</v>
      </c>
      <c r="Y336" s="32" t="n">
        <f aca="false">SUM(N336:X336)</f>
        <v>12</v>
      </c>
      <c r="Z336" s="32" t="n">
        <f aca="false">Y336*(1+Assumptions!$C$5)</f>
        <v>13.8</v>
      </c>
      <c r="AA336" s="27" t="s">
        <v>328</v>
      </c>
      <c r="AB336" s="27" t="s">
        <v>95</v>
      </c>
      <c r="AC336" s="27"/>
      <c r="AD336" s="33" t="n">
        <v>0</v>
      </c>
      <c r="AF336" s="21" t="n">
        <f aca="false">IF($J336=0,0,MAX(0,NETWORKDAYS(MAX($K336,AF$4),MIN($L336,EOMONTH(AF$4,0)),Assumptions!$F$4:$F$44))/NETWORKDAYS($K336,$L336,Assumptions!$F$4:$F$44))</f>
        <v>0</v>
      </c>
      <c r="AG336" s="21" t="n">
        <f aca="false">IF($J336=0,0,MAX(0,NETWORKDAYS(MAX($K336,AG$4),MIN($L336,EOMONTH(AG$4,0)),Assumptions!$F$4:$F$44))/NETWORKDAYS($K336,$L336,Assumptions!$F$4:$F$44))</f>
        <v>0</v>
      </c>
      <c r="AH336" s="21" t="n">
        <f aca="false">IF($J336=0,0,MAX(0,NETWORKDAYS(MAX($K336,AH$4),MIN($L336,EOMONTH(AH$4,0)),Assumptions!$F$4:$F$44))/NETWORKDAYS($K336,$L336,Assumptions!$F$4:$F$44))</f>
        <v>0</v>
      </c>
      <c r="AI336" s="21" t="n">
        <f aca="false">IF($J336=0,0,MAX(0,NETWORKDAYS(MAX($K336,AI$4),MIN($L336,EOMONTH(AI$4,0)),Assumptions!$F$4:$F$44))/NETWORKDAYS($K336,$L336,Assumptions!$F$4:$F$44))</f>
        <v>0</v>
      </c>
      <c r="AJ336" s="21" t="n">
        <f aca="false">IF($J336=0,0,MAX(0,NETWORKDAYS(MAX($K336,AJ$4),MIN($L336,EOMONTH(AJ$4,0)),Assumptions!$F$4:$F$44))/NETWORKDAYS($K336,$L336,Assumptions!$F$4:$F$44))</f>
        <v>0</v>
      </c>
      <c r="AK336" s="21" t="n">
        <f aca="false">IF($J336=0,0,MAX(0,NETWORKDAYS(MAX($K336,AK$4),MIN($L336,EOMONTH(AK$4,0)),Assumptions!$F$4:$F$44))/NETWORKDAYS($K336,$L336,Assumptions!$F$4:$F$44))</f>
        <v>0</v>
      </c>
      <c r="AL336" s="21" t="n">
        <f aca="false">IF($J336=0,0,MAX(0,NETWORKDAYS(MAX($K336,AL$4),MIN($L336,EOMONTH(AL$4,0)),Assumptions!$F$4:$F$44))/NETWORKDAYS($K336,$L336,Assumptions!$F$4:$F$44))</f>
        <v>0</v>
      </c>
      <c r="AM336" s="21" t="n">
        <f aca="false">IF($J336=0,0,MAX(0,NETWORKDAYS(MAX($K336,AM$4),MIN($L336,EOMONTH(AM$4,0)),Assumptions!$F$4:$F$44))/NETWORKDAYS($K336,$L336,Assumptions!$F$4:$F$44))</f>
        <v>0</v>
      </c>
      <c r="AN336" s="21" t="n">
        <f aca="false">IF($J336=0,0,MAX(0,NETWORKDAYS(MAX($K336,AN$4),MIN($L336,EOMONTH(AN$4,0)),Assumptions!$F$4:$F$44))/NETWORKDAYS($K336,$L336,Assumptions!$F$4:$F$44))</f>
        <v>0</v>
      </c>
      <c r="AO336" s="21" t="n">
        <f aca="false">IF($J336=0,0,MAX(0,NETWORKDAYS(MAX($K336,AO$4),MIN($L336,EOMONTH(AO$4,0)),Assumptions!$F$4:$F$44))/NETWORKDAYS($K336,$L336,Assumptions!$F$4:$F$44))</f>
        <v>0</v>
      </c>
      <c r="AP336" s="21" t="n">
        <f aca="false">IF($J336=0,0,MAX(0,NETWORKDAYS(MAX($K336,AP$4),MIN($L336,EOMONTH(AP$4,0)),Assumptions!$F$4:$F$44))/NETWORKDAYS($K336,$L336,Assumptions!$F$4:$F$44))</f>
        <v>0.386363636363636</v>
      </c>
      <c r="AQ336" s="21" t="n">
        <f aca="false">IF($J336=0,0,MAX(0,NETWORKDAYS(MAX($K336,AQ$4),MIN($L336,EOMONTH(AQ$4,0)),Assumptions!$F$4:$F$44))/NETWORKDAYS($K336,$L336,Assumptions!$F$4:$F$44))</f>
        <v>0.477272727272727</v>
      </c>
      <c r="AR336" s="21" t="n">
        <f aca="false">IF($J336=0,0,MAX(0,NETWORKDAYS(MAX($K336,AR$4),MIN($L336,EOMONTH(AR$4,0)),Assumptions!$F$4:$F$44))/NETWORKDAYS($K336,$L336,Assumptions!$F$4:$F$44))</f>
        <v>0.136363636363636</v>
      </c>
      <c r="AS336" s="21" t="n">
        <f aca="false">IF($J336=0,0,MAX(0,NETWORKDAYS(MAX($K336,AS$4),MIN($L336,EOMONTH(AS$4,0)),Assumptions!$F$4:$F$44))/NETWORKDAYS($K336,$L336,Assumptions!$F$4:$F$44))</f>
        <v>0</v>
      </c>
      <c r="AT336" s="21" t="n">
        <f aca="false">IF($J336=0,0,MAX(0,NETWORKDAYS(MAX($K336,AT$4),MIN($L336,EOMONTH(AT$4,0)),Assumptions!$F$4:$F$44))/NETWORKDAYS($K336,$L336,Assumptions!$F$4:$F$44))</f>
        <v>0</v>
      </c>
      <c r="AU336" s="21" t="n">
        <f aca="false">IF($J336=0,0,MAX(0,NETWORKDAYS(MAX($K336,AU$4),MIN($L336,EOMONTH(AU$4,0)),Assumptions!$F$4:$F$44))/NETWORKDAYS($K336,$L336,Assumptions!$F$4:$F$44))</f>
        <v>0</v>
      </c>
      <c r="AV336" s="21" t="n">
        <f aca="false">IF($J336=0,0,MAX(0,NETWORKDAYS(MAX($K336,AV$4),MIN($L336,EOMONTH(AV$4,0)),Assumptions!$F$4:$F$44))/NETWORKDAYS($K336,$L336,Assumptions!$F$4:$F$44))</f>
        <v>0</v>
      </c>
      <c r="AW336" s="21" t="n">
        <f aca="false">IF($J336=0,0,MAX(0,NETWORKDAYS(MAX($K336,AW$4),MIN($L336,EOMONTH(AW$4,0)),Assumptions!$F$4:$F$44))/NETWORKDAYS($K336,$L336,Assumptions!$F$4:$F$44))</f>
        <v>0</v>
      </c>
      <c r="AX336" s="21" t="n">
        <f aca="false">IF($J336=0,0,MAX(0,NETWORKDAYS(MAX($K336,AX$4),MIN($L336,EOMONTH(AX$4,0)),Assumptions!$F$4:$F$44))/NETWORKDAYS($K336,$L336,Assumptions!$F$4:$F$44))</f>
        <v>0</v>
      </c>
      <c r="AY336" s="21" t="n">
        <f aca="false">IF($J336=0,0,MAX(0,NETWORKDAYS(MAX($K336,AY$4),MIN($L336,EOMONTH(AY$4,0)),Assumptions!$F$4:$F$44))/NETWORKDAYS($K336,$L336,Assumptions!$F$4:$F$44))</f>
        <v>0</v>
      </c>
      <c r="AZ336" s="21" t="n">
        <f aca="false">IF($J336=0,0,MAX(0,NETWORKDAYS(MAX($K336,AZ$4),MIN($L336,EOMONTH(AZ$4,0)),Assumptions!$F$4:$F$44))/NETWORKDAYS($K336,$L336,Assumptions!$F$4:$F$44))</f>
        <v>0</v>
      </c>
      <c r="BA336" s="21" t="n">
        <f aca="false">IF($J336=0,0,MAX(0,NETWORKDAYS(MAX($K336,BA$4),MIN($L336,EOMONTH(BA$4,0)),Assumptions!$F$4:$F$44))/NETWORKDAYS($K336,$L336,Assumptions!$F$4:$F$44))</f>
        <v>0</v>
      </c>
      <c r="BB336" s="21" t="n">
        <f aca="false">IF($J336=0,0,MAX(0,NETWORKDAYS(MAX($K336,BB$4),MIN($L336,EOMONTH(BB$4,0)),Assumptions!$F$4:$F$44))/NETWORKDAYS($K336,$L336,Assumptions!$F$4:$F$44))</f>
        <v>0</v>
      </c>
      <c r="BC336" s="21" t="n">
        <f aca="false">IF($J336=0,0,MAX(0,NETWORKDAYS(MAX($K336,BC$4),MIN($L336,EOMONTH(BC$4,0)),Assumptions!$F$4:$F$44))/NETWORKDAYS($K336,$L336,Assumptions!$F$4:$F$44))</f>
        <v>0</v>
      </c>
    </row>
    <row r="337" customFormat="false" ht="15" hidden="false" customHeight="false" outlineLevel="2" collapsed="false">
      <c r="A337" s="27" t="n">
        <v>333</v>
      </c>
      <c r="B337" s="27" t="s">
        <v>737</v>
      </c>
      <c r="C337" s="27" t="n">
        <v>3</v>
      </c>
      <c r="D337" s="27" t="s">
        <v>92</v>
      </c>
      <c r="E337" s="28" t="s">
        <v>330</v>
      </c>
      <c r="F337" s="27" t="s">
        <v>681</v>
      </c>
      <c r="G337" s="27" t="s">
        <v>720</v>
      </c>
      <c r="H337" s="27" t="s">
        <v>47</v>
      </c>
      <c r="I337" s="29" t="n">
        <v>242</v>
      </c>
      <c r="J337" s="29" t="n">
        <v>26</v>
      </c>
      <c r="K337" s="30" t="n">
        <f aca="false">WORKDAY(Assumptions!$C$4,I337,Assumptions!$F$4:$F$44)</f>
        <v>46666</v>
      </c>
      <c r="L337" s="30" t="n">
        <f aca="false">IF(J337=0,K337,WORKDAY(K337,J337-1,Assumptions!$F$4:$F$44))</f>
        <v>46701</v>
      </c>
      <c r="M337" s="29" t="s">
        <v>735</v>
      </c>
      <c r="N337" s="31" t="n">
        <v>0</v>
      </c>
      <c r="O337" s="31" t="n">
        <v>2</v>
      </c>
      <c r="P337" s="31" t="n">
        <v>0</v>
      </c>
      <c r="Q337" s="31" t="n">
        <v>4</v>
      </c>
      <c r="R337" s="31" t="n">
        <v>4</v>
      </c>
      <c r="S337" s="31" t="n">
        <v>0</v>
      </c>
      <c r="T337" s="31" t="n">
        <v>0</v>
      </c>
      <c r="U337" s="31" t="n">
        <v>0</v>
      </c>
      <c r="V337" s="31" t="n">
        <v>0</v>
      </c>
      <c r="W337" s="31" t="n">
        <v>0</v>
      </c>
      <c r="X337" s="31" t="n">
        <v>0</v>
      </c>
      <c r="Y337" s="32" t="n">
        <f aca="false">SUM(N337:X337)</f>
        <v>10</v>
      </c>
      <c r="Z337" s="32" t="n">
        <f aca="false">Y337*(1+Assumptions!$C$5)</f>
        <v>11.5</v>
      </c>
      <c r="AA337" s="27" t="s">
        <v>331</v>
      </c>
      <c r="AB337" s="27" t="s">
        <v>95</v>
      </c>
      <c r="AC337" s="27"/>
      <c r="AD337" s="33" t="n">
        <v>0</v>
      </c>
      <c r="AF337" s="21" t="n">
        <f aca="false">IF($J337=0,0,MAX(0,NETWORKDAYS(MAX($K337,AF$4),MIN($L337,EOMONTH(AF$4,0)),Assumptions!$F$4:$F$44))/NETWORKDAYS($K337,$L337,Assumptions!$F$4:$F$44))</f>
        <v>0</v>
      </c>
      <c r="AG337" s="21" t="n">
        <f aca="false">IF($J337=0,0,MAX(0,NETWORKDAYS(MAX($K337,AG$4),MIN($L337,EOMONTH(AG$4,0)),Assumptions!$F$4:$F$44))/NETWORKDAYS($K337,$L337,Assumptions!$F$4:$F$44))</f>
        <v>0</v>
      </c>
      <c r="AH337" s="21" t="n">
        <f aca="false">IF($J337=0,0,MAX(0,NETWORKDAYS(MAX($K337,AH$4),MIN($L337,EOMONTH(AH$4,0)),Assumptions!$F$4:$F$44))/NETWORKDAYS($K337,$L337,Assumptions!$F$4:$F$44))</f>
        <v>0</v>
      </c>
      <c r="AI337" s="21" t="n">
        <f aca="false">IF($J337=0,0,MAX(0,NETWORKDAYS(MAX($K337,AI$4),MIN($L337,EOMONTH(AI$4,0)),Assumptions!$F$4:$F$44))/NETWORKDAYS($K337,$L337,Assumptions!$F$4:$F$44))</f>
        <v>0</v>
      </c>
      <c r="AJ337" s="21" t="n">
        <f aca="false">IF($J337=0,0,MAX(0,NETWORKDAYS(MAX($K337,AJ$4),MIN($L337,EOMONTH(AJ$4,0)),Assumptions!$F$4:$F$44))/NETWORKDAYS($K337,$L337,Assumptions!$F$4:$F$44))</f>
        <v>0</v>
      </c>
      <c r="AK337" s="21" t="n">
        <f aca="false">IF($J337=0,0,MAX(0,NETWORKDAYS(MAX($K337,AK$4),MIN($L337,EOMONTH(AK$4,0)),Assumptions!$F$4:$F$44))/NETWORKDAYS($K337,$L337,Assumptions!$F$4:$F$44))</f>
        <v>0</v>
      </c>
      <c r="AL337" s="21" t="n">
        <f aca="false">IF($J337=0,0,MAX(0,NETWORKDAYS(MAX($K337,AL$4),MIN($L337,EOMONTH(AL$4,0)),Assumptions!$F$4:$F$44))/NETWORKDAYS($K337,$L337,Assumptions!$F$4:$F$44))</f>
        <v>0</v>
      </c>
      <c r="AM337" s="21" t="n">
        <f aca="false">IF($J337=0,0,MAX(0,NETWORKDAYS(MAX($K337,AM$4),MIN($L337,EOMONTH(AM$4,0)),Assumptions!$F$4:$F$44))/NETWORKDAYS($K337,$L337,Assumptions!$F$4:$F$44))</f>
        <v>0</v>
      </c>
      <c r="AN337" s="21" t="n">
        <f aca="false">IF($J337=0,0,MAX(0,NETWORKDAYS(MAX($K337,AN$4),MIN($L337,EOMONTH(AN$4,0)),Assumptions!$F$4:$F$44))/NETWORKDAYS($K337,$L337,Assumptions!$F$4:$F$44))</f>
        <v>0</v>
      </c>
      <c r="AO337" s="21" t="n">
        <f aca="false">IF($J337=0,0,MAX(0,NETWORKDAYS(MAX($K337,AO$4),MIN($L337,EOMONTH(AO$4,0)),Assumptions!$F$4:$F$44))/NETWORKDAYS($K337,$L337,Assumptions!$F$4:$F$44))</f>
        <v>0</v>
      </c>
      <c r="AP337" s="21" t="n">
        <f aca="false">IF($J337=0,0,MAX(0,NETWORKDAYS(MAX($K337,AP$4),MIN($L337,EOMONTH(AP$4,0)),Assumptions!$F$4:$F$44))/NETWORKDAYS($K337,$L337,Assumptions!$F$4:$F$44))</f>
        <v>0</v>
      </c>
      <c r="AQ337" s="21" t="n">
        <f aca="false">IF($J337=0,0,MAX(0,NETWORKDAYS(MAX($K337,AQ$4),MIN($L337,EOMONTH(AQ$4,0)),Assumptions!$F$4:$F$44))/NETWORKDAYS($K337,$L337,Assumptions!$F$4:$F$44))</f>
        <v>0.692307692307692</v>
      </c>
      <c r="AR337" s="21" t="n">
        <f aca="false">IF($J337=0,0,MAX(0,NETWORKDAYS(MAX($K337,AR$4),MIN($L337,EOMONTH(AR$4,0)),Assumptions!$F$4:$F$44))/NETWORKDAYS($K337,$L337,Assumptions!$F$4:$F$44))</f>
        <v>0.307692307692308</v>
      </c>
      <c r="AS337" s="21" t="n">
        <f aca="false">IF($J337=0,0,MAX(0,NETWORKDAYS(MAX($K337,AS$4),MIN($L337,EOMONTH(AS$4,0)),Assumptions!$F$4:$F$44))/NETWORKDAYS($K337,$L337,Assumptions!$F$4:$F$44))</f>
        <v>0</v>
      </c>
      <c r="AT337" s="21" t="n">
        <f aca="false">IF($J337=0,0,MAX(0,NETWORKDAYS(MAX($K337,AT$4),MIN($L337,EOMONTH(AT$4,0)),Assumptions!$F$4:$F$44))/NETWORKDAYS($K337,$L337,Assumptions!$F$4:$F$44))</f>
        <v>0</v>
      </c>
      <c r="AU337" s="21" t="n">
        <f aca="false">IF($J337=0,0,MAX(0,NETWORKDAYS(MAX($K337,AU$4),MIN($L337,EOMONTH(AU$4,0)),Assumptions!$F$4:$F$44))/NETWORKDAYS($K337,$L337,Assumptions!$F$4:$F$44))</f>
        <v>0</v>
      </c>
      <c r="AV337" s="21" t="n">
        <f aca="false">IF($J337=0,0,MAX(0,NETWORKDAYS(MAX($K337,AV$4),MIN($L337,EOMONTH(AV$4,0)),Assumptions!$F$4:$F$44))/NETWORKDAYS($K337,$L337,Assumptions!$F$4:$F$44))</f>
        <v>0</v>
      </c>
      <c r="AW337" s="21" t="n">
        <f aca="false">IF($J337=0,0,MAX(0,NETWORKDAYS(MAX($K337,AW$4),MIN($L337,EOMONTH(AW$4,0)),Assumptions!$F$4:$F$44))/NETWORKDAYS($K337,$L337,Assumptions!$F$4:$F$44))</f>
        <v>0</v>
      </c>
      <c r="AX337" s="21" t="n">
        <f aca="false">IF($J337=0,0,MAX(0,NETWORKDAYS(MAX($K337,AX$4),MIN($L337,EOMONTH(AX$4,0)),Assumptions!$F$4:$F$44))/NETWORKDAYS($K337,$L337,Assumptions!$F$4:$F$44))</f>
        <v>0</v>
      </c>
      <c r="AY337" s="21" t="n">
        <f aca="false">IF($J337=0,0,MAX(0,NETWORKDAYS(MAX($K337,AY$4),MIN($L337,EOMONTH(AY$4,0)),Assumptions!$F$4:$F$44))/NETWORKDAYS($K337,$L337,Assumptions!$F$4:$F$44))</f>
        <v>0</v>
      </c>
      <c r="AZ337" s="21" t="n">
        <f aca="false">IF($J337=0,0,MAX(0,NETWORKDAYS(MAX($K337,AZ$4),MIN($L337,EOMONTH(AZ$4,0)),Assumptions!$F$4:$F$44))/NETWORKDAYS($K337,$L337,Assumptions!$F$4:$F$44))</f>
        <v>0</v>
      </c>
      <c r="BA337" s="21" t="n">
        <f aca="false">IF($J337=0,0,MAX(0,NETWORKDAYS(MAX($K337,BA$4),MIN($L337,EOMONTH(BA$4,0)),Assumptions!$F$4:$F$44))/NETWORKDAYS($K337,$L337,Assumptions!$F$4:$F$44))</f>
        <v>0</v>
      </c>
      <c r="BB337" s="21" t="n">
        <f aca="false">IF($J337=0,0,MAX(0,NETWORKDAYS(MAX($K337,BB$4),MIN($L337,EOMONTH(BB$4,0)),Assumptions!$F$4:$F$44))/NETWORKDAYS($K337,$L337,Assumptions!$F$4:$F$44))</f>
        <v>0</v>
      </c>
      <c r="BC337" s="21" t="n">
        <f aca="false">IF($J337=0,0,MAX(0,NETWORKDAYS(MAX($K337,BC$4),MIN($L337,EOMONTH(BC$4,0)),Assumptions!$F$4:$F$44))/NETWORKDAYS($K337,$L337,Assumptions!$F$4:$F$44))</f>
        <v>0</v>
      </c>
    </row>
    <row r="338" customFormat="false" ht="15" hidden="false" customHeight="false" outlineLevel="2" collapsed="false">
      <c r="A338" s="27" t="n">
        <v>334</v>
      </c>
      <c r="B338" s="27" t="s">
        <v>738</v>
      </c>
      <c r="C338" s="27" t="n">
        <v>3</v>
      </c>
      <c r="D338" s="27" t="s">
        <v>92</v>
      </c>
      <c r="E338" s="28" t="s">
        <v>336</v>
      </c>
      <c r="F338" s="27" t="s">
        <v>681</v>
      </c>
      <c r="G338" s="27" t="s">
        <v>720</v>
      </c>
      <c r="H338" s="27" t="s">
        <v>57</v>
      </c>
      <c r="I338" s="29" t="n">
        <v>258</v>
      </c>
      <c r="J338" s="29" t="n">
        <v>21</v>
      </c>
      <c r="K338" s="30" t="n">
        <f aca="false">WORKDAY(Assumptions!$C$4,I338,Assumptions!$F$4:$F$44)</f>
        <v>46688</v>
      </c>
      <c r="L338" s="30" t="n">
        <f aca="false">IF(J338=0,K338,WORKDAY(K338,J338-1,Assumptions!$F$4:$F$44))</f>
        <v>46716</v>
      </c>
      <c r="M338" s="29" t="s">
        <v>739</v>
      </c>
      <c r="N338" s="31" t="n">
        <v>0</v>
      </c>
      <c r="O338" s="31" t="n">
        <v>0</v>
      </c>
      <c r="P338" s="31" t="n">
        <v>0</v>
      </c>
      <c r="Q338" s="31" t="n">
        <v>0</v>
      </c>
      <c r="R338" s="31" t="n">
        <v>0</v>
      </c>
      <c r="S338" s="31" t="n">
        <v>0</v>
      </c>
      <c r="T338" s="31" t="n">
        <v>0</v>
      </c>
      <c r="U338" s="31" t="n">
        <v>0</v>
      </c>
      <c r="V338" s="31" t="n">
        <v>20</v>
      </c>
      <c r="W338" s="31" t="n">
        <v>0</v>
      </c>
      <c r="X338" s="31" t="n">
        <v>0</v>
      </c>
      <c r="Y338" s="32" t="n">
        <f aca="false">SUM(N338:X338)</f>
        <v>20</v>
      </c>
      <c r="Z338" s="32" t="n">
        <f aca="false">Y338*(1+Assumptions!$C$5)</f>
        <v>23</v>
      </c>
      <c r="AA338" s="27" t="s">
        <v>338</v>
      </c>
      <c r="AB338" s="27" t="s">
        <v>95</v>
      </c>
      <c r="AC338" s="27"/>
      <c r="AD338" s="33" t="n">
        <v>0</v>
      </c>
      <c r="AF338" s="21" t="n">
        <f aca="false">IF($J338=0,0,MAX(0,NETWORKDAYS(MAX($K338,AF$4),MIN($L338,EOMONTH(AF$4,0)),Assumptions!$F$4:$F$44))/NETWORKDAYS($K338,$L338,Assumptions!$F$4:$F$44))</f>
        <v>0</v>
      </c>
      <c r="AG338" s="21" t="n">
        <f aca="false">IF($J338=0,0,MAX(0,NETWORKDAYS(MAX($K338,AG$4),MIN($L338,EOMONTH(AG$4,0)),Assumptions!$F$4:$F$44))/NETWORKDAYS($K338,$L338,Assumptions!$F$4:$F$44))</f>
        <v>0</v>
      </c>
      <c r="AH338" s="21" t="n">
        <f aca="false">IF($J338=0,0,MAX(0,NETWORKDAYS(MAX($K338,AH$4),MIN($L338,EOMONTH(AH$4,0)),Assumptions!$F$4:$F$44))/NETWORKDAYS($K338,$L338,Assumptions!$F$4:$F$44))</f>
        <v>0</v>
      </c>
      <c r="AI338" s="21" t="n">
        <f aca="false">IF($J338=0,0,MAX(0,NETWORKDAYS(MAX($K338,AI$4),MIN($L338,EOMONTH(AI$4,0)),Assumptions!$F$4:$F$44))/NETWORKDAYS($K338,$L338,Assumptions!$F$4:$F$44))</f>
        <v>0</v>
      </c>
      <c r="AJ338" s="21" t="n">
        <f aca="false">IF($J338=0,0,MAX(0,NETWORKDAYS(MAX($K338,AJ$4),MIN($L338,EOMONTH(AJ$4,0)),Assumptions!$F$4:$F$44))/NETWORKDAYS($K338,$L338,Assumptions!$F$4:$F$44))</f>
        <v>0</v>
      </c>
      <c r="AK338" s="21" t="n">
        <f aca="false">IF($J338=0,0,MAX(0,NETWORKDAYS(MAX($K338,AK$4),MIN($L338,EOMONTH(AK$4,0)),Assumptions!$F$4:$F$44))/NETWORKDAYS($K338,$L338,Assumptions!$F$4:$F$44))</f>
        <v>0</v>
      </c>
      <c r="AL338" s="21" t="n">
        <f aca="false">IF($J338=0,0,MAX(0,NETWORKDAYS(MAX($K338,AL$4),MIN($L338,EOMONTH(AL$4,0)),Assumptions!$F$4:$F$44))/NETWORKDAYS($K338,$L338,Assumptions!$F$4:$F$44))</f>
        <v>0</v>
      </c>
      <c r="AM338" s="21" t="n">
        <f aca="false">IF($J338=0,0,MAX(0,NETWORKDAYS(MAX($K338,AM$4),MIN($L338,EOMONTH(AM$4,0)),Assumptions!$F$4:$F$44))/NETWORKDAYS($K338,$L338,Assumptions!$F$4:$F$44))</f>
        <v>0</v>
      </c>
      <c r="AN338" s="21" t="n">
        <f aca="false">IF($J338=0,0,MAX(0,NETWORKDAYS(MAX($K338,AN$4),MIN($L338,EOMONTH(AN$4,0)),Assumptions!$F$4:$F$44))/NETWORKDAYS($K338,$L338,Assumptions!$F$4:$F$44))</f>
        <v>0</v>
      </c>
      <c r="AO338" s="21" t="n">
        <f aca="false">IF($J338=0,0,MAX(0,NETWORKDAYS(MAX($K338,AO$4),MIN($L338,EOMONTH(AO$4,0)),Assumptions!$F$4:$F$44))/NETWORKDAYS($K338,$L338,Assumptions!$F$4:$F$44))</f>
        <v>0</v>
      </c>
      <c r="AP338" s="21" t="n">
        <f aca="false">IF($J338=0,0,MAX(0,NETWORKDAYS(MAX($K338,AP$4),MIN($L338,EOMONTH(AP$4,0)),Assumptions!$F$4:$F$44))/NETWORKDAYS($K338,$L338,Assumptions!$F$4:$F$44))</f>
        <v>0</v>
      </c>
      <c r="AQ338" s="21" t="n">
        <f aca="false">IF($J338=0,0,MAX(0,NETWORKDAYS(MAX($K338,AQ$4),MIN($L338,EOMONTH(AQ$4,0)),Assumptions!$F$4:$F$44))/NETWORKDAYS($K338,$L338,Assumptions!$F$4:$F$44))</f>
        <v>0.0952380952380952</v>
      </c>
      <c r="AR338" s="21" t="n">
        <f aca="false">IF($J338=0,0,MAX(0,NETWORKDAYS(MAX($K338,AR$4),MIN($L338,EOMONTH(AR$4,0)),Assumptions!$F$4:$F$44))/NETWORKDAYS($K338,$L338,Assumptions!$F$4:$F$44))</f>
        <v>0.904761904761905</v>
      </c>
      <c r="AS338" s="21" t="n">
        <f aca="false">IF($J338=0,0,MAX(0,NETWORKDAYS(MAX($K338,AS$4),MIN($L338,EOMONTH(AS$4,0)),Assumptions!$F$4:$F$44))/NETWORKDAYS($K338,$L338,Assumptions!$F$4:$F$44))</f>
        <v>0</v>
      </c>
      <c r="AT338" s="21" t="n">
        <f aca="false">IF($J338=0,0,MAX(0,NETWORKDAYS(MAX($K338,AT$4),MIN($L338,EOMONTH(AT$4,0)),Assumptions!$F$4:$F$44))/NETWORKDAYS($K338,$L338,Assumptions!$F$4:$F$44))</f>
        <v>0</v>
      </c>
      <c r="AU338" s="21" t="n">
        <f aca="false">IF($J338=0,0,MAX(0,NETWORKDAYS(MAX($K338,AU$4),MIN($L338,EOMONTH(AU$4,0)),Assumptions!$F$4:$F$44))/NETWORKDAYS($K338,$L338,Assumptions!$F$4:$F$44))</f>
        <v>0</v>
      </c>
      <c r="AV338" s="21" t="n">
        <f aca="false">IF($J338=0,0,MAX(0,NETWORKDAYS(MAX($K338,AV$4),MIN($L338,EOMONTH(AV$4,0)),Assumptions!$F$4:$F$44))/NETWORKDAYS($K338,$L338,Assumptions!$F$4:$F$44))</f>
        <v>0</v>
      </c>
      <c r="AW338" s="21" t="n">
        <f aca="false">IF($J338=0,0,MAX(0,NETWORKDAYS(MAX($K338,AW$4),MIN($L338,EOMONTH(AW$4,0)),Assumptions!$F$4:$F$44))/NETWORKDAYS($K338,$L338,Assumptions!$F$4:$F$44))</f>
        <v>0</v>
      </c>
      <c r="AX338" s="21" t="n">
        <f aca="false">IF($J338=0,0,MAX(0,NETWORKDAYS(MAX($K338,AX$4),MIN($L338,EOMONTH(AX$4,0)),Assumptions!$F$4:$F$44))/NETWORKDAYS($K338,$L338,Assumptions!$F$4:$F$44))</f>
        <v>0</v>
      </c>
      <c r="AY338" s="21" t="n">
        <f aca="false">IF($J338=0,0,MAX(0,NETWORKDAYS(MAX($K338,AY$4),MIN($L338,EOMONTH(AY$4,0)),Assumptions!$F$4:$F$44))/NETWORKDAYS($K338,$L338,Assumptions!$F$4:$F$44))</f>
        <v>0</v>
      </c>
      <c r="AZ338" s="21" t="n">
        <f aca="false">IF($J338=0,0,MAX(0,NETWORKDAYS(MAX($K338,AZ$4),MIN($L338,EOMONTH(AZ$4,0)),Assumptions!$F$4:$F$44))/NETWORKDAYS($K338,$L338,Assumptions!$F$4:$F$44))</f>
        <v>0</v>
      </c>
      <c r="BA338" s="21" t="n">
        <f aca="false">IF($J338=0,0,MAX(0,NETWORKDAYS(MAX($K338,BA$4),MIN($L338,EOMONTH(BA$4,0)),Assumptions!$F$4:$F$44))/NETWORKDAYS($K338,$L338,Assumptions!$F$4:$F$44))</f>
        <v>0</v>
      </c>
      <c r="BB338" s="21" t="n">
        <f aca="false">IF($J338=0,0,MAX(0,NETWORKDAYS(MAX($K338,BB$4),MIN($L338,EOMONTH(BB$4,0)),Assumptions!$F$4:$F$44))/NETWORKDAYS($K338,$L338,Assumptions!$F$4:$F$44))</f>
        <v>0</v>
      </c>
      <c r="BC338" s="21" t="n">
        <f aca="false">IF($J338=0,0,MAX(0,NETWORKDAYS(MAX($K338,BC$4),MIN($L338,EOMONTH(BC$4,0)),Assumptions!$F$4:$F$44))/NETWORKDAYS($K338,$L338,Assumptions!$F$4:$F$44))</f>
        <v>0</v>
      </c>
    </row>
    <row r="339" customFormat="false" ht="15" hidden="false" customHeight="false" outlineLevel="2" collapsed="false">
      <c r="A339" s="27" t="n">
        <v>335</v>
      </c>
      <c r="B339" s="27" t="s">
        <v>740</v>
      </c>
      <c r="C339" s="27" t="n">
        <v>3</v>
      </c>
      <c r="D339" s="27" t="s">
        <v>92</v>
      </c>
      <c r="E339" s="28" t="s">
        <v>340</v>
      </c>
      <c r="F339" s="27" t="s">
        <v>681</v>
      </c>
      <c r="G339" s="27" t="s">
        <v>720</v>
      </c>
      <c r="H339" s="27" t="s">
        <v>47</v>
      </c>
      <c r="I339" s="29" t="n">
        <v>262</v>
      </c>
      <c r="J339" s="29" t="n">
        <v>26</v>
      </c>
      <c r="K339" s="30" t="n">
        <f aca="false">WORKDAY(Assumptions!$C$4,I339,Assumptions!$F$4:$F$44)</f>
        <v>46694</v>
      </c>
      <c r="L339" s="30" t="n">
        <f aca="false">IF(J339=0,K339,WORKDAY(K339,J339-1,Assumptions!$F$4:$F$44))</f>
        <v>46729</v>
      </c>
      <c r="M339" s="29" t="s">
        <v>741</v>
      </c>
      <c r="N339" s="31" t="n">
        <v>0</v>
      </c>
      <c r="O339" s="31" t="n">
        <v>0</v>
      </c>
      <c r="P339" s="31" t="n">
        <v>0</v>
      </c>
      <c r="Q339" s="31" t="n">
        <v>8</v>
      </c>
      <c r="R339" s="31" t="n">
        <v>5</v>
      </c>
      <c r="S339" s="31" t="n">
        <v>0</v>
      </c>
      <c r="T339" s="31" t="n">
        <v>0</v>
      </c>
      <c r="U339" s="31" t="n">
        <v>0</v>
      </c>
      <c r="V339" s="31" t="n">
        <v>4</v>
      </c>
      <c r="W339" s="31" t="n">
        <v>0</v>
      </c>
      <c r="X339" s="31" t="n">
        <v>0</v>
      </c>
      <c r="Y339" s="32" t="n">
        <f aca="false">SUM(N339:X339)</f>
        <v>17</v>
      </c>
      <c r="Z339" s="32" t="n">
        <f aca="false">Y339*(1+Assumptions!$C$5)</f>
        <v>19.55</v>
      </c>
      <c r="AA339" s="27" t="s">
        <v>342</v>
      </c>
      <c r="AB339" s="27" t="s">
        <v>95</v>
      </c>
      <c r="AC339" s="27"/>
      <c r="AD339" s="33" t="n">
        <v>0</v>
      </c>
      <c r="AF339" s="21" t="n">
        <f aca="false">IF($J339=0,0,MAX(0,NETWORKDAYS(MAX($K339,AF$4),MIN($L339,EOMONTH(AF$4,0)),Assumptions!$F$4:$F$44))/NETWORKDAYS($K339,$L339,Assumptions!$F$4:$F$44))</f>
        <v>0</v>
      </c>
      <c r="AG339" s="21" t="n">
        <f aca="false">IF($J339=0,0,MAX(0,NETWORKDAYS(MAX($K339,AG$4),MIN($L339,EOMONTH(AG$4,0)),Assumptions!$F$4:$F$44))/NETWORKDAYS($K339,$L339,Assumptions!$F$4:$F$44))</f>
        <v>0</v>
      </c>
      <c r="AH339" s="21" t="n">
        <f aca="false">IF($J339=0,0,MAX(0,NETWORKDAYS(MAX($K339,AH$4),MIN($L339,EOMONTH(AH$4,0)),Assumptions!$F$4:$F$44))/NETWORKDAYS($K339,$L339,Assumptions!$F$4:$F$44))</f>
        <v>0</v>
      </c>
      <c r="AI339" s="21" t="n">
        <f aca="false">IF($J339=0,0,MAX(0,NETWORKDAYS(MAX($K339,AI$4),MIN($L339,EOMONTH(AI$4,0)),Assumptions!$F$4:$F$44))/NETWORKDAYS($K339,$L339,Assumptions!$F$4:$F$44))</f>
        <v>0</v>
      </c>
      <c r="AJ339" s="21" t="n">
        <f aca="false">IF($J339=0,0,MAX(0,NETWORKDAYS(MAX($K339,AJ$4),MIN($L339,EOMONTH(AJ$4,0)),Assumptions!$F$4:$F$44))/NETWORKDAYS($K339,$L339,Assumptions!$F$4:$F$44))</f>
        <v>0</v>
      </c>
      <c r="AK339" s="21" t="n">
        <f aca="false">IF($J339=0,0,MAX(0,NETWORKDAYS(MAX($K339,AK$4),MIN($L339,EOMONTH(AK$4,0)),Assumptions!$F$4:$F$44))/NETWORKDAYS($K339,$L339,Assumptions!$F$4:$F$44))</f>
        <v>0</v>
      </c>
      <c r="AL339" s="21" t="n">
        <f aca="false">IF($J339=0,0,MAX(0,NETWORKDAYS(MAX($K339,AL$4),MIN($L339,EOMONTH(AL$4,0)),Assumptions!$F$4:$F$44))/NETWORKDAYS($K339,$L339,Assumptions!$F$4:$F$44))</f>
        <v>0</v>
      </c>
      <c r="AM339" s="21" t="n">
        <f aca="false">IF($J339=0,0,MAX(0,NETWORKDAYS(MAX($K339,AM$4),MIN($L339,EOMONTH(AM$4,0)),Assumptions!$F$4:$F$44))/NETWORKDAYS($K339,$L339,Assumptions!$F$4:$F$44))</f>
        <v>0</v>
      </c>
      <c r="AN339" s="21" t="n">
        <f aca="false">IF($J339=0,0,MAX(0,NETWORKDAYS(MAX($K339,AN$4),MIN($L339,EOMONTH(AN$4,0)),Assumptions!$F$4:$F$44))/NETWORKDAYS($K339,$L339,Assumptions!$F$4:$F$44))</f>
        <v>0</v>
      </c>
      <c r="AO339" s="21" t="n">
        <f aca="false">IF($J339=0,0,MAX(0,NETWORKDAYS(MAX($K339,AO$4),MIN($L339,EOMONTH(AO$4,0)),Assumptions!$F$4:$F$44))/NETWORKDAYS($K339,$L339,Assumptions!$F$4:$F$44))</f>
        <v>0</v>
      </c>
      <c r="AP339" s="21" t="n">
        <f aca="false">IF($J339=0,0,MAX(0,NETWORKDAYS(MAX($K339,AP$4),MIN($L339,EOMONTH(AP$4,0)),Assumptions!$F$4:$F$44))/NETWORKDAYS($K339,$L339,Assumptions!$F$4:$F$44))</f>
        <v>0</v>
      </c>
      <c r="AQ339" s="21" t="n">
        <f aca="false">IF($J339=0,0,MAX(0,NETWORKDAYS(MAX($K339,AQ$4),MIN($L339,EOMONTH(AQ$4,0)),Assumptions!$F$4:$F$44))/NETWORKDAYS($K339,$L339,Assumptions!$F$4:$F$44))</f>
        <v>0</v>
      </c>
      <c r="AR339" s="21" t="n">
        <f aca="false">IF($J339=0,0,MAX(0,NETWORKDAYS(MAX($K339,AR$4),MIN($L339,EOMONTH(AR$4,0)),Assumptions!$F$4:$F$44))/NETWORKDAYS($K339,$L339,Assumptions!$F$4:$F$44))</f>
        <v>0.769230769230769</v>
      </c>
      <c r="AS339" s="21" t="n">
        <f aca="false">IF($J339=0,0,MAX(0,NETWORKDAYS(MAX($K339,AS$4),MIN($L339,EOMONTH(AS$4,0)),Assumptions!$F$4:$F$44))/NETWORKDAYS($K339,$L339,Assumptions!$F$4:$F$44))</f>
        <v>0.230769230769231</v>
      </c>
      <c r="AT339" s="21" t="n">
        <f aca="false">IF($J339=0,0,MAX(0,NETWORKDAYS(MAX($K339,AT$4),MIN($L339,EOMONTH(AT$4,0)),Assumptions!$F$4:$F$44))/NETWORKDAYS($K339,$L339,Assumptions!$F$4:$F$44))</f>
        <v>0</v>
      </c>
      <c r="AU339" s="21" t="n">
        <f aca="false">IF($J339=0,0,MAX(0,NETWORKDAYS(MAX($K339,AU$4),MIN($L339,EOMONTH(AU$4,0)),Assumptions!$F$4:$F$44))/NETWORKDAYS($K339,$L339,Assumptions!$F$4:$F$44))</f>
        <v>0</v>
      </c>
      <c r="AV339" s="21" t="n">
        <f aca="false">IF($J339=0,0,MAX(0,NETWORKDAYS(MAX($K339,AV$4),MIN($L339,EOMONTH(AV$4,0)),Assumptions!$F$4:$F$44))/NETWORKDAYS($K339,$L339,Assumptions!$F$4:$F$44))</f>
        <v>0</v>
      </c>
      <c r="AW339" s="21" t="n">
        <f aca="false">IF($J339=0,0,MAX(0,NETWORKDAYS(MAX($K339,AW$4),MIN($L339,EOMONTH(AW$4,0)),Assumptions!$F$4:$F$44))/NETWORKDAYS($K339,$L339,Assumptions!$F$4:$F$44))</f>
        <v>0</v>
      </c>
      <c r="AX339" s="21" t="n">
        <f aca="false">IF($J339=0,0,MAX(0,NETWORKDAYS(MAX($K339,AX$4),MIN($L339,EOMONTH(AX$4,0)),Assumptions!$F$4:$F$44))/NETWORKDAYS($K339,$L339,Assumptions!$F$4:$F$44))</f>
        <v>0</v>
      </c>
      <c r="AY339" s="21" t="n">
        <f aca="false">IF($J339=0,0,MAX(0,NETWORKDAYS(MAX($K339,AY$4),MIN($L339,EOMONTH(AY$4,0)),Assumptions!$F$4:$F$44))/NETWORKDAYS($K339,$L339,Assumptions!$F$4:$F$44))</f>
        <v>0</v>
      </c>
      <c r="AZ339" s="21" t="n">
        <f aca="false">IF($J339=0,0,MAX(0,NETWORKDAYS(MAX($K339,AZ$4),MIN($L339,EOMONTH(AZ$4,0)),Assumptions!$F$4:$F$44))/NETWORKDAYS($K339,$L339,Assumptions!$F$4:$F$44))</f>
        <v>0</v>
      </c>
      <c r="BA339" s="21" t="n">
        <f aca="false">IF($J339=0,0,MAX(0,NETWORKDAYS(MAX($K339,BA$4),MIN($L339,EOMONTH(BA$4,0)),Assumptions!$F$4:$F$44))/NETWORKDAYS($K339,$L339,Assumptions!$F$4:$F$44))</f>
        <v>0</v>
      </c>
      <c r="BB339" s="21" t="n">
        <f aca="false">IF($J339=0,0,MAX(0,NETWORKDAYS(MAX($K339,BB$4),MIN($L339,EOMONTH(BB$4,0)),Assumptions!$F$4:$F$44))/NETWORKDAYS($K339,$L339,Assumptions!$F$4:$F$44))</f>
        <v>0</v>
      </c>
      <c r="BC339" s="21" t="n">
        <f aca="false">IF($J339=0,0,MAX(0,NETWORKDAYS(MAX($K339,BC$4),MIN($L339,EOMONTH(BC$4,0)),Assumptions!$F$4:$F$44))/NETWORKDAYS($K339,$L339,Assumptions!$F$4:$F$44))</f>
        <v>0</v>
      </c>
    </row>
    <row r="340" customFormat="false" ht="15" hidden="false" customHeight="false" outlineLevel="2" collapsed="false">
      <c r="A340" s="27" t="n">
        <v>336</v>
      </c>
      <c r="B340" s="27" t="s">
        <v>742</v>
      </c>
      <c r="C340" s="27" t="n">
        <v>3</v>
      </c>
      <c r="D340" s="27" t="s">
        <v>92</v>
      </c>
      <c r="E340" s="28" t="s">
        <v>344</v>
      </c>
      <c r="F340" s="27" t="s">
        <v>681</v>
      </c>
      <c r="G340" s="27" t="s">
        <v>720</v>
      </c>
      <c r="H340" s="27" t="s">
        <v>43</v>
      </c>
      <c r="I340" s="29" t="n">
        <v>279</v>
      </c>
      <c r="J340" s="29" t="n">
        <v>13</v>
      </c>
      <c r="K340" s="30" t="n">
        <f aca="false">WORKDAY(Assumptions!$C$4,I340,Assumptions!$F$4:$F$44)</f>
        <v>46717</v>
      </c>
      <c r="L340" s="30" t="n">
        <f aca="false">IF(J340=0,K340,WORKDAY(K340,J340-1,Assumptions!$F$4:$F$44))</f>
        <v>46735</v>
      </c>
      <c r="M340" s="29" t="s">
        <v>741</v>
      </c>
      <c r="N340" s="31" t="n">
        <v>0</v>
      </c>
      <c r="O340" s="31" t="n">
        <v>5</v>
      </c>
      <c r="P340" s="31" t="n">
        <v>0</v>
      </c>
      <c r="Q340" s="31" t="n">
        <v>0</v>
      </c>
      <c r="R340" s="31" t="n">
        <v>0</v>
      </c>
      <c r="S340" s="31" t="n">
        <v>0</v>
      </c>
      <c r="T340" s="31" t="n">
        <v>0</v>
      </c>
      <c r="U340" s="31" t="n">
        <v>0</v>
      </c>
      <c r="V340" s="31" t="n">
        <v>5</v>
      </c>
      <c r="W340" s="31" t="n">
        <v>0</v>
      </c>
      <c r="X340" s="31" t="n">
        <v>0</v>
      </c>
      <c r="Y340" s="32" t="n">
        <f aca="false">SUM(N340:X340)</f>
        <v>10</v>
      </c>
      <c r="Z340" s="32" t="n">
        <f aca="false">Y340*(1+Assumptions!$C$5)</f>
        <v>11.5</v>
      </c>
      <c r="AA340" s="27" t="s">
        <v>345</v>
      </c>
      <c r="AB340" s="27" t="s">
        <v>95</v>
      </c>
      <c r="AC340" s="27"/>
      <c r="AD340" s="33" t="n">
        <v>0</v>
      </c>
      <c r="AF340" s="21" t="n">
        <f aca="false">IF($J340=0,0,MAX(0,NETWORKDAYS(MAX($K340,AF$4),MIN($L340,EOMONTH(AF$4,0)),Assumptions!$F$4:$F$44))/NETWORKDAYS($K340,$L340,Assumptions!$F$4:$F$44))</f>
        <v>0</v>
      </c>
      <c r="AG340" s="21" t="n">
        <f aca="false">IF($J340=0,0,MAX(0,NETWORKDAYS(MAX($K340,AG$4),MIN($L340,EOMONTH(AG$4,0)),Assumptions!$F$4:$F$44))/NETWORKDAYS($K340,$L340,Assumptions!$F$4:$F$44))</f>
        <v>0</v>
      </c>
      <c r="AH340" s="21" t="n">
        <f aca="false">IF($J340=0,0,MAX(0,NETWORKDAYS(MAX($K340,AH$4),MIN($L340,EOMONTH(AH$4,0)),Assumptions!$F$4:$F$44))/NETWORKDAYS($K340,$L340,Assumptions!$F$4:$F$44))</f>
        <v>0</v>
      </c>
      <c r="AI340" s="21" t="n">
        <f aca="false">IF($J340=0,0,MAX(0,NETWORKDAYS(MAX($K340,AI$4),MIN($L340,EOMONTH(AI$4,0)),Assumptions!$F$4:$F$44))/NETWORKDAYS($K340,$L340,Assumptions!$F$4:$F$44))</f>
        <v>0</v>
      </c>
      <c r="AJ340" s="21" t="n">
        <f aca="false">IF($J340=0,0,MAX(0,NETWORKDAYS(MAX($K340,AJ$4),MIN($L340,EOMONTH(AJ$4,0)),Assumptions!$F$4:$F$44))/NETWORKDAYS($K340,$L340,Assumptions!$F$4:$F$44))</f>
        <v>0</v>
      </c>
      <c r="AK340" s="21" t="n">
        <f aca="false">IF($J340=0,0,MAX(0,NETWORKDAYS(MAX($K340,AK$4),MIN($L340,EOMONTH(AK$4,0)),Assumptions!$F$4:$F$44))/NETWORKDAYS($K340,$L340,Assumptions!$F$4:$F$44))</f>
        <v>0</v>
      </c>
      <c r="AL340" s="21" t="n">
        <f aca="false">IF($J340=0,0,MAX(0,NETWORKDAYS(MAX($K340,AL$4),MIN($L340,EOMONTH(AL$4,0)),Assumptions!$F$4:$F$44))/NETWORKDAYS($K340,$L340,Assumptions!$F$4:$F$44))</f>
        <v>0</v>
      </c>
      <c r="AM340" s="21" t="n">
        <f aca="false">IF($J340=0,0,MAX(0,NETWORKDAYS(MAX($K340,AM$4),MIN($L340,EOMONTH(AM$4,0)),Assumptions!$F$4:$F$44))/NETWORKDAYS($K340,$L340,Assumptions!$F$4:$F$44))</f>
        <v>0</v>
      </c>
      <c r="AN340" s="21" t="n">
        <f aca="false">IF($J340=0,0,MAX(0,NETWORKDAYS(MAX($K340,AN$4),MIN($L340,EOMONTH(AN$4,0)),Assumptions!$F$4:$F$44))/NETWORKDAYS($K340,$L340,Assumptions!$F$4:$F$44))</f>
        <v>0</v>
      </c>
      <c r="AO340" s="21" t="n">
        <f aca="false">IF($J340=0,0,MAX(0,NETWORKDAYS(MAX($K340,AO$4),MIN($L340,EOMONTH(AO$4,0)),Assumptions!$F$4:$F$44))/NETWORKDAYS($K340,$L340,Assumptions!$F$4:$F$44))</f>
        <v>0</v>
      </c>
      <c r="AP340" s="21" t="n">
        <f aca="false">IF($J340=0,0,MAX(0,NETWORKDAYS(MAX($K340,AP$4),MIN($L340,EOMONTH(AP$4,0)),Assumptions!$F$4:$F$44))/NETWORKDAYS($K340,$L340,Assumptions!$F$4:$F$44))</f>
        <v>0</v>
      </c>
      <c r="AQ340" s="21" t="n">
        <f aca="false">IF($J340=0,0,MAX(0,NETWORKDAYS(MAX($K340,AQ$4),MIN($L340,EOMONTH(AQ$4,0)),Assumptions!$F$4:$F$44))/NETWORKDAYS($K340,$L340,Assumptions!$F$4:$F$44))</f>
        <v>0</v>
      </c>
      <c r="AR340" s="21" t="n">
        <f aca="false">IF($J340=0,0,MAX(0,NETWORKDAYS(MAX($K340,AR$4),MIN($L340,EOMONTH(AR$4,0)),Assumptions!$F$4:$F$44))/NETWORKDAYS($K340,$L340,Assumptions!$F$4:$F$44))</f>
        <v>0.230769230769231</v>
      </c>
      <c r="AS340" s="21" t="n">
        <f aca="false">IF($J340=0,0,MAX(0,NETWORKDAYS(MAX($K340,AS$4),MIN($L340,EOMONTH(AS$4,0)),Assumptions!$F$4:$F$44))/NETWORKDAYS($K340,$L340,Assumptions!$F$4:$F$44))</f>
        <v>0.769230769230769</v>
      </c>
      <c r="AT340" s="21" t="n">
        <f aca="false">IF($J340=0,0,MAX(0,NETWORKDAYS(MAX($K340,AT$4),MIN($L340,EOMONTH(AT$4,0)),Assumptions!$F$4:$F$44))/NETWORKDAYS($K340,$L340,Assumptions!$F$4:$F$44))</f>
        <v>0</v>
      </c>
      <c r="AU340" s="21" t="n">
        <f aca="false">IF($J340=0,0,MAX(0,NETWORKDAYS(MAX($K340,AU$4),MIN($L340,EOMONTH(AU$4,0)),Assumptions!$F$4:$F$44))/NETWORKDAYS($K340,$L340,Assumptions!$F$4:$F$44))</f>
        <v>0</v>
      </c>
      <c r="AV340" s="21" t="n">
        <f aca="false">IF($J340=0,0,MAX(0,NETWORKDAYS(MAX($K340,AV$4),MIN($L340,EOMONTH(AV$4,0)),Assumptions!$F$4:$F$44))/NETWORKDAYS($K340,$L340,Assumptions!$F$4:$F$44))</f>
        <v>0</v>
      </c>
      <c r="AW340" s="21" t="n">
        <f aca="false">IF($J340=0,0,MAX(0,NETWORKDAYS(MAX($K340,AW$4),MIN($L340,EOMONTH(AW$4,0)),Assumptions!$F$4:$F$44))/NETWORKDAYS($K340,$L340,Assumptions!$F$4:$F$44))</f>
        <v>0</v>
      </c>
      <c r="AX340" s="21" t="n">
        <f aca="false">IF($J340=0,0,MAX(0,NETWORKDAYS(MAX($K340,AX$4),MIN($L340,EOMONTH(AX$4,0)),Assumptions!$F$4:$F$44))/NETWORKDAYS($K340,$L340,Assumptions!$F$4:$F$44))</f>
        <v>0</v>
      </c>
      <c r="AY340" s="21" t="n">
        <f aca="false">IF($J340=0,0,MAX(0,NETWORKDAYS(MAX($K340,AY$4),MIN($L340,EOMONTH(AY$4,0)),Assumptions!$F$4:$F$44))/NETWORKDAYS($K340,$L340,Assumptions!$F$4:$F$44))</f>
        <v>0</v>
      </c>
      <c r="AZ340" s="21" t="n">
        <f aca="false">IF($J340=0,0,MAX(0,NETWORKDAYS(MAX($K340,AZ$4),MIN($L340,EOMONTH(AZ$4,0)),Assumptions!$F$4:$F$44))/NETWORKDAYS($K340,$L340,Assumptions!$F$4:$F$44))</f>
        <v>0</v>
      </c>
      <c r="BA340" s="21" t="n">
        <f aca="false">IF($J340=0,0,MAX(0,NETWORKDAYS(MAX($K340,BA$4),MIN($L340,EOMONTH(BA$4,0)),Assumptions!$F$4:$F$44))/NETWORKDAYS($K340,$L340,Assumptions!$F$4:$F$44))</f>
        <v>0</v>
      </c>
      <c r="BB340" s="21" t="n">
        <f aca="false">IF($J340=0,0,MAX(0,NETWORKDAYS(MAX($K340,BB$4),MIN($L340,EOMONTH(BB$4,0)),Assumptions!$F$4:$F$44))/NETWORKDAYS($K340,$L340,Assumptions!$F$4:$F$44))</f>
        <v>0</v>
      </c>
      <c r="BC340" s="21" t="n">
        <f aca="false">IF($J340=0,0,MAX(0,NETWORKDAYS(MAX($K340,BC$4),MIN($L340,EOMONTH(BC$4,0)),Assumptions!$F$4:$F$44))/NETWORKDAYS($K340,$L340,Assumptions!$F$4:$F$44))</f>
        <v>0</v>
      </c>
    </row>
    <row r="341" customFormat="false" ht="15" hidden="false" customHeight="false" outlineLevel="2" collapsed="false">
      <c r="A341" s="27" t="n">
        <v>337</v>
      </c>
      <c r="B341" s="27" t="s">
        <v>743</v>
      </c>
      <c r="C341" s="27" t="n">
        <v>3</v>
      </c>
      <c r="D341" s="27" t="s">
        <v>92</v>
      </c>
      <c r="E341" s="28" t="s">
        <v>347</v>
      </c>
      <c r="F341" s="27" t="s">
        <v>681</v>
      </c>
      <c r="G341" s="27" t="s">
        <v>720</v>
      </c>
      <c r="H341" s="27" t="s">
        <v>61</v>
      </c>
      <c r="I341" s="29" t="n">
        <v>282</v>
      </c>
      <c r="J341" s="29" t="n">
        <v>13</v>
      </c>
      <c r="K341" s="30" t="n">
        <f aca="false">WORKDAY(Assumptions!$C$4,I341,Assumptions!$F$4:$F$44)</f>
        <v>46722</v>
      </c>
      <c r="L341" s="30" t="n">
        <f aca="false">IF(J341=0,K341,WORKDAY(K341,J341-1,Assumptions!$F$4:$F$44))</f>
        <v>46738</v>
      </c>
      <c r="M341" s="29" t="s">
        <v>744</v>
      </c>
      <c r="N341" s="31" t="n">
        <v>0</v>
      </c>
      <c r="O341" s="31" t="n">
        <v>2</v>
      </c>
      <c r="P341" s="31" t="n">
        <v>0</v>
      </c>
      <c r="Q341" s="31" t="n">
        <v>0</v>
      </c>
      <c r="R341" s="31" t="n">
        <v>0</v>
      </c>
      <c r="S341" s="31" t="n">
        <v>0</v>
      </c>
      <c r="T341" s="31" t="n">
        <v>0</v>
      </c>
      <c r="U341" s="31" t="n">
        <v>0</v>
      </c>
      <c r="V341" s="31" t="n">
        <v>0</v>
      </c>
      <c r="W341" s="31" t="n">
        <v>0</v>
      </c>
      <c r="X341" s="31" t="n">
        <v>6</v>
      </c>
      <c r="Y341" s="32" t="n">
        <f aca="false">SUM(N341:X341)</f>
        <v>8</v>
      </c>
      <c r="Z341" s="32" t="n">
        <f aca="false">Y341*(1+Assumptions!$C$5)</f>
        <v>9.2</v>
      </c>
      <c r="AA341" s="27" t="s">
        <v>349</v>
      </c>
      <c r="AB341" s="27" t="s">
        <v>95</v>
      </c>
      <c r="AC341" s="27"/>
      <c r="AD341" s="33" t="n">
        <v>0</v>
      </c>
      <c r="AF341" s="21" t="n">
        <f aca="false">IF($J341=0,0,MAX(0,NETWORKDAYS(MAX($K341,AF$4),MIN($L341,EOMONTH(AF$4,0)),Assumptions!$F$4:$F$44))/NETWORKDAYS($K341,$L341,Assumptions!$F$4:$F$44))</f>
        <v>0</v>
      </c>
      <c r="AG341" s="21" t="n">
        <f aca="false">IF($J341=0,0,MAX(0,NETWORKDAYS(MAX($K341,AG$4),MIN($L341,EOMONTH(AG$4,0)),Assumptions!$F$4:$F$44))/NETWORKDAYS($K341,$L341,Assumptions!$F$4:$F$44))</f>
        <v>0</v>
      </c>
      <c r="AH341" s="21" t="n">
        <f aca="false">IF($J341=0,0,MAX(0,NETWORKDAYS(MAX($K341,AH$4),MIN($L341,EOMONTH(AH$4,0)),Assumptions!$F$4:$F$44))/NETWORKDAYS($K341,$L341,Assumptions!$F$4:$F$44))</f>
        <v>0</v>
      </c>
      <c r="AI341" s="21" t="n">
        <f aca="false">IF($J341=0,0,MAX(0,NETWORKDAYS(MAX($K341,AI$4),MIN($L341,EOMONTH(AI$4,0)),Assumptions!$F$4:$F$44))/NETWORKDAYS($K341,$L341,Assumptions!$F$4:$F$44))</f>
        <v>0</v>
      </c>
      <c r="AJ341" s="21" t="n">
        <f aca="false">IF($J341=0,0,MAX(0,NETWORKDAYS(MAX($K341,AJ$4),MIN($L341,EOMONTH(AJ$4,0)),Assumptions!$F$4:$F$44))/NETWORKDAYS($K341,$L341,Assumptions!$F$4:$F$44))</f>
        <v>0</v>
      </c>
      <c r="AK341" s="21" t="n">
        <f aca="false">IF($J341=0,0,MAX(0,NETWORKDAYS(MAX($K341,AK$4),MIN($L341,EOMONTH(AK$4,0)),Assumptions!$F$4:$F$44))/NETWORKDAYS($K341,$L341,Assumptions!$F$4:$F$44))</f>
        <v>0</v>
      </c>
      <c r="AL341" s="21" t="n">
        <f aca="false">IF($J341=0,0,MAX(0,NETWORKDAYS(MAX($K341,AL$4),MIN($L341,EOMONTH(AL$4,0)),Assumptions!$F$4:$F$44))/NETWORKDAYS($K341,$L341,Assumptions!$F$4:$F$44))</f>
        <v>0</v>
      </c>
      <c r="AM341" s="21" t="n">
        <f aca="false">IF($J341=0,0,MAX(0,NETWORKDAYS(MAX($K341,AM$4),MIN($L341,EOMONTH(AM$4,0)),Assumptions!$F$4:$F$44))/NETWORKDAYS($K341,$L341,Assumptions!$F$4:$F$44))</f>
        <v>0</v>
      </c>
      <c r="AN341" s="21" t="n">
        <f aca="false">IF($J341=0,0,MAX(0,NETWORKDAYS(MAX($K341,AN$4),MIN($L341,EOMONTH(AN$4,0)),Assumptions!$F$4:$F$44))/NETWORKDAYS($K341,$L341,Assumptions!$F$4:$F$44))</f>
        <v>0</v>
      </c>
      <c r="AO341" s="21" t="n">
        <f aca="false">IF($J341=0,0,MAX(0,NETWORKDAYS(MAX($K341,AO$4),MIN($L341,EOMONTH(AO$4,0)),Assumptions!$F$4:$F$44))/NETWORKDAYS($K341,$L341,Assumptions!$F$4:$F$44))</f>
        <v>0</v>
      </c>
      <c r="AP341" s="21" t="n">
        <f aca="false">IF($J341=0,0,MAX(0,NETWORKDAYS(MAX($K341,AP$4),MIN($L341,EOMONTH(AP$4,0)),Assumptions!$F$4:$F$44))/NETWORKDAYS($K341,$L341,Assumptions!$F$4:$F$44))</f>
        <v>0</v>
      </c>
      <c r="AQ341" s="21" t="n">
        <f aca="false">IF($J341=0,0,MAX(0,NETWORKDAYS(MAX($K341,AQ$4),MIN($L341,EOMONTH(AQ$4,0)),Assumptions!$F$4:$F$44))/NETWORKDAYS($K341,$L341,Assumptions!$F$4:$F$44))</f>
        <v>0</v>
      </c>
      <c r="AR341" s="21" t="n">
        <f aca="false">IF($J341=0,0,MAX(0,NETWORKDAYS(MAX($K341,AR$4),MIN($L341,EOMONTH(AR$4,0)),Assumptions!$F$4:$F$44))/NETWORKDAYS($K341,$L341,Assumptions!$F$4:$F$44))</f>
        <v>0</v>
      </c>
      <c r="AS341" s="21" t="n">
        <f aca="false">IF($J341=0,0,MAX(0,NETWORKDAYS(MAX($K341,AS$4),MIN($L341,EOMONTH(AS$4,0)),Assumptions!$F$4:$F$44))/NETWORKDAYS($K341,$L341,Assumptions!$F$4:$F$44))</f>
        <v>1</v>
      </c>
      <c r="AT341" s="21" t="n">
        <f aca="false">IF($J341=0,0,MAX(0,NETWORKDAYS(MAX($K341,AT$4),MIN($L341,EOMONTH(AT$4,0)),Assumptions!$F$4:$F$44))/NETWORKDAYS($K341,$L341,Assumptions!$F$4:$F$44))</f>
        <v>0</v>
      </c>
      <c r="AU341" s="21" t="n">
        <f aca="false">IF($J341=0,0,MAX(0,NETWORKDAYS(MAX($K341,AU$4),MIN($L341,EOMONTH(AU$4,0)),Assumptions!$F$4:$F$44))/NETWORKDAYS($K341,$L341,Assumptions!$F$4:$F$44))</f>
        <v>0</v>
      </c>
      <c r="AV341" s="21" t="n">
        <f aca="false">IF($J341=0,0,MAX(0,NETWORKDAYS(MAX($K341,AV$4),MIN($L341,EOMONTH(AV$4,0)),Assumptions!$F$4:$F$44))/NETWORKDAYS($K341,$L341,Assumptions!$F$4:$F$44))</f>
        <v>0</v>
      </c>
      <c r="AW341" s="21" t="n">
        <f aca="false">IF($J341=0,0,MAX(0,NETWORKDAYS(MAX($K341,AW$4),MIN($L341,EOMONTH(AW$4,0)),Assumptions!$F$4:$F$44))/NETWORKDAYS($K341,$L341,Assumptions!$F$4:$F$44))</f>
        <v>0</v>
      </c>
      <c r="AX341" s="21" t="n">
        <f aca="false">IF($J341=0,0,MAX(0,NETWORKDAYS(MAX($K341,AX$4),MIN($L341,EOMONTH(AX$4,0)),Assumptions!$F$4:$F$44))/NETWORKDAYS($K341,$L341,Assumptions!$F$4:$F$44))</f>
        <v>0</v>
      </c>
      <c r="AY341" s="21" t="n">
        <f aca="false">IF($J341=0,0,MAX(0,NETWORKDAYS(MAX($K341,AY$4),MIN($L341,EOMONTH(AY$4,0)),Assumptions!$F$4:$F$44))/NETWORKDAYS($K341,$L341,Assumptions!$F$4:$F$44))</f>
        <v>0</v>
      </c>
      <c r="AZ341" s="21" t="n">
        <f aca="false">IF($J341=0,0,MAX(0,NETWORKDAYS(MAX($K341,AZ$4),MIN($L341,EOMONTH(AZ$4,0)),Assumptions!$F$4:$F$44))/NETWORKDAYS($K341,$L341,Assumptions!$F$4:$F$44))</f>
        <v>0</v>
      </c>
      <c r="BA341" s="21" t="n">
        <f aca="false">IF($J341=0,0,MAX(0,NETWORKDAYS(MAX($K341,BA$4),MIN($L341,EOMONTH(BA$4,0)),Assumptions!$F$4:$F$44))/NETWORKDAYS($K341,$L341,Assumptions!$F$4:$F$44))</f>
        <v>0</v>
      </c>
      <c r="BB341" s="21" t="n">
        <f aca="false">IF($J341=0,0,MAX(0,NETWORKDAYS(MAX($K341,BB$4),MIN($L341,EOMONTH(BB$4,0)),Assumptions!$F$4:$F$44))/NETWORKDAYS($K341,$L341,Assumptions!$F$4:$F$44))</f>
        <v>0</v>
      </c>
      <c r="BC341" s="21" t="n">
        <f aca="false">IF($J341=0,0,MAX(0,NETWORKDAYS(MAX($K341,BC$4),MIN($L341,EOMONTH(BC$4,0)),Assumptions!$F$4:$F$44))/NETWORKDAYS($K341,$L341,Assumptions!$F$4:$F$44))</f>
        <v>0</v>
      </c>
    </row>
    <row r="342" customFormat="false" ht="15" hidden="false" customHeight="false" outlineLevel="1" collapsed="false">
      <c r="A342" s="22" t="n">
        <v>338</v>
      </c>
      <c r="B342" s="22" t="s">
        <v>745</v>
      </c>
      <c r="C342" s="22" t="n">
        <v>2</v>
      </c>
      <c r="D342" s="22" t="s">
        <v>89</v>
      </c>
      <c r="E342" s="23" t="s">
        <v>746</v>
      </c>
      <c r="F342" s="22" t="s">
        <v>681</v>
      </c>
      <c r="G342" s="22" t="s">
        <v>747</v>
      </c>
      <c r="H342" s="22"/>
      <c r="I342" s="22"/>
      <c r="J342" s="22" t="n">
        <f aca="false">NETWORKDAYS(K342,L342,Assumptions!$F$4:$F$44)</f>
        <v>119</v>
      </c>
      <c r="K342" s="24" t="n">
        <f aca="false">MIN(K343:K357)</f>
        <v>46574</v>
      </c>
      <c r="L342" s="24" t="n">
        <f aca="false">MAX(L343:L357)</f>
        <v>46738</v>
      </c>
      <c r="M342" s="22"/>
      <c r="N342" s="25" t="n">
        <f aca="false">SUMPRODUCT(($C$343:$C$357=3)*(N343:N357))</f>
        <v>1</v>
      </c>
      <c r="O342" s="25" t="n">
        <f aca="false">SUMPRODUCT(($C$343:$C$357=3)*(O343:O357))</f>
        <v>13</v>
      </c>
      <c r="P342" s="25" t="n">
        <f aca="false">SUMPRODUCT(($C$343:$C$357=3)*(P343:P357))</f>
        <v>4</v>
      </c>
      <c r="Q342" s="25" t="n">
        <f aca="false">SUMPRODUCT(($C$343:$C$357=3)*(Q343:Q357))</f>
        <v>57</v>
      </c>
      <c r="R342" s="25" t="n">
        <f aca="false">SUMPRODUCT(($C$343:$C$357=3)*(R343:R357))</f>
        <v>25</v>
      </c>
      <c r="S342" s="25" t="n">
        <f aca="false">SUMPRODUCT(($C$343:$C$357=3)*(S343:S357))</f>
        <v>8</v>
      </c>
      <c r="T342" s="25" t="n">
        <f aca="false">SUMPRODUCT(($C$343:$C$357=3)*(T343:T357))</f>
        <v>6</v>
      </c>
      <c r="U342" s="25" t="n">
        <f aca="false">SUMPRODUCT(($C$343:$C$357=3)*(U343:U357))</f>
        <v>0</v>
      </c>
      <c r="V342" s="25" t="n">
        <f aca="false">SUMPRODUCT(($C$343:$C$357=3)*(V343:V357))</f>
        <v>19</v>
      </c>
      <c r="W342" s="25" t="n">
        <f aca="false">SUMPRODUCT(($C$343:$C$357=3)*(W343:W357))</f>
        <v>0</v>
      </c>
      <c r="X342" s="25" t="n">
        <f aca="false">SUMPRODUCT(($C$343:$C$357=3)*(X343:X357))</f>
        <v>4</v>
      </c>
      <c r="Y342" s="25" t="n">
        <f aca="false">SUM(N342:X342)</f>
        <v>137</v>
      </c>
      <c r="Z342" s="25" t="n">
        <f aca="false">Y342*(1+Assumptions!$C$5)</f>
        <v>157.55</v>
      </c>
      <c r="AA342" s="22" t="s">
        <v>748</v>
      </c>
      <c r="AB342" s="22"/>
      <c r="AC342" s="22"/>
      <c r="AD342" s="26"/>
      <c r="AF342" s="21" t="n">
        <v>0</v>
      </c>
      <c r="AG342" s="21" t="n">
        <v>0</v>
      </c>
      <c r="AH342" s="21" t="n">
        <v>0</v>
      </c>
      <c r="AI342" s="21" t="n">
        <v>0</v>
      </c>
      <c r="AJ342" s="21" t="n">
        <v>0</v>
      </c>
      <c r="AK342" s="21" t="n">
        <v>0</v>
      </c>
      <c r="AL342" s="21" t="n">
        <v>0</v>
      </c>
      <c r="AM342" s="21" t="n">
        <v>0</v>
      </c>
      <c r="AN342" s="21" t="n">
        <v>0</v>
      </c>
      <c r="AO342" s="21" t="n">
        <v>0</v>
      </c>
      <c r="AP342" s="21" t="n">
        <v>0</v>
      </c>
      <c r="AQ342" s="21" t="n">
        <v>0</v>
      </c>
      <c r="AR342" s="21" t="n">
        <v>0</v>
      </c>
      <c r="AS342" s="21" t="n">
        <v>0</v>
      </c>
      <c r="AT342" s="21" t="n">
        <v>0</v>
      </c>
      <c r="AU342" s="21" t="n">
        <v>0</v>
      </c>
      <c r="AV342" s="21" t="n">
        <v>0</v>
      </c>
      <c r="AW342" s="21" t="n">
        <v>0</v>
      </c>
      <c r="AX342" s="21" t="n">
        <v>0</v>
      </c>
      <c r="AY342" s="21" t="n">
        <v>0</v>
      </c>
      <c r="AZ342" s="21" t="n">
        <v>0</v>
      </c>
      <c r="BA342" s="21" t="n">
        <v>0</v>
      </c>
      <c r="BB342" s="21" t="n">
        <v>0</v>
      </c>
      <c r="BC342" s="21" t="n">
        <v>0</v>
      </c>
    </row>
    <row r="343" customFormat="false" ht="15" hidden="false" customHeight="false" outlineLevel="2" collapsed="false">
      <c r="A343" s="27" t="n">
        <v>339</v>
      </c>
      <c r="B343" s="27" t="s">
        <v>749</v>
      </c>
      <c r="C343" s="27" t="n">
        <v>3</v>
      </c>
      <c r="D343" s="27" t="s">
        <v>92</v>
      </c>
      <c r="E343" s="28" t="s">
        <v>292</v>
      </c>
      <c r="F343" s="27" t="s">
        <v>681</v>
      </c>
      <c r="G343" s="27" t="s">
        <v>747</v>
      </c>
      <c r="H343" s="27" t="s">
        <v>43</v>
      </c>
      <c r="I343" s="29" t="n">
        <v>176</v>
      </c>
      <c r="J343" s="29" t="n">
        <v>16</v>
      </c>
      <c r="K343" s="30" t="n">
        <f aca="false">WORKDAY(Assumptions!$C$4,I343,Assumptions!$F$4:$F$44)</f>
        <v>46574</v>
      </c>
      <c r="L343" s="30" t="n">
        <f aca="false">IF(J343=0,K343,WORKDAY(K343,J343-1,Assumptions!$F$4:$F$44))</f>
        <v>46595</v>
      </c>
      <c r="M343" s="29" t="s">
        <v>695</v>
      </c>
      <c r="N343" s="31" t="n">
        <v>1</v>
      </c>
      <c r="O343" s="31" t="n">
        <v>5</v>
      </c>
      <c r="P343" s="31" t="n">
        <v>1</v>
      </c>
      <c r="Q343" s="31" t="n">
        <v>0</v>
      </c>
      <c r="R343" s="31" t="n">
        <v>0</v>
      </c>
      <c r="S343" s="31" t="n">
        <v>0</v>
      </c>
      <c r="T343" s="31" t="n">
        <v>0</v>
      </c>
      <c r="U343" s="31" t="n">
        <v>0</v>
      </c>
      <c r="V343" s="31" t="n">
        <v>0</v>
      </c>
      <c r="W343" s="31" t="n">
        <v>0</v>
      </c>
      <c r="X343" s="31" t="n">
        <v>0</v>
      </c>
      <c r="Y343" s="32" t="n">
        <f aca="false">SUM(N343:X343)</f>
        <v>7</v>
      </c>
      <c r="Z343" s="32" t="n">
        <f aca="false">Y343*(1+Assumptions!$C$5)</f>
        <v>8.05</v>
      </c>
      <c r="AA343" s="27" t="s">
        <v>294</v>
      </c>
      <c r="AB343" s="27" t="s">
        <v>95</v>
      </c>
      <c r="AC343" s="27"/>
      <c r="AD343" s="33" t="n">
        <v>0</v>
      </c>
      <c r="AF343" s="21" t="n">
        <f aca="false">IF($J343=0,0,MAX(0,NETWORKDAYS(MAX($K343,AF$4),MIN($L343,EOMONTH(AF$4,0)),Assumptions!$F$4:$F$44))/NETWORKDAYS($K343,$L343,Assumptions!$F$4:$F$44))</f>
        <v>0</v>
      </c>
      <c r="AG343" s="21" t="n">
        <f aca="false">IF($J343=0,0,MAX(0,NETWORKDAYS(MAX($K343,AG$4),MIN($L343,EOMONTH(AG$4,0)),Assumptions!$F$4:$F$44))/NETWORKDAYS($K343,$L343,Assumptions!$F$4:$F$44))</f>
        <v>0</v>
      </c>
      <c r="AH343" s="21" t="n">
        <f aca="false">IF($J343=0,0,MAX(0,NETWORKDAYS(MAX($K343,AH$4),MIN($L343,EOMONTH(AH$4,0)),Assumptions!$F$4:$F$44))/NETWORKDAYS($K343,$L343,Assumptions!$F$4:$F$44))</f>
        <v>0</v>
      </c>
      <c r="AI343" s="21" t="n">
        <f aca="false">IF($J343=0,0,MAX(0,NETWORKDAYS(MAX($K343,AI$4),MIN($L343,EOMONTH(AI$4,0)),Assumptions!$F$4:$F$44))/NETWORKDAYS($K343,$L343,Assumptions!$F$4:$F$44))</f>
        <v>0</v>
      </c>
      <c r="AJ343" s="21" t="n">
        <f aca="false">IF($J343=0,0,MAX(0,NETWORKDAYS(MAX($K343,AJ$4),MIN($L343,EOMONTH(AJ$4,0)),Assumptions!$F$4:$F$44))/NETWORKDAYS($K343,$L343,Assumptions!$F$4:$F$44))</f>
        <v>0</v>
      </c>
      <c r="AK343" s="21" t="n">
        <f aca="false">IF($J343=0,0,MAX(0,NETWORKDAYS(MAX($K343,AK$4),MIN($L343,EOMONTH(AK$4,0)),Assumptions!$F$4:$F$44))/NETWORKDAYS($K343,$L343,Assumptions!$F$4:$F$44))</f>
        <v>0</v>
      </c>
      <c r="AL343" s="21" t="n">
        <f aca="false">IF($J343=0,0,MAX(0,NETWORKDAYS(MAX($K343,AL$4),MIN($L343,EOMONTH(AL$4,0)),Assumptions!$F$4:$F$44))/NETWORKDAYS($K343,$L343,Assumptions!$F$4:$F$44))</f>
        <v>0</v>
      </c>
      <c r="AM343" s="21" t="n">
        <f aca="false">IF($J343=0,0,MAX(0,NETWORKDAYS(MAX($K343,AM$4),MIN($L343,EOMONTH(AM$4,0)),Assumptions!$F$4:$F$44))/NETWORKDAYS($K343,$L343,Assumptions!$F$4:$F$44))</f>
        <v>0</v>
      </c>
      <c r="AN343" s="21" t="n">
        <f aca="false">IF($J343=0,0,MAX(0,NETWORKDAYS(MAX($K343,AN$4),MIN($L343,EOMONTH(AN$4,0)),Assumptions!$F$4:$F$44))/NETWORKDAYS($K343,$L343,Assumptions!$F$4:$F$44))</f>
        <v>1</v>
      </c>
      <c r="AO343" s="21" t="n">
        <f aca="false">IF($J343=0,0,MAX(0,NETWORKDAYS(MAX($K343,AO$4),MIN($L343,EOMONTH(AO$4,0)),Assumptions!$F$4:$F$44))/NETWORKDAYS($K343,$L343,Assumptions!$F$4:$F$44))</f>
        <v>0</v>
      </c>
      <c r="AP343" s="21" t="n">
        <f aca="false">IF($J343=0,0,MAX(0,NETWORKDAYS(MAX($K343,AP$4),MIN($L343,EOMONTH(AP$4,0)),Assumptions!$F$4:$F$44))/NETWORKDAYS($K343,$L343,Assumptions!$F$4:$F$44))</f>
        <v>0</v>
      </c>
      <c r="AQ343" s="21" t="n">
        <f aca="false">IF($J343=0,0,MAX(0,NETWORKDAYS(MAX($K343,AQ$4),MIN($L343,EOMONTH(AQ$4,0)),Assumptions!$F$4:$F$44))/NETWORKDAYS($K343,$L343,Assumptions!$F$4:$F$44))</f>
        <v>0</v>
      </c>
      <c r="AR343" s="21" t="n">
        <f aca="false">IF($J343=0,0,MAX(0,NETWORKDAYS(MAX($K343,AR$4),MIN($L343,EOMONTH(AR$4,0)),Assumptions!$F$4:$F$44))/NETWORKDAYS($K343,$L343,Assumptions!$F$4:$F$44))</f>
        <v>0</v>
      </c>
      <c r="AS343" s="21" t="n">
        <f aca="false">IF($J343=0,0,MAX(0,NETWORKDAYS(MAX($K343,AS$4),MIN($L343,EOMONTH(AS$4,0)),Assumptions!$F$4:$F$44))/NETWORKDAYS($K343,$L343,Assumptions!$F$4:$F$44))</f>
        <v>0</v>
      </c>
      <c r="AT343" s="21" t="n">
        <f aca="false">IF($J343=0,0,MAX(0,NETWORKDAYS(MAX($K343,AT$4),MIN($L343,EOMONTH(AT$4,0)),Assumptions!$F$4:$F$44))/NETWORKDAYS($K343,$L343,Assumptions!$F$4:$F$44))</f>
        <v>0</v>
      </c>
      <c r="AU343" s="21" t="n">
        <f aca="false">IF($J343=0,0,MAX(0,NETWORKDAYS(MAX($K343,AU$4),MIN($L343,EOMONTH(AU$4,0)),Assumptions!$F$4:$F$44))/NETWORKDAYS($K343,$L343,Assumptions!$F$4:$F$44))</f>
        <v>0</v>
      </c>
      <c r="AV343" s="21" t="n">
        <f aca="false">IF($J343=0,0,MAX(0,NETWORKDAYS(MAX($K343,AV$4),MIN($L343,EOMONTH(AV$4,0)),Assumptions!$F$4:$F$44))/NETWORKDAYS($K343,$L343,Assumptions!$F$4:$F$44))</f>
        <v>0</v>
      </c>
      <c r="AW343" s="21" t="n">
        <f aca="false">IF($J343=0,0,MAX(0,NETWORKDAYS(MAX($K343,AW$4),MIN($L343,EOMONTH(AW$4,0)),Assumptions!$F$4:$F$44))/NETWORKDAYS($K343,$L343,Assumptions!$F$4:$F$44))</f>
        <v>0</v>
      </c>
      <c r="AX343" s="21" t="n">
        <f aca="false">IF($J343=0,0,MAX(0,NETWORKDAYS(MAX($K343,AX$4),MIN($L343,EOMONTH(AX$4,0)),Assumptions!$F$4:$F$44))/NETWORKDAYS($K343,$L343,Assumptions!$F$4:$F$44))</f>
        <v>0</v>
      </c>
      <c r="AY343" s="21" t="n">
        <f aca="false">IF($J343=0,0,MAX(0,NETWORKDAYS(MAX($K343,AY$4),MIN($L343,EOMONTH(AY$4,0)),Assumptions!$F$4:$F$44))/NETWORKDAYS($K343,$L343,Assumptions!$F$4:$F$44))</f>
        <v>0</v>
      </c>
      <c r="AZ343" s="21" t="n">
        <f aca="false">IF($J343=0,0,MAX(0,NETWORKDAYS(MAX($K343,AZ$4),MIN($L343,EOMONTH(AZ$4,0)),Assumptions!$F$4:$F$44))/NETWORKDAYS($K343,$L343,Assumptions!$F$4:$F$44))</f>
        <v>0</v>
      </c>
      <c r="BA343" s="21" t="n">
        <f aca="false">IF($J343=0,0,MAX(0,NETWORKDAYS(MAX($K343,BA$4),MIN($L343,EOMONTH(BA$4,0)),Assumptions!$F$4:$F$44))/NETWORKDAYS($K343,$L343,Assumptions!$F$4:$F$44))</f>
        <v>0</v>
      </c>
      <c r="BB343" s="21" t="n">
        <f aca="false">IF($J343=0,0,MAX(0,NETWORKDAYS(MAX($K343,BB$4),MIN($L343,EOMONTH(BB$4,0)),Assumptions!$F$4:$F$44))/NETWORKDAYS($K343,$L343,Assumptions!$F$4:$F$44))</f>
        <v>0</v>
      </c>
      <c r="BC343" s="21" t="n">
        <f aca="false">IF($J343=0,0,MAX(0,NETWORKDAYS(MAX($K343,BC$4),MIN($L343,EOMONTH(BC$4,0)),Assumptions!$F$4:$F$44))/NETWORKDAYS($K343,$L343,Assumptions!$F$4:$F$44))</f>
        <v>0</v>
      </c>
    </row>
    <row r="344" customFormat="false" ht="15" hidden="false" customHeight="false" outlineLevel="2" collapsed="false">
      <c r="A344" s="27" t="n">
        <v>340</v>
      </c>
      <c r="B344" s="27" t="s">
        <v>750</v>
      </c>
      <c r="C344" s="27" t="n">
        <v>3</v>
      </c>
      <c r="D344" s="27" t="s">
        <v>92</v>
      </c>
      <c r="E344" s="28" t="s">
        <v>296</v>
      </c>
      <c r="F344" s="27" t="s">
        <v>681</v>
      </c>
      <c r="G344" s="27" t="s">
        <v>747</v>
      </c>
      <c r="H344" s="27" t="s">
        <v>45</v>
      </c>
      <c r="I344" s="29" t="n">
        <v>187</v>
      </c>
      <c r="J344" s="29" t="n">
        <v>16</v>
      </c>
      <c r="K344" s="30" t="n">
        <f aca="false">WORKDAY(Assumptions!$C$4,I344,Assumptions!$F$4:$F$44)</f>
        <v>46589</v>
      </c>
      <c r="L344" s="30" t="n">
        <f aca="false">IF(J344=0,K344,WORKDAY(K344,J344-1,Assumptions!$F$4:$F$44))</f>
        <v>46610</v>
      </c>
      <c r="M344" s="29" t="s">
        <v>751</v>
      </c>
      <c r="N344" s="31" t="n">
        <v>0</v>
      </c>
      <c r="O344" s="31" t="n">
        <v>0</v>
      </c>
      <c r="P344" s="31" t="n">
        <v>3</v>
      </c>
      <c r="Q344" s="31" t="n">
        <v>3</v>
      </c>
      <c r="R344" s="31" t="n">
        <v>0</v>
      </c>
      <c r="S344" s="31" t="n">
        <v>0</v>
      </c>
      <c r="T344" s="31" t="n">
        <v>0</v>
      </c>
      <c r="U344" s="31" t="n">
        <v>0</v>
      </c>
      <c r="V344" s="31" t="n">
        <v>0</v>
      </c>
      <c r="W344" s="31" t="n">
        <v>0</v>
      </c>
      <c r="X344" s="31" t="n">
        <v>0</v>
      </c>
      <c r="Y344" s="32" t="n">
        <f aca="false">SUM(N344:X344)</f>
        <v>6</v>
      </c>
      <c r="Z344" s="32" t="n">
        <f aca="false">Y344*(1+Assumptions!$C$5)</f>
        <v>6.9</v>
      </c>
      <c r="AA344" s="27" t="s">
        <v>298</v>
      </c>
      <c r="AB344" s="27" t="s">
        <v>95</v>
      </c>
      <c r="AC344" s="27"/>
      <c r="AD344" s="33" t="n">
        <v>0</v>
      </c>
      <c r="AF344" s="21" t="n">
        <f aca="false">IF($J344=0,0,MAX(0,NETWORKDAYS(MAX($K344,AF$4),MIN($L344,EOMONTH(AF$4,0)),Assumptions!$F$4:$F$44))/NETWORKDAYS($K344,$L344,Assumptions!$F$4:$F$44))</f>
        <v>0</v>
      </c>
      <c r="AG344" s="21" t="n">
        <f aca="false">IF($J344=0,0,MAX(0,NETWORKDAYS(MAX($K344,AG$4),MIN($L344,EOMONTH(AG$4,0)),Assumptions!$F$4:$F$44))/NETWORKDAYS($K344,$L344,Assumptions!$F$4:$F$44))</f>
        <v>0</v>
      </c>
      <c r="AH344" s="21" t="n">
        <f aca="false">IF($J344=0,0,MAX(0,NETWORKDAYS(MAX($K344,AH$4),MIN($L344,EOMONTH(AH$4,0)),Assumptions!$F$4:$F$44))/NETWORKDAYS($K344,$L344,Assumptions!$F$4:$F$44))</f>
        <v>0</v>
      </c>
      <c r="AI344" s="21" t="n">
        <f aca="false">IF($J344=0,0,MAX(0,NETWORKDAYS(MAX($K344,AI$4),MIN($L344,EOMONTH(AI$4,0)),Assumptions!$F$4:$F$44))/NETWORKDAYS($K344,$L344,Assumptions!$F$4:$F$44))</f>
        <v>0</v>
      </c>
      <c r="AJ344" s="21" t="n">
        <f aca="false">IF($J344=0,0,MAX(0,NETWORKDAYS(MAX($K344,AJ$4),MIN($L344,EOMONTH(AJ$4,0)),Assumptions!$F$4:$F$44))/NETWORKDAYS($K344,$L344,Assumptions!$F$4:$F$44))</f>
        <v>0</v>
      </c>
      <c r="AK344" s="21" t="n">
        <f aca="false">IF($J344=0,0,MAX(0,NETWORKDAYS(MAX($K344,AK$4),MIN($L344,EOMONTH(AK$4,0)),Assumptions!$F$4:$F$44))/NETWORKDAYS($K344,$L344,Assumptions!$F$4:$F$44))</f>
        <v>0</v>
      </c>
      <c r="AL344" s="21" t="n">
        <f aca="false">IF($J344=0,0,MAX(0,NETWORKDAYS(MAX($K344,AL$4),MIN($L344,EOMONTH(AL$4,0)),Assumptions!$F$4:$F$44))/NETWORKDAYS($K344,$L344,Assumptions!$F$4:$F$44))</f>
        <v>0</v>
      </c>
      <c r="AM344" s="21" t="n">
        <f aca="false">IF($J344=0,0,MAX(0,NETWORKDAYS(MAX($K344,AM$4),MIN($L344,EOMONTH(AM$4,0)),Assumptions!$F$4:$F$44))/NETWORKDAYS($K344,$L344,Assumptions!$F$4:$F$44))</f>
        <v>0</v>
      </c>
      <c r="AN344" s="21" t="n">
        <f aca="false">IF($J344=0,0,MAX(0,NETWORKDAYS(MAX($K344,AN$4),MIN($L344,EOMONTH(AN$4,0)),Assumptions!$F$4:$F$44))/NETWORKDAYS($K344,$L344,Assumptions!$F$4:$F$44))</f>
        <v>0.5</v>
      </c>
      <c r="AO344" s="21" t="n">
        <f aca="false">IF($J344=0,0,MAX(0,NETWORKDAYS(MAX($K344,AO$4),MIN($L344,EOMONTH(AO$4,0)),Assumptions!$F$4:$F$44))/NETWORKDAYS($K344,$L344,Assumptions!$F$4:$F$44))</f>
        <v>0.5</v>
      </c>
      <c r="AP344" s="21" t="n">
        <f aca="false">IF($J344=0,0,MAX(0,NETWORKDAYS(MAX($K344,AP$4),MIN($L344,EOMONTH(AP$4,0)),Assumptions!$F$4:$F$44))/NETWORKDAYS($K344,$L344,Assumptions!$F$4:$F$44))</f>
        <v>0</v>
      </c>
      <c r="AQ344" s="21" t="n">
        <f aca="false">IF($J344=0,0,MAX(0,NETWORKDAYS(MAX($K344,AQ$4),MIN($L344,EOMONTH(AQ$4,0)),Assumptions!$F$4:$F$44))/NETWORKDAYS($K344,$L344,Assumptions!$F$4:$F$44))</f>
        <v>0</v>
      </c>
      <c r="AR344" s="21" t="n">
        <f aca="false">IF($J344=0,0,MAX(0,NETWORKDAYS(MAX($K344,AR$4),MIN($L344,EOMONTH(AR$4,0)),Assumptions!$F$4:$F$44))/NETWORKDAYS($K344,$L344,Assumptions!$F$4:$F$44))</f>
        <v>0</v>
      </c>
      <c r="AS344" s="21" t="n">
        <f aca="false">IF($J344=0,0,MAX(0,NETWORKDAYS(MAX($K344,AS$4),MIN($L344,EOMONTH(AS$4,0)),Assumptions!$F$4:$F$44))/NETWORKDAYS($K344,$L344,Assumptions!$F$4:$F$44))</f>
        <v>0</v>
      </c>
      <c r="AT344" s="21" t="n">
        <f aca="false">IF($J344=0,0,MAX(0,NETWORKDAYS(MAX($K344,AT$4),MIN($L344,EOMONTH(AT$4,0)),Assumptions!$F$4:$F$44))/NETWORKDAYS($K344,$L344,Assumptions!$F$4:$F$44))</f>
        <v>0</v>
      </c>
      <c r="AU344" s="21" t="n">
        <f aca="false">IF($J344=0,0,MAX(0,NETWORKDAYS(MAX($K344,AU$4),MIN($L344,EOMONTH(AU$4,0)),Assumptions!$F$4:$F$44))/NETWORKDAYS($K344,$L344,Assumptions!$F$4:$F$44))</f>
        <v>0</v>
      </c>
      <c r="AV344" s="21" t="n">
        <f aca="false">IF($J344=0,0,MAX(0,NETWORKDAYS(MAX($K344,AV$4),MIN($L344,EOMONTH(AV$4,0)),Assumptions!$F$4:$F$44))/NETWORKDAYS($K344,$L344,Assumptions!$F$4:$F$44))</f>
        <v>0</v>
      </c>
      <c r="AW344" s="21" t="n">
        <f aca="false">IF($J344=0,0,MAX(0,NETWORKDAYS(MAX($K344,AW$4),MIN($L344,EOMONTH(AW$4,0)),Assumptions!$F$4:$F$44))/NETWORKDAYS($K344,$L344,Assumptions!$F$4:$F$44))</f>
        <v>0</v>
      </c>
      <c r="AX344" s="21" t="n">
        <f aca="false">IF($J344=0,0,MAX(0,NETWORKDAYS(MAX($K344,AX$4),MIN($L344,EOMONTH(AX$4,0)),Assumptions!$F$4:$F$44))/NETWORKDAYS($K344,$L344,Assumptions!$F$4:$F$44))</f>
        <v>0</v>
      </c>
      <c r="AY344" s="21" t="n">
        <f aca="false">IF($J344=0,0,MAX(0,NETWORKDAYS(MAX($K344,AY$4),MIN($L344,EOMONTH(AY$4,0)),Assumptions!$F$4:$F$44))/NETWORKDAYS($K344,$L344,Assumptions!$F$4:$F$44))</f>
        <v>0</v>
      </c>
      <c r="AZ344" s="21" t="n">
        <f aca="false">IF($J344=0,0,MAX(0,NETWORKDAYS(MAX($K344,AZ$4),MIN($L344,EOMONTH(AZ$4,0)),Assumptions!$F$4:$F$44))/NETWORKDAYS($K344,$L344,Assumptions!$F$4:$F$44))</f>
        <v>0</v>
      </c>
      <c r="BA344" s="21" t="n">
        <f aca="false">IF($J344=0,0,MAX(0,NETWORKDAYS(MAX($K344,BA$4),MIN($L344,EOMONTH(BA$4,0)),Assumptions!$F$4:$F$44))/NETWORKDAYS($K344,$L344,Assumptions!$F$4:$F$44))</f>
        <v>0</v>
      </c>
      <c r="BB344" s="21" t="n">
        <f aca="false">IF($J344=0,0,MAX(0,NETWORKDAYS(MAX($K344,BB$4),MIN($L344,EOMONTH(BB$4,0)),Assumptions!$F$4:$F$44))/NETWORKDAYS($K344,$L344,Assumptions!$F$4:$F$44))</f>
        <v>0</v>
      </c>
      <c r="BC344" s="21" t="n">
        <f aca="false">IF($J344=0,0,MAX(0,NETWORKDAYS(MAX($K344,BC$4),MIN($L344,EOMONTH(BC$4,0)),Assumptions!$F$4:$F$44))/NETWORKDAYS($K344,$L344,Assumptions!$F$4:$F$44))</f>
        <v>0</v>
      </c>
    </row>
    <row r="345" customFormat="false" ht="15" hidden="false" customHeight="false" outlineLevel="2" collapsed="false">
      <c r="A345" s="27" t="n">
        <v>341</v>
      </c>
      <c r="B345" s="27" t="s">
        <v>752</v>
      </c>
      <c r="C345" s="27" t="n">
        <v>3</v>
      </c>
      <c r="D345" s="27" t="s">
        <v>92</v>
      </c>
      <c r="E345" s="28" t="s">
        <v>300</v>
      </c>
      <c r="F345" s="27" t="s">
        <v>681</v>
      </c>
      <c r="G345" s="27" t="s">
        <v>747</v>
      </c>
      <c r="H345" s="27" t="s">
        <v>49</v>
      </c>
      <c r="I345" s="29" t="n">
        <v>187</v>
      </c>
      <c r="J345" s="29" t="n">
        <v>16</v>
      </c>
      <c r="K345" s="30" t="n">
        <f aca="false">WORKDAY(Assumptions!$C$4,I345,Assumptions!$F$4:$F$44)</f>
        <v>46589</v>
      </c>
      <c r="L345" s="30" t="n">
        <f aca="false">IF(J345=0,K345,WORKDAY(K345,J345-1,Assumptions!$F$4:$F$44))</f>
        <v>46610</v>
      </c>
      <c r="M345" s="29" t="s">
        <v>751</v>
      </c>
      <c r="N345" s="31" t="n">
        <v>0</v>
      </c>
      <c r="O345" s="31" t="n">
        <v>1</v>
      </c>
      <c r="P345" s="31" t="n">
        <v>0</v>
      </c>
      <c r="Q345" s="31" t="n">
        <v>0</v>
      </c>
      <c r="R345" s="31" t="n">
        <v>4</v>
      </c>
      <c r="S345" s="31" t="n">
        <v>0</v>
      </c>
      <c r="T345" s="31" t="n">
        <v>0</v>
      </c>
      <c r="U345" s="31" t="n">
        <v>0</v>
      </c>
      <c r="V345" s="31" t="n">
        <v>0</v>
      </c>
      <c r="W345" s="31" t="n">
        <v>0</v>
      </c>
      <c r="X345" s="31" t="n">
        <v>0</v>
      </c>
      <c r="Y345" s="32" t="n">
        <f aca="false">SUM(N345:X345)</f>
        <v>5</v>
      </c>
      <c r="Z345" s="32" t="n">
        <f aca="false">Y345*(1+Assumptions!$C$5)</f>
        <v>5.75</v>
      </c>
      <c r="AA345" s="27" t="s">
        <v>301</v>
      </c>
      <c r="AB345" s="27" t="s">
        <v>95</v>
      </c>
      <c r="AC345" s="27"/>
      <c r="AD345" s="33" t="n">
        <v>0</v>
      </c>
      <c r="AF345" s="21" t="n">
        <f aca="false">IF($J345=0,0,MAX(0,NETWORKDAYS(MAX($K345,AF$4),MIN($L345,EOMONTH(AF$4,0)),Assumptions!$F$4:$F$44))/NETWORKDAYS($K345,$L345,Assumptions!$F$4:$F$44))</f>
        <v>0</v>
      </c>
      <c r="AG345" s="21" t="n">
        <f aca="false">IF($J345=0,0,MAX(0,NETWORKDAYS(MAX($K345,AG$4),MIN($L345,EOMONTH(AG$4,0)),Assumptions!$F$4:$F$44))/NETWORKDAYS($K345,$L345,Assumptions!$F$4:$F$44))</f>
        <v>0</v>
      </c>
      <c r="AH345" s="21" t="n">
        <f aca="false">IF($J345=0,0,MAX(0,NETWORKDAYS(MAX($K345,AH$4),MIN($L345,EOMONTH(AH$4,0)),Assumptions!$F$4:$F$44))/NETWORKDAYS($K345,$L345,Assumptions!$F$4:$F$44))</f>
        <v>0</v>
      </c>
      <c r="AI345" s="21" t="n">
        <f aca="false">IF($J345=0,0,MAX(0,NETWORKDAYS(MAX($K345,AI$4),MIN($L345,EOMONTH(AI$4,0)),Assumptions!$F$4:$F$44))/NETWORKDAYS($K345,$L345,Assumptions!$F$4:$F$44))</f>
        <v>0</v>
      </c>
      <c r="AJ345" s="21" t="n">
        <f aca="false">IF($J345=0,0,MAX(0,NETWORKDAYS(MAX($K345,AJ$4),MIN($L345,EOMONTH(AJ$4,0)),Assumptions!$F$4:$F$44))/NETWORKDAYS($K345,$L345,Assumptions!$F$4:$F$44))</f>
        <v>0</v>
      </c>
      <c r="AK345" s="21" t="n">
        <f aca="false">IF($J345=0,0,MAX(0,NETWORKDAYS(MAX($K345,AK$4),MIN($L345,EOMONTH(AK$4,0)),Assumptions!$F$4:$F$44))/NETWORKDAYS($K345,$L345,Assumptions!$F$4:$F$44))</f>
        <v>0</v>
      </c>
      <c r="AL345" s="21" t="n">
        <f aca="false">IF($J345=0,0,MAX(0,NETWORKDAYS(MAX($K345,AL$4),MIN($L345,EOMONTH(AL$4,0)),Assumptions!$F$4:$F$44))/NETWORKDAYS($K345,$L345,Assumptions!$F$4:$F$44))</f>
        <v>0</v>
      </c>
      <c r="AM345" s="21" t="n">
        <f aca="false">IF($J345=0,0,MAX(0,NETWORKDAYS(MAX($K345,AM$4),MIN($L345,EOMONTH(AM$4,0)),Assumptions!$F$4:$F$44))/NETWORKDAYS($K345,$L345,Assumptions!$F$4:$F$44))</f>
        <v>0</v>
      </c>
      <c r="AN345" s="21" t="n">
        <f aca="false">IF($J345=0,0,MAX(0,NETWORKDAYS(MAX($K345,AN$4),MIN($L345,EOMONTH(AN$4,0)),Assumptions!$F$4:$F$44))/NETWORKDAYS($K345,$L345,Assumptions!$F$4:$F$44))</f>
        <v>0.5</v>
      </c>
      <c r="AO345" s="21" t="n">
        <f aca="false">IF($J345=0,0,MAX(0,NETWORKDAYS(MAX($K345,AO$4),MIN($L345,EOMONTH(AO$4,0)),Assumptions!$F$4:$F$44))/NETWORKDAYS($K345,$L345,Assumptions!$F$4:$F$44))</f>
        <v>0.5</v>
      </c>
      <c r="AP345" s="21" t="n">
        <f aca="false">IF($J345=0,0,MAX(0,NETWORKDAYS(MAX($K345,AP$4),MIN($L345,EOMONTH(AP$4,0)),Assumptions!$F$4:$F$44))/NETWORKDAYS($K345,$L345,Assumptions!$F$4:$F$44))</f>
        <v>0</v>
      </c>
      <c r="AQ345" s="21" t="n">
        <f aca="false">IF($J345=0,0,MAX(0,NETWORKDAYS(MAX($K345,AQ$4),MIN($L345,EOMONTH(AQ$4,0)),Assumptions!$F$4:$F$44))/NETWORKDAYS($K345,$L345,Assumptions!$F$4:$F$44))</f>
        <v>0</v>
      </c>
      <c r="AR345" s="21" t="n">
        <f aca="false">IF($J345=0,0,MAX(0,NETWORKDAYS(MAX($K345,AR$4),MIN($L345,EOMONTH(AR$4,0)),Assumptions!$F$4:$F$44))/NETWORKDAYS($K345,$L345,Assumptions!$F$4:$F$44))</f>
        <v>0</v>
      </c>
      <c r="AS345" s="21" t="n">
        <f aca="false">IF($J345=0,0,MAX(0,NETWORKDAYS(MAX($K345,AS$4),MIN($L345,EOMONTH(AS$4,0)),Assumptions!$F$4:$F$44))/NETWORKDAYS($K345,$L345,Assumptions!$F$4:$F$44))</f>
        <v>0</v>
      </c>
      <c r="AT345" s="21" t="n">
        <f aca="false">IF($J345=0,0,MAX(0,NETWORKDAYS(MAX($K345,AT$4),MIN($L345,EOMONTH(AT$4,0)),Assumptions!$F$4:$F$44))/NETWORKDAYS($K345,$L345,Assumptions!$F$4:$F$44))</f>
        <v>0</v>
      </c>
      <c r="AU345" s="21" t="n">
        <f aca="false">IF($J345=0,0,MAX(0,NETWORKDAYS(MAX($K345,AU$4),MIN($L345,EOMONTH(AU$4,0)),Assumptions!$F$4:$F$44))/NETWORKDAYS($K345,$L345,Assumptions!$F$4:$F$44))</f>
        <v>0</v>
      </c>
      <c r="AV345" s="21" t="n">
        <f aca="false">IF($J345=0,0,MAX(0,NETWORKDAYS(MAX($K345,AV$4),MIN($L345,EOMONTH(AV$4,0)),Assumptions!$F$4:$F$44))/NETWORKDAYS($K345,$L345,Assumptions!$F$4:$F$44))</f>
        <v>0</v>
      </c>
      <c r="AW345" s="21" t="n">
        <f aca="false">IF($J345=0,0,MAX(0,NETWORKDAYS(MAX($K345,AW$4),MIN($L345,EOMONTH(AW$4,0)),Assumptions!$F$4:$F$44))/NETWORKDAYS($K345,$L345,Assumptions!$F$4:$F$44))</f>
        <v>0</v>
      </c>
      <c r="AX345" s="21" t="n">
        <f aca="false">IF($J345=0,0,MAX(0,NETWORKDAYS(MAX($K345,AX$4),MIN($L345,EOMONTH(AX$4,0)),Assumptions!$F$4:$F$44))/NETWORKDAYS($K345,$L345,Assumptions!$F$4:$F$44))</f>
        <v>0</v>
      </c>
      <c r="AY345" s="21" t="n">
        <f aca="false">IF($J345=0,0,MAX(0,NETWORKDAYS(MAX($K345,AY$4),MIN($L345,EOMONTH(AY$4,0)),Assumptions!$F$4:$F$44))/NETWORKDAYS($K345,$L345,Assumptions!$F$4:$F$44))</f>
        <v>0</v>
      </c>
      <c r="AZ345" s="21" t="n">
        <f aca="false">IF($J345=0,0,MAX(0,NETWORKDAYS(MAX($K345,AZ$4),MIN($L345,EOMONTH(AZ$4,0)),Assumptions!$F$4:$F$44))/NETWORKDAYS($K345,$L345,Assumptions!$F$4:$F$44))</f>
        <v>0</v>
      </c>
      <c r="BA345" s="21" t="n">
        <f aca="false">IF($J345=0,0,MAX(0,NETWORKDAYS(MAX($K345,BA$4),MIN($L345,EOMONTH(BA$4,0)),Assumptions!$F$4:$F$44))/NETWORKDAYS($K345,$L345,Assumptions!$F$4:$F$44))</f>
        <v>0</v>
      </c>
      <c r="BB345" s="21" t="n">
        <f aca="false">IF($J345=0,0,MAX(0,NETWORKDAYS(MAX($K345,BB$4),MIN($L345,EOMONTH(BB$4,0)),Assumptions!$F$4:$F$44))/NETWORKDAYS($K345,$L345,Assumptions!$F$4:$F$44))</f>
        <v>0</v>
      </c>
      <c r="BC345" s="21" t="n">
        <f aca="false">IF($J345=0,0,MAX(0,NETWORKDAYS(MAX($K345,BC$4),MIN($L345,EOMONTH(BC$4,0)),Assumptions!$F$4:$F$44))/NETWORKDAYS($K345,$L345,Assumptions!$F$4:$F$44))</f>
        <v>0</v>
      </c>
    </row>
    <row r="346" customFormat="false" ht="15" hidden="false" customHeight="false" outlineLevel="2" collapsed="false">
      <c r="A346" s="27" t="n">
        <v>342</v>
      </c>
      <c r="B346" s="27" t="s">
        <v>753</v>
      </c>
      <c r="C346" s="27" t="n">
        <v>3</v>
      </c>
      <c r="D346" s="27" t="s">
        <v>92</v>
      </c>
      <c r="E346" s="28" t="s">
        <v>303</v>
      </c>
      <c r="F346" s="27" t="s">
        <v>681</v>
      </c>
      <c r="G346" s="27" t="s">
        <v>747</v>
      </c>
      <c r="H346" s="27" t="s">
        <v>47</v>
      </c>
      <c r="I346" s="29" t="n">
        <v>200</v>
      </c>
      <c r="J346" s="29" t="n">
        <v>55</v>
      </c>
      <c r="K346" s="30" t="n">
        <f aca="false">WORKDAY(Assumptions!$C$4,I346,Assumptions!$F$4:$F$44)</f>
        <v>46608</v>
      </c>
      <c r="L346" s="30" t="n">
        <f aca="false">IF(J346=0,K346,WORKDAY(K346,J346-1,Assumptions!$F$4:$F$44))</f>
        <v>46682</v>
      </c>
      <c r="M346" s="29" t="s">
        <v>754</v>
      </c>
      <c r="N346" s="31" t="n">
        <v>0</v>
      </c>
      <c r="O346" s="31" t="n">
        <v>0</v>
      </c>
      <c r="P346" s="31" t="n">
        <v>0</v>
      </c>
      <c r="Q346" s="31" t="n">
        <v>19</v>
      </c>
      <c r="R346" s="31" t="n">
        <v>0</v>
      </c>
      <c r="S346" s="31" t="n">
        <v>0</v>
      </c>
      <c r="T346" s="31" t="n">
        <v>0</v>
      </c>
      <c r="U346" s="31" t="n">
        <v>0</v>
      </c>
      <c r="V346" s="31" t="n">
        <v>0</v>
      </c>
      <c r="W346" s="31" t="n">
        <v>0</v>
      </c>
      <c r="X346" s="31" t="n">
        <v>0</v>
      </c>
      <c r="Y346" s="32" t="n">
        <f aca="false">SUM(N346:X346)</f>
        <v>19</v>
      </c>
      <c r="Z346" s="32" t="n">
        <f aca="false">Y346*(1+Assumptions!$C$5)</f>
        <v>21.85</v>
      </c>
      <c r="AA346" s="27" t="s">
        <v>305</v>
      </c>
      <c r="AB346" s="27" t="s">
        <v>95</v>
      </c>
      <c r="AC346" s="27"/>
      <c r="AD346" s="33" t="n">
        <v>0</v>
      </c>
      <c r="AF346" s="21" t="n">
        <f aca="false">IF($J346=0,0,MAX(0,NETWORKDAYS(MAX($K346,AF$4),MIN($L346,EOMONTH(AF$4,0)),Assumptions!$F$4:$F$44))/NETWORKDAYS($K346,$L346,Assumptions!$F$4:$F$44))</f>
        <v>0</v>
      </c>
      <c r="AG346" s="21" t="n">
        <f aca="false">IF($J346=0,0,MAX(0,NETWORKDAYS(MAX($K346,AG$4),MIN($L346,EOMONTH(AG$4,0)),Assumptions!$F$4:$F$44))/NETWORKDAYS($K346,$L346,Assumptions!$F$4:$F$44))</f>
        <v>0</v>
      </c>
      <c r="AH346" s="21" t="n">
        <f aca="false">IF($J346=0,0,MAX(0,NETWORKDAYS(MAX($K346,AH$4),MIN($L346,EOMONTH(AH$4,0)),Assumptions!$F$4:$F$44))/NETWORKDAYS($K346,$L346,Assumptions!$F$4:$F$44))</f>
        <v>0</v>
      </c>
      <c r="AI346" s="21" t="n">
        <f aca="false">IF($J346=0,0,MAX(0,NETWORKDAYS(MAX($K346,AI$4),MIN($L346,EOMONTH(AI$4,0)),Assumptions!$F$4:$F$44))/NETWORKDAYS($K346,$L346,Assumptions!$F$4:$F$44))</f>
        <v>0</v>
      </c>
      <c r="AJ346" s="21" t="n">
        <f aca="false">IF($J346=0,0,MAX(0,NETWORKDAYS(MAX($K346,AJ$4),MIN($L346,EOMONTH(AJ$4,0)),Assumptions!$F$4:$F$44))/NETWORKDAYS($K346,$L346,Assumptions!$F$4:$F$44))</f>
        <v>0</v>
      </c>
      <c r="AK346" s="21" t="n">
        <f aca="false">IF($J346=0,0,MAX(0,NETWORKDAYS(MAX($K346,AK$4),MIN($L346,EOMONTH(AK$4,0)),Assumptions!$F$4:$F$44))/NETWORKDAYS($K346,$L346,Assumptions!$F$4:$F$44))</f>
        <v>0</v>
      </c>
      <c r="AL346" s="21" t="n">
        <f aca="false">IF($J346=0,0,MAX(0,NETWORKDAYS(MAX($K346,AL$4),MIN($L346,EOMONTH(AL$4,0)),Assumptions!$F$4:$F$44))/NETWORKDAYS($K346,$L346,Assumptions!$F$4:$F$44))</f>
        <v>0</v>
      </c>
      <c r="AM346" s="21" t="n">
        <f aca="false">IF($J346=0,0,MAX(0,NETWORKDAYS(MAX($K346,AM$4),MIN($L346,EOMONTH(AM$4,0)),Assumptions!$F$4:$F$44))/NETWORKDAYS($K346,$L346,Assumptions!$F$4:$F$44))</f>
        <v>0</v>
      </c>
      <c r="AN346" s="21" t="n">
        <f aca="false">IF($J346=0,0,MAX(0,NETWORKDAYS(MAX($K346,AN$4),MIN($L346,EOMONTH(AN$4,0)),Assumptions!$F$4:$F$44))/NETWORKDAYS($K346,$L346,Assumptions!$F$4:$F$44))</f>
        <v>0</v>
      </c>
      <c r="AO346" s="21" t="n">
        <f aca="false">IF($J346=0,0,MAX(0,NETWORKDAYS(MAX($K346,AO$4),MIN($L346,EOMONTH(AO$4,0)),Assumptions!$F$4:$F$44))/NETWORKDAYS($K346,$L346,Assumptions!$F$4:$F$44))</f>
        <v>0.309090909090909</v>
      </c>
      <c r="AP346" s="21" t="n">
        <f aca="false">IF($J346=0,0,MAX(0,NETWORKDAYS(MAX($K346,AP$4),MIN($L346,EOMONTH(AP$4,0)),Assumptions!$F$4:$F$44))/NETWORKDAYS($K346,$L346,Assumptions!$F$4:$F$44))</f>
        <v>0.4</v>
      </c>
      <c r="AQ346" s="21" t="n">
        <f aca="false">IF($J346=0,0,MAX(0,NETWORKDAYS(MAX($K346,AQ$4),MIN($L346,EOMONTH(AQ$4,0)),Assumptions!$F$4:$F$44))/NETWORKDAYS($K346,$L346,Assumptions!$F$4:$F$44))</f>
        <v>0.290909090909091</v>
      </c>
      <c r="AR346" s="21" t="n">
        <f aca="false">IF($J346=0,0,MAX(0,NETWORKDAYS(MAX($K346,AR$4),MIN($L346,EOMONTH(AR$4,0)),Assumptions!$F$4:$F$44))/NETWORKDAYS($K346,$L346,Assumptions!$F$4:$F$44))</f>
        <v>0</v>
      </c>
      <c r="AS346" s="21" t="n">
        <f aca="false">IF($J346=0,0,MAX(0,NETWORKDAYS(MAX($K346,AS$4),MIN($L346,EOMONTH(AS$4,0)),Assumptions!$F$4:$F$44))/NETWORKDAYS($K346,$L346,Assumptions!$F$4:$F$44))</f>
        <v>0</v>
      </c>
      <c r="AT346" s="21" t="n">
        <f aca="false">IF($J346=0,0,MAX(0,NETWORKDAYS(MAX($K346,AT$4),MIN($L346,EOMONTH(AT$4,0)),Assumptions!$F$4:$F$44))/NETWORKDAYS($K346,$L346,Assumptions!$F$4:$F$44))</f>
        <v>0</v>
      </c>
      <c r="AU346" s="21" t="n">
        <f aca="false">IF($J346=0,0,MAX(0,NETWORKDAYS(MAX($K346,AU$4),MIN($L346,EOMONTH(AU$4,0)),Assumptions!$F$4:$F$44))/NETWORKDAYS($K346,$L346,Assumptions!$F$4:$F$44))</f>
        <v>0</v>
      </c>
      <c r="AV346" s="21" t="n">
        <f aca="false">IF($J346=0,0,MAX(0,NETWORKDAYS(MAX($K346,AV$4),MIN($L346,EOMONTH(AV$4,0)),Assumptions!$F$4:$F$44))/NETWORKDAYS($K346,$L346,Assumptions!$F$4:$F$44))</f>
        <v>0</v>
      </c>
      <c r="AW346" s="21" t="n">
        <f aca="false">IF($J346=0,0,MAX(0,NETWORKDAYS(MAX($K346,AW$4),MIN($L346,EOMONTH(AW$4,0)),Assumptions!$F$4:$F$44))/NETWORKDAYS($K346,$L346,Assumptions!$F$4:$F$44))</f>
        <v>0</v>
      </c>
      <c r="AX346" s="21" t="n">
        <f aca="false">IF($J346=0,0,MAX(0,NETWORKDAYS(MAX($K346,AX$4),MIN($L346,EOMONTH(AX$4,0)),Assumptions!$F$4:$F$44))/NETWORKDAYS($K346,$L346,Assumptions!$F$4:$F$44))</f>
        <v>0</v>
      </c>
      <c r="AY346" s="21" t="n">
        <f aca="false">IF($J346=0,0,MAX(0,NETWORKDAYS(MAX($K346,AY$4),MIN($L346,EOMONTH(AY$4,0)),Assumptions!$F$4:$F$44))/NETWORKDAYS($K346,$L346,Assumptions!$F$4:$F$44))</f>
        <v>0</v>
      </c>
      <c r="AZ346" s="21" t="n">
        <f aca="false">IF($J346=0,0,MAX(0,NETWORKDAYS(MAX($K346,AZ$4),MIN($L346,EOMONTH(AZ$4,0)),Assumptions!$F$4:$F$44))/NETWORKDAYS($K346,$L346,Assumptions!$F$4:$F$44))</f>
        <v>0</v>
      </c>
      <c r="BA346" s="21" t="n">
        <f aca="false">IF($J346=0,0,MAX(0,NETWORKDAYS(MAX($K346,BA$4),MIN($L346,EOMONTH(BA$4,0)),Assumptions!$F$4:$F$44))/NETWORKDAYS($K346,$L346,Assumptions!$F$4:$F$44))</f>
        <v>0</v>
      </c>
      <c r="BB346" s="21" t="n">
        <f aca="false">IF($J346=0,0,MAX(0,NETWORKDAYS(MAX($K346,BB$4),MIN($L346,EOMONTH(BB$4,0)),Assumptions!$F$4:$F$44))/NETWORKDAYS($K346,$L346,Assumptions!$F$4:$F$44))</f>
        <v>0</v>
      </c>
      <c r="BC346" s="21" t="n">
        <f aca="false">IF($J346=0,0,MAX(0,NETWORKDAYS(MAX($K346,BC$4),MIN($L346,EOMONTH(BC$4,0)),Assumptions!$F$4:$F$44))/NETWORKDAYS($K346,$L346,Assumptions!$F$4:$F$44))</f>
        <v>0</v>
      </c>
    </row>
    <row r="347" customFormat="false" ht="15" hidden="false" customHeight="false" outlineLevel="2" collapsed="false">
      <c r="A347" s="27" t="n">
        <v>343</v>
      </c>
      <c r="B347" s="27" t="s">
        <v>755</v>
      </c>
      <c r="C347" s="27" t="n">
        <v>3</v>
      </c>
      <c r="D347" s="27" t="s">
        <v>92</v>
      </c>
      <c r="E347" s="28" t="s">
        <v>307</v>
      </c>
      <c r="F347" s="27" t="s">
        <v>681</v>
      </c>
      <c r="G347" s="27" t="s">
        <v>747</v>
      </c>
      <c r="H347" s="27" t="s">
        <v>47</v>
      </c>
      <c r="I347" s="29" t="n">
        <v>216</v>
      </c>
      <c r="J347" s="29" t="n">
        <v>40</v>
      </c>
      <c r="K347" s="30" t="n">
        <f aca="false">WORKDAY(Assumptions!$C$4,I347,Assumptions!$F$4:$F$44)</f>
        <v>46630</v>
      </c>
      <c r="L347" s="30" t="n">
        <f aca="false">IF(J347=0,K347,WORKDAY(K347,J347-1,Assumptions!$F$4:$F$44))</f>
        <v>46685</v>
      </c>
      <c r="M347" s="29" t="s">
        <v>754</v>
      </c>
      <c r="N347" s="31" t="n">
        <v>0</v>
      </c>
      <c r="O347" s="31" t="n">
        <v>2</v>
      </c>
      <c r="P347" s="31" t="n">
        <v>0</v>
      </c>
      <c r="Q347" s="31" t="n">
        <v>6</v>
      </c>
      <c r="R347" s="31" t="n">
        <v>0</v>
      </c>
      <c r="S347" s="31" t="n">
        <v>0</v>
      </c>
      <c r="T347" s="31" t="n">
        <v>0</v>
      </c>
      <c r="U347" s="31" t="n">
        <v>0</v>
      </c>
      <c r="V347" s="31" t="n">
        <v>0</v>
      </c>
      <c r="W347" s="31" t="n">
        <v>0</v>
      </c>
      <c r="X347" s="31" t="n">
        <v>0</v>
      </c>
      <c r="Y347" s="32" t="n">
        <f aca="false">SUM(N347:X347)</f>
        <v>8</v>
      </c>
      <c r="Z347" s="32" t="n">
        <f aca="false">Y347*(1+Assumptions!$C$5)</f>
        <v>9.2</v>
      </c>
      <c r="AA347" s="27" t="s">
        <v>308</v>
      </c>
      <c r="AB347" s="27" t="s">
        <v>95</v>
      </c>
      <c r="AC347" s="27"/>
      <c r="AD347" s="33" t="n">
        <v>0</v>
      </c>
      <c r="AF347" s="21" t="n">
        <f aca="false">IF($J347=0,0,MAX(0,NETWORKDAYS(MAX($K347,AF$4),MIN($L347,EOMONTH(AF$4,0)),Assumptions!$F$4:$F$44))/NETWORKDAYS($K347,$L347,Assumptions!$F$4:$F$44))</f>
        <v>0</v>
      </c>
      <c r="AG347" s="21" t="n">
        <f aca="false">IF($J347=0,0,MAX(0,NETWORKDAYS(MAX($K347,AG$4),MIN($L347,EOMONTH(AG$4,0)),Assumptions!$F$4:$F$44))/NETWORKDAYS($K347,$L347,Assumptions!$F$4:$F$44))</f>
        <v>0</v>
      </c>
      <c r="AH347" s="21" t="n">
        <f aca="false">IF($J347=0,0,MAX(0,NETWORKDAYS(MAX($K347,AH$4),MIN($L347,EOMONTH(AH$4,0)),Assumptions!$F$4:$F$44))/NETWORKDAYS($K347,$L347,Assumptions!$F$4:$F$44))</f>
        <v>0</v>
      </c>
      <c r="AI347" s="21" t="n">
        <f aca="false">IF($J347=0,0,MAX(0,NETWORKDAYS(MAX($K347,AI$4),MIN($L347,EOMONTH(AI$4,0)),Assumptions!$F$4:$F$44))/NETWORKDAYS($K347,$L347,Assumptions!$F$4:$F$44))</f>
        <v>0</v>
      </c>
      <c r="AJ347" s="21" t="n">
        <f aca="false">IF($J347=0,0,MAX(0,NETWORKDAYS(MAX($K347,AJ$4),MIN($L347,EOMONTH(AJ$4,0)),Assumptions!$F$4:$F$44))/NETWORKDAYS($K347,$L347,Assumptions!$F$4:$F$44))</f>
        <v>0</v>
      </c>
      <c r="AK347" s="21" t="n">
        <f aca="false">IF($J347=0,0,MAX(0,NETWORKDAYS(MAX($K347,AK$4),MIN($L347,EOMONTH(AK$4,0)),Assumptions!$F$4:$F$44))/NETWORKDAYS($K347,$L347,Assumptions!$F$4:$F$44))</f>
        <v>0</v>
      </c>
      <c r="AL347" s="21" t="n">
        <f aca="false">IF($J347=0,0,MAX(0,NETWORKDAYS(MAX($K347,AL$4),MIN($L347,EOMONTH(AL$4,0)),Assumptions!$F$4:$F$44))/NETWORKDAYS($K347,$L347,Assumptions!$F$4:$F$44))</f>
        <v>0</v>
      </c>
      <c r="AM347" s="21" t="n">
        <f aca="false">IF($J347=0,0,MAX(0,NETWORKDAYS(MAX($K347,AM$4),MIN($L347,EOMONTH(AM$4,0)),Assumptions!$F$4:$F$44))/NETWORKDAYS($K347,$L347,Assumptions!$F$4:$F$44))</f>
        <v>0</v>
      </c>
      <c r="AN347" s="21" t="n">
        <f aca="false">IF($J347=0,0,MAX(0,NETWORKDAYS(MAX($K347,AN$4),MIN($L347,EOMONTH(AN$4,0)),Assumptions!$F$4:$F$44))/NETWORKDAYS($K347,$L347,Assumptions!$F$4:$F$44))</f>
        <v>0</v>
      </c>
      <c r="AO347" s="21" t="n">
        <f aca="false">IF($J347=0,0,MAX(0,NETWORKDAYS(MAX($K347,AO$4),MIN($L347,EOMONTH(AO$4,0)),Assumptions!$F$4:$F$44))/NETWORKDAYS($K347,$L347,Assumptions!$F$4:$F$44))</f>
        <v>0.025</v>
      </c>
      <c r="AP347" s="21" t="n">
        <f aca="false">IF($J347=0,0,MAX(0,NETWORKDAYS(MAX($K347,AP$4),MIN($L347,EOMONTH(AP$4,0)),Assumptions!$F$4:$F$44))/NETWORKDAYS($K347,$L347,Assumptions!$F$4:$F$44))</f>
        <v>0.55</v>
      </c>
      <c r="AQ347" s="21" t="n">
        <f aca="false">IF($J347=0,0,MAX(0,NETWORKDAYS(MAX($K347,AQ$4),MIN($L347,EOMONTH(AQ$4,0)),Assumptions!$F$4:$F$44))/NETWORKDAYS($K347,$L347,Assumptions!$F$4:$F$44))</f>
        <v>0.425</v>
      </c>
      <c r="AR347" s="21" t="n">
        <f aca="false">IF($J347=0,0,MAX(0,NETWORKDAYS(MAX($K347,AR$4),MIN($L347,EOMONTH(AR$4,0)),Assumptions!$F$4:$F$44))/NETWORKDAYS($K347,$L347,Assumptions!$F$4:$F$44))</f>
        <v>0</v>
      </c>
      <c r="AS347" s="21" t="n">
        <f aca="false">IF($J347=0,0,MAX(0,NETWORKDAYS(MAX($K347,AS$4),MIN($L347,EOMONTH(AS$4,0)),Assumptions!$F$4:$F$44))/NETWORKDAYS($K347,$L347,Assumptions!$F$4:$F$44))</f>
        <v>0</v>
      </c>
      <c r="AT347" s="21" t="n">
        <f aca="false">IF($J347=0,0,MAX(0,NETWORKDAYS(MAX($K347,AT$4),MIN($L347,EOMONTH(AT$4,0)),Assumptions!$F$4:$F$44))/NETWORKDAYS($K347,$L347,Assumptions!$F$4:$F$44))</f>
        <v>0</v>
      </c>
      <c r="AU347" s="21" t="n">
        <f aca="false">IF($J347=0,0,MAX(0,NETWORKDAYS(MAX($K347,AU$4),MIN($L347,EOMONTH(AU$4,0)),Assumptions!$F$4:$F$44))/NETWORKDAYS($K347,$L347,Assumptions!$F$4:$F$44))</f>
        <v>0</v>
      </c>
      <c r="AV347" s="21" t="n">
        <f aca="false">IF($J347=0,0,MAX(0,NETWORKDAYS(MAX($K347,AV$4),MIN($L347,EOMONTH(AV$4,0)),Assumptions!$F$4:$F$44))/NETWORKDAYS($K347,$L347,Assumptions!$F$4:$F$44))</f>
        <v>0</v>
      </c>
      <c r="AW347" s="21" t="n">
        <f aca="false">IF($J347=0,0,MAX(0,NETWORKDAYS(MAX($K347,AW$4),MIN($L347,EOMONTH(AW$4,0)),Assumptions!$F$4:$F$44))/NETWORKDAYS($K347,$L347,Assumptions!$F$4:$F$44))</f>
        <v>0</v>
      </c>
      <c r="AX347" s="21" t="n">
        <f aca="false">IF($J347=0,0,MAX(0,NETWORKDAYS(MAX($K347,AX$4),MIN($L347,EOMONTH(AX$4,0)),Assumptions!$F$4:$F$44))/NETWORKDAYS($K347,$L347,Assumptions!$F$4:$F$44))</f>
        <v>0</v>
      </c>
      <c r="AY347" s="21" t="n">
        <f aca="false">IF($J347=0,0,MAX(0,NETWORKDAYS(MAX($K347,AY$4),MIN($L347,EOMONTH(AY$4,0)),Assumptions!$F$4:$F$44))/NETWORKDAYS($K347,$L347,Assumptions!$F$4:$F$44))</f>
        <v>0</v>
      </c>
      <c r="AZ347" s="21" t="n">
        <f aca="false">IF($J347=0,0,MAX(0,NETWORKDAYS(MAX($K347,AZ$4),MIN($L347,EOMONTH(AZ$4,0)),Assumptions!$F$4:$F$44))/NETWORKDAYS($K347,$L347,Assumptions!$F$4:$F$44))</f>
        <v>0</v>
      </c>
      <c r="BA347" s="21" t="n">
        <f aca="false">IF($J347=0,0,MAX(0,NETWORKDAYS(MAX($K347,BA$4),MIN($L347,EOMONTH(BA$4,0)),Assumptions!$F$4:$F$44))/NETWORKDAYS($K347,$L347,Assumptions!$F$4:$F$44))</f>
        <v>0</v>
      </c>
      <c r="BB347" s="21" t="n">
        <f aca="false">IF($J347=0,0,MAX(0,NETWORKDAYS(MAX($K347,BB$4),MIN($L347,EOMONTH(BB$4,0)),Assumptions!$F$4:$F$44))/NETWORKDAYS($K347,$L347,Assumptions!$F$4:$F$44))</f>
        <v>0</v>
      </c>
      <c r="BC347" s="21" t="n">
        <f aca="false">IF($J347=0,0,MAX(0,NETWORKDAYS(MAX($K347,BC$4),MIN($L347,EOMONTH(BC$4,0)),Assumptions!$F$4:$F$44))/NETWORKDAYS($K347,$L347,Assumptions!$F$4:$F$44))</f>
        <v>0</v>
      </c>
    </row>
    <row r="348" customFormat="false" ht="15" hidden="false" customHeight="false" outlineLevel="2" collapsed="false">
      <c r="A348" s="27" t="n">
        <v>344</v>
      </c>
      <c r="B348" s="27" t="s">
        <v>756</v>
      </c>
      <c r="C348" s="27" t="n">
        <v>3</v>
      </c>
      <c r="D348" s="27" t="s">
        <v>92</v>
      </c>
      <c r="E348" s="28" t="s">
        <v>310</v>
      </c>
      <c r="F348" s="27" t="s">
        <v>681</v>
      </c>
      <c r="G348" s="27" t="s">
        <v>747</v>
      </c>
      <c r="H348" s="27" t="s">
        <v>49</v>
      </c>
      <c r="I348" s="29" t="n">
        <v>209</v>
      </c>
      <c r="J348" s="29" t="n">
        <v>53</v>
      </c>
      <c r="K348" s="30" t="n">
        <f aca="false">WORKDAY(Assumptions!$C$4,I348,Assumptions!$F$4:$F$44)</f>
        <v>46619</v>
      </c>
      <c r="L348" s="30" t="n">
        <f aca="false">IF(J348=0,K348,WORKDAY(K348,J348-1,Assumptions!$F$4:$F$44))</f>
        <v>46693</v>
      </c>
      <c r="M348" s="29" t="s">
        <v>757</v>
      </c>
      <c r="N348" s="31" t="n">
        <v>0</v>
      </c>
      <c r="O348" s="31" t="n">
        <v>0</v>
      </c>
      <c r="P348" s="31" t="n">
        <v>0</v>
      </c>
      <c r="Q348" s="31" t="n">
        <v>0</v>
      </c>
      <c r="R348" s="31" t="n">
        <v>16</v>
      </c>
      <c r="S348" s="31" t="n">
        <v>0</v>
      </c>
      <c r="T348" s="31" t="n">
        <v>0</v>
      </c>
      <c r="U348" s="31" t="n">
        <v>0</v>
      </c>
      <c r="V348" s="31" t="n">
        <v>0</v>
      </c>
      <c r="W348" s="31" t="n">
        <v>0</v>
      </c>
      <c r="X348" s="31" t="n">
        <v>0</v>
      </c>
      <c r="Y348" s="32" t="n">
        <f aca="false">SUM(N348:X348)</f>
        <v>16</v>
      </c>
      <c r="Z348" s="32" t="n">
        <f aca="false">Y348*(1+Assumptions!$C$5)</f>
        <v>18.4</v>
      </c>
      <c r="AA348" s="27" t="s">
        <v>312</v>
      </c>
      <c r="AB348" s="27" t="s">
        <v>95</v>
      </c>
      <c r="AC348" s="27"/>
      <c r="AD348" s="33" t="n">
        <v>0</v>
      </c>
      <c r="AF348" s="21" t="n">
        <f aca="false">IF($J348=0,0,MAX(0,NETWORKDAYS(MAX($K348,AF$4),MIN($L348,EOMONTH(AF$4,0)),Assumptions!$F$4:$F$44))/NETWORKDAYS($K348,$L348,Assumptions!$F$4:$F$44))</f>
        <v>0</v>
      </c>
      <c r="AG348" s="21" t="n">
        <f aca="false">IF($J348=0,0,MAX(0,NETWORKDAYS(MAX($K348,AG$4),MIN($L348,EOMONTH(AG$4,0)),Assumptions!$F$4:$F$44))/NETWORKDAYS($K348,$L348,Assumptions!$F$4:$F$44))</f>
        <v>0</v>
      </c>
      <c r="AH348" s="21" t="n">
        <f aca="false">IF($J348=0,0,MAX(0,NETWORKDAYS(MAX($K348,AH$4),MIN($L348,EOMONTH(AH$4,0)),Assumptions!$F$4:$F$44))/NETWORKDAYS($K348,$L348,Assumptions!$F$4:$F$44))</f>
        <v>0</v>
      </c>
      <c r="AI348" s="21" t="n">
        <f aca="false">IF($J348=0,0,MAX(0,NETWORKDAYS(MAX($K348,AI$4),MIN($L348,EOMONTH(AI$4,0)),Assumptions!$F$4:$F$44))/NETWORKDAYS($K348,$L348,Assumptions!$F$4:$F$44))</f>
        <v>0</v>
      </c>
      <c r="AJ348" s="21" t="n">
        <f aca="false">IF($J348=0,0,MAX(0,NETWORKDAYS(MAX($K348,AJ$4),MIN($L348,EOMONTH(AJ$4,0)),Assumptions!$F$4:$F$44))/NETWORKDAYS($K348,$L348,Assumptions!$F$4:$F$44))</f>
        <v>0</v>
      </c>
      <c r="AK348" s="21" t="n">
        <f aca="false">IF($J348=0,0,MAX(0,NETWORKDAYS(MAX($K348,AK$4),MIN($L348,EOMONTH(AK$4,0)),Assumptions!$F$4:$F$44))/NETWORKDAYS($K348,$L348,Assumptions!$F$4:$F$44))</f>
        <v>0</v>
      </c>
      <c r="AL348" s="21" t="n">
        <f aca="false">IF($J348=0,0,MAX(0,NETWORKDAYS(MAX($K348,AL$4),MIN($L348,EOMONTH(AL$4,0)),Assumptions!$F$4:$F$44))/NETWORKDAYS($K348,$L348,Assumptions!$F$4:$F$44))</f>
        <v>0</v>
      </c>
      <c r="AM348" s="21" t="n">
        <f aca="false">IF($J348=0,0,MAX(0,NETWORKDAYS(MAX($K348,AM$4),MIN($L348,EOMONTH(AM$4,0)),Assumptions!$F$4:$F$44))/NETWORKDAYS($K348,$L348,Assumptions!$F$4:$F$44))</f>
        <v>0</v>
      </c>
      <c r="AN348" s="21" t="n">
        <f aca="false">IF($J348=0,0,MAX(0,NETWORKDAYS(MAX($K348,AN$4),MIN($L348,EOMONTH(AN$4,0)),Assumptions!$F$4:$F$44))/NETWORKDAYS($K348,$L348,Assumptions!$F$4:$F$44))</f>
        <v>0</v>
      </c>
      <c r="AO348" s="21" t="n">
        <f aca="false">IF($J348=0,0,MAX(0,NETWORKDAYS(MAX($K348,AO$4),MIN($L348,EOMONTH(AO$4,0)),Assumptions!$F$4:$F$44))/NETWORKDAYS($K348,$L348,Assumptions!$F$4:$F$44))</f>
        <v>0.150943396226415</v>
      </c>
      <c r="AP348" s="21" t="n">
        <f aca="false">IF($J348=0,0,MAX(0,NETWORKDAYS(MAX($K348,AP$4),MIN($L348,EOMONTH(AP$4,0)),Assumptions!$F$4:$F$44))/NETWORKDAYS($K348,$L348,Assumptions!$F$4:$F$44))</f>
        <v>0.415094339622642</v>
      </c>
      <c r="AQ348" s="21" t="n">
        <f aca="false">IF($J348=0,0,MAX(0,NETWORKDAYS(MAX($K348,AQ$4),MIN($L348,EOMONTH(AQ$4,0)),Assumptions!$F$4:$F$44))/NETWORKDAYS($K348,$L348,Assumptions!$F$4:$F$44))</f>
        <v>0.39622641509434</v>
      </c>
      <c r="AR348" s="21" t="n">
        <f aca="false">IF($J348=0,0,MAX(0,NETWORKDAYS(MAX($K348,AR$4),MIN($L348,EOMONTH(AR$4,0)),Assumptions!$F$4:$F$44))/NETWORKDAYS($K348,$L348,Assumptions!$F$4:$F$44))</f>
        <v>0.0377358490566038</v>
      </c>
      <c r="AS348" s="21" t="n">
        <f aca="false">IF($J348=0,0,MAX(0,NETWORKDAYS(MAX($K348,AS$4),MIN($L348,EOMONTH(AS$4,0)),Assumptions!$F$4:$F$44))/NETWORKDAYS($K348,$L348,Assumptions!$F$4:$F$44))</f>
        <v>0</v>
      </c>
      <c r="AT348" s="21" t="n">
        <f aca="false">IF($J348=0,0,MAX(0,NETWORKDAYS(MAX($K348,AT$4),MIN($L348,EOMONTH(AT$4,0)),Assumptions!$F$4:$F$44))/NETWORKDAYS($K348,$L348,Assumptions!$F$4:$F$44))</f>
        <v>0</v>
      </c>
      <c r="AU348" s="21" t="n">
        <f aca="false">IF($J348=0,0,MAX(0,NETWORKDAYS(MAX($K348,AU$4),MIN($L348,EOMONTH(AU$4,0)),Assumptions!$F$4:$F$44))/NETWORKDAYS($K348,$L348,Assumptions!$F$4:$F$44))</f>
        <v>0</v>
      </c>
      <c r="AV348" s="21" t="n">
        <f aca="false">IF($J348=0,0,MAX(0,NETWORKDAYS(MAX($K348,AV$4),MIN($L348,EOMONTH(AV$4,0)),Assumptions!$F$4:$F$44))/NETWORKDAYS($K348,$L348,Assumptions!$F$4:$F$44))</f>
        <v>0</v>
      </c>
      <c r="AW348" s="21" t="n">
        <f aca="false">IF($J348=0,0,MAX(0,NETWORKDAYS(MAX($K348,AW$4),MIN($L348,EOMONTH(AW$4,0)),Assumptions!$F$4:$F$44))/NETWORKDAYS($K348,$L348,Assumptions!$F$4:$F$44))</f>
        <v>0</v>
      </c>
      <c r="AX348" s="21" t="n">
        <f aca="false">IF($J348=0,0,MAX(0,NETWORKDAYS(MAX($K348,AX$4),MIN($L348,EOMONTH(AX$4,0)),Assumptions!$F$4:$F$44))/NETWORKDAYS($K348,$L348,Assumptions!$F$4:$F$44))</f>
        <v>0</v>
      </c>
      <c r="AY348" s="21" t="n">
        <f aca="false">IF($J348=0,0,MAX(0,NETWORKDAYS(MAX($K348,AY$4),MIN($L348,EOMONTH(AY$4,0)),Assumptions!$F$4:$F$44))/NETWORKDAYS($K348,$L348,Assumptions!$F$4:$F$44))</f>
        <v>0</v>
      </c>
      <c r="AZ348" s="21" t="n">
        <f aca="false">IF($J348=0,0,MAX(0,NETWORKDAYS(MAX($K348,AZ$4),MIN($L348,EOMONTH(AZ$4,0)),Assumptions!$F$4:$F$44))/NETWORKDAYS($K348,$L348,Assumptions!$F$4:$F$44))</f>
        <v>0</v>
      </c>
      <c r="BA348" s="21" t="n">
        <f aca="false">IF($J348=0,0,MAX(0,NETWORKDAYS(MAX($K348,BA$4),MIN($L348,EOMONTH(BA$4,0)),Assumptions!$F$4:$F$44))/NETWORKDAYS($K348,$L348,Assumptions!$F$4:$F$44))</f>
        <v>0</v>
      </c>
      <c r="BB348" s="21" t="n">
        <f aca="false">IF($J348=0,0,MAX(0,NETWORKDAYS(MAX($K348,BB$4),MIN($L348,EOMONTH(BB$4,0)),Assumptions!$F$4:$F$44))/NETWORKDAYS($K348,$L348,Assumptions!$F$4:$F$44))</f>
        <v>0</v>
      </c>
      <c r="BC348" s="21" t="n">
        <f aca="false">IF($J348=0,0,MAX(0,NETWORKDAYS(MAX($K348,BC$4),MIN($L348,EOMONTH(BC$4,0)),Assumptions!$F$4:$F$44))/NETWORKDAYS($K348,$L348,Assumptions!$F$4:$F$44))</f>
        <v>0</v>
      </c>
    </row>
    <row r="349" customFormat="false" ht="15" hidden="false" customHeight="false" outlineLevel="2" collapsed="false">
      <c r="A349" s="27" t="n">
        <v>345</v>
      </c>
      <c r="B349" s="27" t="s">
        <v>758</v>
      </c>
      <c r="C349" s="27" t="n">
        <v>3</v>
      </c>
      <c r="D349" s="27" t="s">
        <v>92</v>
      </c>
      <c r="E349" s="28" t="s">
        <v>317</v>
      </c>
      <c r="F349" s="27" t="s">
        <v>681</v>
      </c>
      <c r="G349" s="27" t="s">
        <v>747</v>
      </c>
      <c r="H349" s="27" t="s">
        <v>51</v>
      </c>
      <c r="I349" s="29" t="n">
        <v>222</v>
      </c>
      <c r="J349" s="29" t="n">
        <v>40</v>
      </c>
      <c r="K349" s="30" t="n">
        <f aca="false">WORKDAY(Assumptions!$C$4,I349,Assumptions!$F$4:$F$44)</f>
        <v>46638</v>
      </c>
      <c r="L349" s="30" t="n">
        <f aca="false">IF(J349=0,K349,WORKDAY(K349,J349-1,Assumptions!$F$4:$F$44))</f>
        <v>46693</v>
      </c>
      <c r="M349" s="29" t="s">
        <v>757</v>
      </c>
      <c r="N349" s="31" t="n">
        <v>0</v>
      </c>
      <c r="O349" s="31" t="n">
        <v>0</v>
      </c>
      <c r="P349" s="31" t="n">
        <v>0</v>
      </c>
      <c r="Q349" s="31" t="n">
        <v>0</v>
      </c>
      <c r="R349" s="31" t="n">
        <v>0</v>
      </c>
      <c r="S349" s="31" t="n">
        <v>8</v>
      </c>
      <c r="T349" s="31" t="n">
        <v>0</v>
      </c>
      <c r="U349" s="31" t="n">
        <v>0</v>
      </c>
      <c r="V349" s="31" t="n">
        <v>0</v>
      </c>
      <c r="W349" s="31" t="n">
        <v>0</v>
      </c>
      <c r="X349" s="31" t="n">
        <v>0</v>
      </c>
      <c r="Y349" s="32" t="n">
        <f aca="false">SUM(N349:X349)</f>
        <v>8</v>
      </c>
      <c r="Z349" s="32" t="n">
        <f aca="false">Y349*(1+Assumptions!$C$5)</f>
        <v>9.2</v>
      </c>
      <c r="AA349" s="27" t="s">
        <v>318</v>
      </c>
      <c r="AB349" s="27" t="s">
        <v>95</v>
      </c>
      <c r="AC349" s="27"/>
      <c r="AD349" s="33" t="n">
        <v>0</v>
      </c>
      <c r="AF349" s="21" t="n">
        <f aca="false">IF($J349=0,0,MAX(0,NETWORKDAYS(MAX($K349,AF$4),MIN($L349,EOMONTH(AF$4,0)),Assumptions!$F$4:$F$44))/NETWORKDAYS($K349,$L349,Assumptions!$F$4:$F$44))</f>
        <v>0</v>
      </c>
      <c r="AG349" s="21" t="n">
        <f aca="false">IF($J349=0,0,MAX(0,NETWORKDAYS(MAX($K349,AG$4),MIN($L349,EOMONTH(AG$4,0)),Assumptions!$F$4:$F$44))/NETWORKDAYS($K349,$L349,Assumptions!$F$4:$F$44))</f>
        <v>0</v>
      </c>
      <c r="AH349" s="21" t="n">
        <f aca="false">IF($J349=0,0,MAX(0,NETWORKDAYS(MAX($K349,AH$4),MIN($L349,EOMONTH(AH$4,0)),Assumptions!$F$4:$F$44))/NETWORKDAYS($K349,$L349,Assumptions!$F$4:$F$44))</f>
        <v>0</v>
      </c>
      <c r="AI349" s="21" t="n">
        <f aca="false">IF($J349=0,0,MAX(0,NETWORKDAYS(MAX($K349,AI$4),MIN($L349,EOMONTH(AI$4,0)),Assumptions!$F$4:$F$44))/NETWORKDAYS($K349,$L349,Assumptions!$F$4:$F$44))</f>
        <v>0</v>
      </c>
      <c r="AJ349" s="21" t="n">
        <f aca="false">IF($J349=0,0,MAX(0,NETWORKDAYS(MAX($K349,AJ$4),MIN($L349,EOMONTH(AJ$4,0)),Assumptions!$F$4:$F$44))/NETWORKDAYS($K349,$L349,Assumptions!$F$4:$F$44))</f>
        <v>0</v>
      </c>
      <c r="AK349" s="21" t="n">
        <f aca="false">IF($J349=0,0,MAX(0,NETWORKDAYS(MAX($K349,AK$4),MIN($L349,EOMONTH(AK$4,0)),Assumptions!$F$4:$F$44))/NETWORKDAYS($K349,$L349,Assumptions!$F$4:$F$44))</f>
        <v>0</v>
      </c>
      <c r="AL349" s="21" t="n">
        <f aca="false">IF($J349=0,0,MAX(0,NETWORKDAYS(MAX($K349,AL$4),MIN($L349,EOMONTH(AL$4,0)),Assumptions!$F$4:$F$44))/NETWORKDAYS($K349,$L349,Assumptions!$F$4:$F$44))</f>
        <v>0</v>
      </c>
      <c r="AM349" s="21" t="n">
        <f aca="false">IF($J349=0,0,MAX(0,NETWORKDAYS(MAX($K349,AM$4),MIN($L349,EOMONTH(AM$4,0)),Assumptions!$F$4:$F$44))/NETWORKDAYS($K349,$L349,Assumptions!$F$4:$F$44))</f>
        <v>0</v>
      </c>
      <c r="AN349" s="21" t="n">
        <f aca="false">IF($J349=0,0,MAX(0,NETWORKDAYS(MAX($K349,AN$4),MIN($L349,EOMONTH(AN$4,0)),Assumptions!$F$4:$F$44))/NETWORKDAYS($K349,$L349,Assumptions!$F$4:$F$44))</f>
        <v>0</v>
      </c>
      <c r="AO349" s="21" t="n">
        <f aca="false">IF($J349=0,0,MAX(0,NETWORKDAYS(MAX($K349,AO$4),MIN($L349,EOMONTH(AO$4,0)),Assumptions!$F$4:$F$44))/NETWORKDAYS($K349,$L349,Assumptions!$F$4:$F$44))</f>
        <v>0</v>
      </c>
      <c r="AP349" s="21" t="n">
        <f aca="false">IF($J349=0,0,MAX(0,NETWORKDAYS(MAX($K349,AP$4),MIN($L349,EOMONTH(AP$4,0)),Assumptions!$F$4:$F$44))/NETWORKDAYS($K349,$L349,Assumptions!$F$4:$F$44))</f>
        <v>0.425</v>
      </c>
      <c r="AQ349" s="21" t="n">
        <f aca="false">IF($J349=0,0,MAX(0,NETWORKDAYS(MAX($K349,AQ$4),MIN($L349,EOMONTH(AQ$4,0)),Assumptions!$F$4:$F$44))/NETWORKDAYS($K349,$L349,Assumptions!$F$4:$F$44))</f>
        <v>0.525</v>
      </c>
      <c r="AR349" s="21" t="n">
        <f aca="false">IF($J349=0,0,MAX(0,NETWORKDAYS(MAX($K349,AR$4),MIN($L349,EOMONTH(AR$4,0)),Assumptions!$F$4:$F$44))/NETWORKDAYS($K349,$L349,Assumptions!$F$4:$F$44))</f>
        <v>0.05</v>
      </c>
      <c r="AS349" s="21" t="n">
        <f aca="false">IF($J349=0,0,MAX(0,NETWORKDAYS(MAX($K349,AS$4),MIN($L349,EOMONTH(AS$4,0)),Assumptions!$F$4:$F$44))/NETWORKDAYS($K349,$L349,Assumptions!$F$4:$F$44))</f>
        <v>0</v>
      </c>
      <c r="AT349" s="21" t="n">
        <f aca="false">IF($J349=0,0,MAX(0,NETWORKDAYS(MAX($K349,AT$4),MIN($L349,EOMONTH(AT$4,0)),Assumptions!$F$4:$F$44))/NETWORKDAYS($K349,$L349,Assumptions!$F$4:$F$44))</f>
        <v>0</v>
      </c>
      <c r="AU349" s="21" t="n">
        <f aca="false">IF($J349=0,0,MAX(0,NETWORKDAYS(MAX($K349,AU$4),MIN($L349,EOMONTH(AU$4,0)),Assumptions!$F$4:$F$44))/NETWORKDAYS($K349,$L349,Assumptions!$F$4:$F$44))</f>
        <v>0</v>
      </c>
      <c r="AV349" s="21" t="n">
        <f aca="false">IF($J349=0,0,MAX(0,NETWORKDAYS(MAX($K349,AV$4),MIN($L349,EOMONTH(AV$4,0)),Assumptions!$F$4:$F$44))/NETWORKDAYS($K349,$L349,Assumptions!$F$4:$F$44))</f>
        <v>0</v>
      </c>
      <c r="AW349" s="21" t="n">
        <f aca="false">IF($J349=0,0,MAX(0,NETWORKDAYS(MAX($K349,AW$4),MIN($L349,EOMONTH(AW$4,0)),Assumptions!$F$4:$F$44))/NETWORKDAYS($K349,$L349,Assumptions!$F$4:$F$44))</f>
        <v>0</v>
      </c>
      <c r="AX349" s="21" t="n">
        <f aca="false">IF($J349=0,0,MAX(0,NETWORKDAYS(MAX($K349,AX$4),MIN($L349,EOMONTH(AX$4,0)),Assumptions!$F$4:$F$44))/NETWORKDAYS($K349,$L349,Assumptions!$F$4:$F$44))</f>
        <v>0</v>
      </c>
      <c r="AY349" s="21" t="n">
        <f aca="false">IF($J349=0,0,MAX(0,NETWORKDAYS(MAX($K349,AY$4),MIN($L349,EOMONTH(AY$4,0)),Assumptions!$F$4:$F$44))/NETWORKDAYS($K349,$L349,Assumptions!$F$4:$F$44))</f>
        <v>0</v>
      </c>
      <c r="AZ349" s="21" t="n">
        <f aca="false">IF($J349=0,0,MAX(0,NETWORKDAYS(MAX($K349,AZ$4),MIN($L349,EOMONTH(AZ$4,0)),Assumptions!$F$4:$F$44))/NETWORKDAYS($K349,$L349,Assumptions!$F$4:$F$44))</f>
        <v>0</v>
      </c>
      <c r="BA349" s="21" t="n">
        <f aca="false">IF($J349=0,0,MAX(0,NETWORKDAYS(MAX($K349,BA$4),MIN($L349,EOMONTH(BA$4,0)),Assumptions!$F$4:$F$44))/NETWORKDAYS($K349,$L349,Assumptions!$F$4:$F$44))</f>
        <v>0</v>
      </c>
      <c r="BB349" s="21" t="n">
        <f aca="false">IF($J349=0,0,MAX(0,NETWORKDAYS(MAX($K349,BB$4),MIN($L349,EOMONTH(BB$4,0)),Assumptions!$F$4:$F$44))/NETWORKDAYS($K349,$L349,Assumptions!$F$4:$F$44))</f>
        <v>0</v>
      </c>
      <c r="BC349" s="21" t="n">
        <f aca="false">IF($J349=0,0,MAX(0,NETWORKDAYS(MAX($K349,BC$4),MIN($L349,EOMONTH(BC$4,0)),Assumptions!$F$4:$F$44))/NETWORKDAYS($K349,$L349,Assumptions!$F$4:$F$44))</f>
        <v>0</v>
      </c>
    </row>
    <row r="350" customFormat="false" ht="15" hidden="false" customHeight="false" outlineLevel="2" collapsed="false">
      <c r="A350" s="27" t="n">
        <v>346</v>
      </c>
      <c r="B350" s="27" t="s">
        <v>759</v>
      </c>
      <c r="C350" s="27" t="n">
        <v>3</v>
      </c>
      <c r="D350" s="27" t="s">
        <v>92</v>
      </c>
      <c r="E350" s="28" t="s">
        <v>320</v>
      </c>
      <c r="F350" s="27" t="s">
        <v>681</v>
      </c>
      <c r="G350" s="27" t="s">
        <v>747</v>
      </c>
      <c r="H350" s="27" t="s">
        <v>53</v>
      </c>
      <c r="I350" s="29" t="n">
        <v>209</v>
      </c>
      <c r="J350" s="29" t="n">
        <v>46</v>
      </c>
      <c r="K350" s="30" t="n">
        <f aca="false">WORKDAY(Assumptions!$C$4,I350,Assumptions!$F$4:$F$44)</f>
        <v>46619</v>
      </c>
      <c r="L350" s="30" t="n">
        <f aca="false">IF(J350=0,K350,WORKDAY(K350,J350-1,Assumptions!$F$4:$F$44))</f>
        <v>46682</v>
      </c>
      <c r="M350" s="29" t="s">
        <v>754</v>
      </c>
      <c r="N350" s="31" t="n">
        <v>0</v>
      </c>
      <c r="O350" s="31" t="n">
        <v>0</v>
      </c>
      <c r="P350" s="31" t="n">
        <v>0</v>
      </c>
      <c r="Q350" s="31" t="n">
        <v>0</v>
      </c>
      <c r="R350" s="31" t="n">
        <v>0</v>
      </c>
      <c r="S350" s="31" t="n">
        <v>0</v>
      </c>
      <c r="T350" s="31" t="n">
        <v>6</v>
      </c>
      <c r="U350" s="31" t="n">
        <v>0</v>
      </c>
      <c r="V350" s="31" t="n">
        <v>0</v>
      </c>
      <c r="W350" s="31" t="n">
        <v>0</v>
      </c>
      <c r="X350" s="31" t="n">
        <v>0</v>
      </c>
      <c r="Y350" s="32" t="n">
        <f aca="false">SUM(N350:X350)</f>
        <v>6</v>
      </c>
      <c r="Z350" s="32" t="n">
        <f aca="false">Y350*(1+Assumptions!$C$5)</f>
        <v>6.9</v>
      </c>
      <c r="AA350" s="27" t="s">
        <v>321</v>
      </c>
      <c r="AB350" s="27" t="s">
        <v>95</v>
      </c>
      <c r="AC350" s="27"/>
      <c r="AD350" s="33" t="n">
        <v>0</v>
      </c>
      <c r="AF350" s="21" t="n">
        <f aca="false">IF($J350=0,0,MAX(0,NETWORKDAYS(MAX($K350,AF$4),MIN($L350,EOMONTH(AF$4,0)),Assumptions!$F$4:$F$44))/NETWORKDAYS($K350,$L350,Assumptions!$F$4:$F$44))</f>
        <v>0</v>
      </c>
      <c r="AG350" s="21" t="n">
        <f aca="false">IF($J350=0,0,MAX(0,NETWORKDAYS(MAX($K350,AG$4),MIN($L350,EOMONTH(AG$4,0)),Assumptions!$F$4:$F$44))/NETWORKDAYS($K350,$L350,Assumptions!$F$4:$F$44))</f>
        <v>0</v>
      </c>
      <c r="AH350" s="21" t="n">
        <f aca="false">IF($J350=0,0,MAX(0,NETWORKDAYS(MAX($K350,AH$4),MIN($L350,EOMONTH(AH$4,0)),Assumptions!$F$4:$F$44))/NETWORKDAYS($K350,$L350,Assumptions!$F$4:$F$44))</f>
        <v>0</v>
      </c>
      <c r="AI350" s="21" t="n">
        <f aca="false">IF($J350=0,0,MAX(0,NETWORKDAYS(MAX($K350,AI$4),MIN($L350,EOMONTH(AI$4,0)),Assumptions!$F$4:$F$44))/NETWORKDAYS($K350,$L350,Assumptions!$F$4:$F$44))</f>
        <v>0</v>
      </c>
      <c r="AJ350" s="21" t="n">
        <f aca="false">IF($J350=0,0,MAX(0,NETWORKDAYS(MAX($K350,AJ$4),MIN($L350,EOMONTH(AJ$4,0)),Assumptions!$F$4:$F$44))/NETWORKDAYS($K350,$L350,Assumptions!$F$4:$F$44))</f>
        <v>0</v>
      </c>
      <c r="AK350" s="21" t="n">
        <f aca="false">IF($J350=0,0,MAX(0,NETWORKDAYS(MAX($K350,AK$4),MIN($L350,EOMONTH(AK$4,0)),Assumptions!$F$4:$F$44))/NETWORKDAYS($K350,$L350,Assumptions!$F$4:$F$44))</f>
        <v>0</v>
      </c>
      <c r="AL350" s="21" t="n">
        <f aca="false">IF($J350=0,0,MAX(0,NETWORKDAYS(MAX($K350,AL$4),MIN($L350,EOMONTH(AL$4,0)),Assumptions!$F$4:$F$44))/NETWORKDAYS($K350,$L350,Assumptions!$F$4:$F$44))</f>
        <v>0</v>
      </c>
      <c r="AM350" s="21" t="n">
        <f aca="false">IF($J350=0,0,MAX(0,NETWORKDAYS(MAX($K350,AM$4),MIN($L350,EOMONTH(AM$4,0)),Assumptions!$F$4:$F$44))/NETWORKDAYS($K350,$L350,Assumptions!$F$4:$F$44))</f>
        <v>0</v>
      </c>
      <c r="AN350" s="21" t="n">
        <f aca="false">IF($J350=0,0,MAX(0,NETWORKDAYS(MAX($K350,AN$4),MIN($L350,EOMONTH(AN$4,0)),Assumptions!$F$4:$F$44))/NETWORKDAYS($K350,$L350,Assumptions!$F$4:$F$44))</f>
        <v>0</v>
      </c>
      <c r="AO350" s="21" t="n">
        <f aca="false">IF($J350=0,0,MAX(0,NETWORKDAYS(MAX($K350,AO$4),MIN($L350,EOMONTH(AO$4,0)),Assumptions!$F$4:$F$44))/NETWORKDAYS($K350,$L350,Assumptions!$F$4:$F$44))</f>
        <v>0.173913043478261</v>
      </c>
      <c r="AP350" s="21" t="n">
        <f aca="false">IF($J350=0,0,MAX(0,NETWORKDAYS(MAX($K350,AP$4),MIN($L350,EOMONTH(AP$4,0)),Assumptions!$F$4:$F$44))/NETWORKDAYS($K350,$L350,Assumptions!$F$4:$F$44))</f>
        <v>0.478260869565217</v>
      </c>
      <c r="AQ350" s="21" t="n">
        <f aca="false">IF($J350=0,0,MAX(0,NETWORKDAYS(MAX($K350,AQ$4),MIN($L350,EOMONTH(AQ$4,0)),Assumptions!$F$4:$F$44))/NETWORKDAYS($K350,$L350,Assumptions!$F$4:$F$44))</f>
        <v>0.347826086956522</v>
      </c>
      <c r="AR350" s="21" t="n">
        <f aca="false">IF($J350=0,0,MAX(0,NETWORKDAYS(MAX($K350,AR$4),MIN($L350,EOMONTH(AR$4,0)),Assumptions!$F$4:$F$44))/NETWORKDAYS($K350,$L350,Assumptions!$F$4:$F$44))</f>
        <v>0</v>
      </c>
      <c r="AS350" s="21" t="n">
        <f aca="false">IF($J350=0,0,MAX(0,NETWORKDAYS(MAX($K350,AS$4),MIN($L350,EOMONTH(AS$4,0)),Assumptions!$F$4:$F$44))/NETWORKDAYS($K350,$L350,Assumptions!$F$4:$F$44))</f>
        <v>0</v>
      </c>
      <c r="AT350" s="21" t="n">
        <f aca="false">IF($J350=0,0,MAX(0,NETWORKDAYS(MAX($K350,AT$4),MIN($L350,EOMONTH(AT$4,0)),Assumptions!$F$4:$F$44))/NETWORKDAYS($K350,$L350,Assumptions!$F$4:$F$44))</f>
        <v>0</v>
      </c>
      <c r="AU350" s="21" t="n">
        <f aca="false">IF($J350=0,0,MAX(0,NETWORKDAYS(MAX($K350,AU$4),MIN($L350,EOMONTH(AU$4,0)),Assumptions!$F$4:$F$44))/NETWORKDAYS($K350,$L350,Assumptions!$F$4:$F$44))</f>
        <v>0</v>
      </c>
      <c r="AV350" s="21" t="n">
        <f aca="false">IF($J350=0,0,MAX(0,NETWORKDAYS(MAX($K350,AV$4),MIN($L350,EOMONTH(AV$4,0)),Assumptions!$F$4:$F$44))/NETWORKDAYS($K350,$L350,Assumptions!$F$4:$F$44))</f>
        <v>0</v>
      </c>
      <c r="AW350" s="21" t="n">
        <f aca="false">IF($J350=0,0,MAX(0,NETWORKDAYS(MAX($K350,AW$4),MIN($L350,EOMONTH(AW$4,0)),Assumptions!$F$4:$F$44))/NETWORKDAYS($K350,$L350,Assumptions!$F$4:$F$44))</f>
        <v>0</v>
      </c>
      <c r="AX350" s="21" t="n">
        <f aca="false">IF($J350=0,0,MAX(0,NETWORKDAYS(MAX($K350,AX$4),MIN($L350,EOMONTH(AX$4,0)),Assumptions!$F$4:$F$44))/NETWORKDAYS($K350,$L350,Assumptions!$F$4:$F$44))</f>
        <v>0</v>
      </c>
      <c r="AY350" s="21" t="n">
        <f aca="false">IF($J350=0,0,MAX(0,NETWORKDAYS(MAX($K350,AY$4),MIN($L350,EOMONTH(AY$4,0)),Assumptions!$F$4:$F$44))/NETWORKDAYS($K350,$L350,Assumptions!$F$4:$F$44))</f>
        <v>0</v>
      </c>
      <c r="AZ350" s="21" t="n">
        <f aca="false">IF($J350=0,0,MAX(0,NETWORKDAYS(MAX($K350,AZ$4),MIN($L350,EOMONTH(AZ$4,0)),Assumptions!$F$4:$F$44))/NETWORKDAYS($K350,$L350,Assumptions!$F$4:$F$44))</f>
        <v>0</v>
      </c>
      <c r="BA350" s="21" t="n">
        <f aca="false">IF($J350=0,0,MAX(0,NETWORKDAYS(MAX($K350,BA$4),MIN($L350,EOMONTH(BA$4,0)),Assumptions!$F$4:$F$44))/NETWORKDAYS($K350,$L350,Assumptions!$F$4:$F$44))</f>
        <v>0</v>
      </c>
      <c r="BB350" s="21" t="n">
        <f aca="false">IF($J350=0,0,MAX(0,NETWORKDAYS(MAX($K350,BB$4),MIN($L350,EOMONTH(BB$4,0)),Assumptions!$F$4:$F$44))/NETWORKDAYS($K350,$L350,Assumptions!$F$4:$F$44))</f>
        <v>0</v>
      </c>
      <c r="BC350" s="21" t="n">
        <f aca="false">IF($J350=0,0,MAX(0,NETWORKDAYS(MAX($K350,BC$4),MIN($L350,EOMONTH(BC$4,0)),Assumptions!$F$4:$F$44))/NETWORKDAYS($K350,$L350,Assumptions!$F$4:$F$44))</f>
        <v>0</v>
      </c>
    </row>
    <row r="351" customFormat="false" ht="15" hidden="false" customHeight="false" outlineLevel="2" collapsed="false">
      <c r="A351" s="27" t="n">
        <v>347</v>
      </c>
      <c r="B351" s="27" t="s">
        <v>760</v>
      </c>
      <c r="C351" s="27" t="n">
        <v>3</v>
      </c>
      <c r="D351" s="27" t="s">
        <v>92</v>
      </c>
      <c r="E351" s="28" t="s">
        <v>761</v>
      </c>
      <c r="F351" s="27" t="s">
        <v>681</v>
      </c>
      <c r="G351" s="27" t="s">
        <v>747</v>
      </c>
      <c r="H351" s="27" t="s">
        <v>47</v>
      </c>
      <c r="I351" s="29" t="n">
        <v>229</v>
      </c>
      <c r="J351" s="29" t="n">
        <v>37</v>
      </c>
      <c r="K351" s="30" t="n">
        <f aca="false">WORKDAY(Assumptions!$C$4,I351,Assumptions!$F$4:$F$44)</f>
        <v>46647</v>
      </c>
      <c r="L351" s="30" t="n">
        <f aca="false">IF(J351=0,K351,WORKDAY(K351,J351-1,Assumptions!$F$4:$F$44))</f>
        <v>46699</v>
      </c>
      <c r="M351" s="29" t="s">
        <v>762</v>
      </c>
      <c r="N351" s="31" t="n">
        <v>0</v>
      </c>
      <c r="O351" s="31" t="n">
        <v>0</v>
      </c>
      <c r="P351" s="31" t="n">
        <v>0</v>
      </c>
      <c r="Q351" s="31" t="n">
        <v>12</v>
      </c>
      <c r="R351" s="31" t="n">
        <v>0</v>
      </c>
      <c r="S351" s="31" t="n">
        <v>0</v>
      </c>
      <c r="T351" s="31" t="n">
        <v>0</v>
      </c>
      <c r="U351" s="31" t="n">
        <v>0</v>
      </c>
      <c r="V351" s="31" t="n">
        <v>0</v>
      </c>
      <c r="W351" s="31" t="n">
        <v>0</v>
      </c>
      <c r="X351" s="31" t="n">
        <v>0</v>
      </c>
      <c r="Y351" s="32" t="n">
        <f aca="false">SUM(N351:X351)</f>
        <v>12</v>
      </c>
      <c r="Z351" s="32" t="n">
        <f aca="false">Y351*(1+Assumptions!$C$5)</f>
        <v>13.8</v>
      </c>
      <c r="AA351" s="27" t="s">
        <v>325</v>
      </c>
      <c r="AB351" s="27" t="s">
        <v>95</v>
      </c>
      <c r="AC351" s="27"/>
      <c r="AD351" s="33" t="n">
        <v>0</v>
      </c>
      <c r="AF351" s="21" t="n">
        <f aca="false">IF($J351=0,0,MAX(0,NETWORKDAYS(MAX($K351,AF$4),MIN($L351,EOMONTH(AF$4,0)),Assumptions!$F$4:$F$44))/NETWORKDAYS($K351,$L351,Assumptions!$F$4:$F$44))</f>
        <v>0</v>
      </c>
      <c r="AG351" s="21" t="n">
        <f aca="false">IF($J351=0,0,MAX(0,NETWORKDAYS(MAX($K351,AG$4),MIN($L351,EOMONTH(AG$4,0)),Assumptions!$F$4:$F$44))/NETWORKDAYS($K351,$L351,Assumptions!$F$4:$F$44))</f>
        <v>0</v>
      </c>
      <c r="AH351" s="21" t="n">
        <f aca="false">IF($J351=0,0,MAX(0,NETWORKDAYS(MAX($K351,AH$4),MIN($L351,EOMONTH(AH$4,0)),Assumptions!$F$4:$F$44))/NETWORKDAYS($K351,$L351,Assumptions!$F$4:$F$44))</f>
        <v>0</v>
      </c>
      <c r="AI351" s="21" t="n">
        <f aca="false">IF($J351=0,0,MAX(0,NETWORKDAYS(MAX($K351,AI$4),MIN($L351,EOMONTH(AI$4,0)),Assumptions!$F$4:$F$44))/NETWORKDAYS($K351,$L351,Assumptions!$F$4:$F$44))</f>
        <v>0</v>
      </c>
      <c r="AJ351" s="21" t="n">
        <f aca="false">IF($J351=0,0,MAX(0,NETWORKDAYS(MAX($K351,AJ$4),MIN($L351,EOMONTH(AJ$4,0)),Assumptions!$F$4:$F$44))/NETWORKDAYS($K351,$L351,Assumptions!$F$4:$F$44))</f>
        <v>0</v>
      </c>
      <c r="AK351" s="21" t="n">
        <f aca="false">IF($J351=0,0,MAX(0,NETWORKDAYS(MAX($K351,AK$4),MIN($L351,EOMONTH(AK$4,0)),Assumptions!$F$4:$F$44))/NETWORKDAYS($K351,$L351,Assumptions!$F$4:$F$44))</f>
        <v>0</v>
      </c>
      <c r="AL351" s="21" t="n">
        <f aca="false">IF($J351=0,0,MAX(0,NETWORKDAYS(MAX($K351,AL$4),MIN($L351,EOMONTH(AL$4,0)),Assumptions!$F$4:$F$44))/NETWORKDAYS($K351,$L351,Assumptions!$F$4:$F$44))</f>
        <v>0</v>
      </c>
      <c r="AM351" s="21" t="n">
        <f aca="false">IF($J351=0,0,MAX(0,NETWORKDAYS(MAX($K351,AM$4),MIN($L351,EOMONTH(AM$4,0)),Assumptions!$F$4:$F$44))/NETWORKDAYS($K351,$L351,Assumptions!$F$4:$F$44))</f>
        <v>0</v>
      </c>
      <c r="AN351" s="21" t="n">
        <f aca="false">IF($J351=0,0,MAX(0,NETWORKDAYS(MAX($K351,AN$4),MIN($L351,EOMONTH(AN$4,0)),Assumptions!$F$4:$F$44))/NETWORKDAYS($K351,$L351,Assumptions!$F$4:$F$44))</f>
        <v>0</v>
      </c>
      <c r="AO351" s="21" t="n">
        <f aca="false">IF($J351=0,0,MAX(0,NETWORKDAYS(MAX($K351,AO$4),MIN($L351,EOMONTH(AO$4,0)),Assumptions!$F$4:$F$44))/NETWORKDAYS($K351,$L351,Assumptions!$F$4:$F$44))</f>
        <v>0</v>
      </c>
      <c r="AP351" s="21" t="n">
        <f aca="false">IF($J351=0,0,MAX(0,NETWORKDAYS(MAX($K351,AP$4),MIN($L351,EOMONTH(AP$4,0)),Assumptions!$F$4:$F$44))/NETWORKDAYS($K351,$L351,Assumptions!$F$4:$F$44))</f>
        <v>0.27027027027027</v>
      </c>
      <c r="AQ351" s="21" t="n">
        <f aca="false">IF($J351=0,0,MAX(0,NETWORKDAYS(MAX($K351,AQ$4),MIN($L351,EOMONTH(AQ$4,0)),Assumptions!$F$4:$F$44))/NETWORKDAYS($K351,$L351,Assumptions!$F$4:$F$44))</f>
        <v>0.567567567567568</v>
      </c>
      <c r="AR351" s="21" t="n">
        <f aca="false">IF($J351=0,0,MAX(0,NETWORKDAYS(MAX($K351,AR$4),MIN($L351,EOMONTH(AR$4,0)),Assumptions!$F$4:$F$44))/NETWORKDAYS($K351,$L351,Assumptions!$F$4:$F$44))</f>
        <v>0.162162162162162</v>
      </c>
      <c r="AS351" s="21" t="n">
        <f aca="false">IF($J351=0,0,MAX(0,NETWORKDAYS(MAX($K351,AS$4),MIN($L351,EOMONTH(AS$4,0)),Assumptions!$F$4:$F$44))/NETWORKDAYS($K351,$L351,Assumptions!$F$4:$F$44))</f>
        <v>0</v>
      </c>
      <c r="AT351" s="21" t="n">
        <f aca="false">IF($J351=0,0,MAX(0,NETWORKDAYS(MAX($K351,AT$4),MIN($L351,EOMONTH(AT$4,0)),Assumptions!$F$4:$F$44))/NETWORKDAYS($K351,$L351,Assumptions!$F$4:$F$44))</f>
        <v>0</v>
      </c>
      <c r="AU351" s="21" t="n">
        <f aca="false">IF($J351=0,0,MAX(0,NETWORKDAYS(MAX($K351,AU$4),MIN($L351,EOMONTH(AU$4,0)),Assumptions!$F$4:$F$44))/NETWORKDAYS($K351,$L351,Assumptions!$F$4:$F$44))</f>
        <v>0</v>
      </c>
      <c r="AV351" s="21" t="n">
        <f aca="false">IF($J351=0,0,MAX(0,NETWORKDAYS(MAX($K351,AV$4),MIN($L351,EOMONTH(AV$4,0)),Assumptions!$F$4:$F$44))/NETWORKDAYS($K351,$L351,Assumptions!$F$4:$F$44))</f>
        <v>0</v>
      </c>
      <c r="AW351" s="21" t="n">
        <f aca="false">IF($J351=0,0,MAX(0,NETWORKDAYS(MAX($K351,AW$4),MIN($L351,EOMONTH(AW$4,0)),Assumptions!$F$4:$F$44))/NETWORKDAYS($K351,$L351,Assumptions!$F$4:$F$44))</f>
        <v>0</v>
      </c>
      <c r="AX351" s="21" t="n">
        <f aca="false">IF($J351=0,0,MAX(0,NETWORKDAYS(MAX($K351,AX$4),MIN($L351,EOMONTH(AX$4,0)),Assumptions!$F$4:$F$44))/NETWORKDAYS($K351,$L351,Assumptions!$F$4:$F$44))</f>
        <v>0</v>
      </c>
      <c r="AY351" s="21" t="n">
        <f aca="false">IF($J351=0,0,MAX(0,NETWORKDAYS(MAX($K351,AY$4),MIN($L351,EOMONTH(AY$4,0)),Assumptions!$F$4:$F$44))/NETWORKDAYS($K351,$L351,Assumptions!$F$4:$F$44))</f>
        <v>0</v>
      </c>
      <c r="AZ351" s="21" t="n">
        <f aca="false">IF($J351=0,0,MAX(0,NETWORKDAYS(MAX($K351,AZ$4),MIN($L351,EOMONTH(AZ$4,0)),Assumptions!$F$4:$F$44))/NETWORKDAYS($K351,$L351,Assumptions!$F$4:$F$44))</f>
        <v>0</v>
      </c>
      <c r="BA351" s="21" t="n">
        <f aca="false">IF($J351=0,0,MAX(0,NETWORKDAYS(MAX($K351,BA$4),MIN($L351,EOMONTH(BA$4,0)),Assumptions!$F$4:$F$44))/NETWORKDAYS($K351,$L351,Assumptions!$F$4:$F$44))</f>
        <v>0</v>
      </c>
      <c r="BB351" s="21" t="n">
        <f aca="false">IF($J351=0,0,MAX(0,NETWORKDAYS(MAX($K351,BB$4),MIN($L351,EOMONTH(BB$4,0)),Assumptions!$F$4:$F$44))/NETWORKDAYS($K351,$L351,Assumptions!$F$4:$F$44))</f>
        <v>0</v>
      </c>
      <c r="BC351" s="21" t="n">
        <f aca="false">IF($J351=0,0,MAX(0,NETWORKDAYS(MAX($K351,BC$4),MIN($L351,EOMONTH(BC$4,0)),Assumptions!$F$4:$F$44))/NETWORKDAYS($K351,$L351,Assumptions!$F$4:$F$44))</f>
        <v>0</v>
      </c>
    </row>
    <row r="352" customFormat="false" ht="15" hidden="false" customHeight="false" outlineLevel="2" collapsed="false">
      <c r="A352" s="27" t="n">
        <v>348</v>
      </c>
      <c r="B352" s="27" t="s">
        <v>763</v>
      </c>
      <c r="C352" s="27" t="n">
        <v>3</v>
      </c>
      <c r="D352" s="27" t="s">
        <v>92</v>
      </c>
      <c r="E352" s="28" t="s">
        <v>370</v>
      </c>
      <c r="F352" s="27" t="s">
        <v>681</v>
      </c>
      <c r="G352" s="27" t="s">
        <v>747</v>
      </c>
      <c r="H352" s="27" t="s">
        <v>47</v>
      </c>
      <c r="I352" s="29" t="n">
        <v>222</v>
      </c>
      <c r="J352" s="29" t="n">
        <v>44</v>
      </c>
      <c r="K352" s="30" t="n">
        <f aca="false">WORKDAY(Assumptions!$C$4,I352,Assumptions!$F$4:$F$44)</f>
        <v>46638</v>
      </c>
      <c r="L352" s="30" t="n">
        <f aca="false">IF(J352=0,K352,WORKDAY(K352,J352-1,Assumptions!$F$4:$F$44))</f>
        <v>46699</v>
      </c>
      <c r="M352" s="29" t="s">
        <v>754</v>
      </c>
      <c r="N352" s="31" t="n">
        <v>0</v>
      </c>
      <c r="O352" s="31" t="n">
        <v>0</v>
      </c>
      <c r="P352" s="31" t="n">
        <v>0</v>
      </c>
      <c r="Q352" s="31" t="n">
        <v>10</v>
      </c>
      <c r="R352" s="31" t="n">
        <v>0</v>
      </c>
      <c r="S352" s="31" t="n">
        <v>0</v>
      </c>
      <c r="T352" s="31" t="n">
        <v>0</v>
      </c>
      <c r="U352" s="31" t="n">
        <v>0</v>
      </c>
      <c r="V352" s="31" t="n">
        <v>2</v>
      </c>
      <c r="W352" s="31" t="n">
        <v>0</v>
      </c>
      <c r="X352" s="31" t="n">
        <v>0</v>
      </c>
      <c r="Y352" s="32" t="n">
        <f aca="false">SUM(N352:X352)</f>
        <v>12</v>
      </c>
      <c r="Z352" s="32" t="n">
        <f aca="false">Y352*(1+Assumptions!$C$5)</f>
        <v>13.8</v>
      </c>
      <c r="AA352" s="27" t="s">
        <v>328</v>
      </c>
      <c r="AB352" s="27" t="s">
        <v>95</v>
      </c>
      <c r="AC352" s="27"/>
      <c r="AD352" s="33" t="n">
        <v>0</v>
      </c>
      <c r="AF352" s="21" t="n">
        <f aca="false">IF($J352=0,0,MAX(0,NETWORKDAYS(MAX($K352,AF$4),MIN($L352,EOMONTH(AF$4,0)),Assumptions!$F$4:$F$44))/NETWORKDAYS($K352,$L352,Assumptions!$F$4:$F$44))</f>
        <v>0</v>
      </c>
      <c r="AG352" s="21" t="n">
        <f aca="false">IF($J352=0,0,MAX(0,NETWORKDAYS(MAX($K352,AG$4),MIN($L352,EOMONTH(AG$4,0)),Assumptions!$F$4:$F$44))/NETWORKDAYS($K352,$L352,Assumptions!$F$4:$F$44))</f>
        <v>0</v>
      </c>
      <c r="AH352" s="21" t="n">
        <f aca="false">IF($J352=0,0,MAX(0,NETWORKDAYS(MAX($K352,AH$4),MIN($L352,EOMONTH(AH$4,0)),Assumptions!$F$4:$F$44))/NETWORKDAYS($K352,$L352,Assumptions!$F$4:$F$44))</f>
        <v>0</v>
      </c>
      <c r="AI352" s="21" t="n">
        <f aca="false">IF($J352=0,0,MAX(0,NETWORKDAYS(MAX($K352,AI$4),MIN($L352,EOMONTH(AI$4,0)),Assumptions!$F$4:$F$44))/NETWORKDAYS($K352,$L352,Assumptions!$F$4:$F$44))</f>
        <v>0</v>
      </c>
      <c r="AJ352" s="21" t="n">
        <f aca="false">IF($J352=0,0,MAX(0,NETWORKDAYS(MAX($K352,AJ$4),MIN($L352,EOMONTH(AJ$4,0)),Assumptions!$F$4:$F$44))/NETWORKDAYS($K352,$L352,Assumptions!$F$4:$F$44))</f>
        <v>0</v>
      </c>
      <c r="AK352" s="21" t="n">
        <f aca="false">IF($J352=0,0,MAX(0,NETWORKDAYS(MAX($K352,AK$4),MIN($L352,EOMONTH(AK$4,0)),Assumptions!$F$4:$F$44))/NETWORKDAYS($K352,$L352,Assumptions!$F$4:$F$44))</f>
        <v>0</v>
      </c>
      <c r="AL352" s="21" t="n">
        <f aca="false">IF($J352=0,0,MAX(0,NETWORKDAYS(MAX($K352,AL$4),MIN($L352,EOMONTH(AL$4,0)),Assumptions!$F$4:$F$44))/NETWORKDAYS($K352,$L352,Assumptions!$F$4:$F$44))</f>
        <v>0</v>
      </c>
      <c r="AM352" s="21" t="n">
        <f aca="false">IF($J352=0,0,MAX(0,NETWORKDAYS(MAX($K352,AM$4),MIN($L352,EOMONTH(AM$4,0)),Assumptions!$F$4:$F$44))/NETWORKDAYS($K352,$L352,Assumptions!$F$4:$F$44))</f>
        <v>0</v>
      </c>
      <c r="AN352" s="21" t="n">
        <f aca="false">IF($J352=0,0,MAX(0,NETWORKDAYS(MAX($K352,AN$4),MIN($L352,EOMONTH(AN$4,0)),Assumptions!$F$4:$F$44))/NETWORKDAYS($K352,$L352,Assumptions!$F$4:$F$44))</f>
        <v>0</v>
      </c>
      <c r="AO352" s="21" t="n">
        <f aca="false">IF($J352=0,0,MAX(0,NETWORKDAYS(MAX($K352,AO$4),MIN($L352,EOMONTH(AO$4,0)),Assumptions!$F$4:$F$44))/NETWORKDAYS($K352,$L352,Assumptions!$F$4:$F$44))</f>
        <v>0</v>
      </c>
      <c r="AP352" s="21" t="n">
        <f aca="false">IF($J352=0,0,MAX(0,NETWORKDAYS(MAX($K352,AP$4),MIN($L352,EOMONTH(AP$4,0)),Assumptions!$F$4:$F$44))/NETWORKDAYS($K352,$L352,Assumptions!$F$4:$F$44))</f>
        <v>0.386363636363636</v>
      </c>
      <c r="AQ352" s="21" t="n">
        <f aca="false">IF($J352=0,0,MAX(0,NETWORKDAYS(MAX($K352,AQ$4),MIN($L352,EOMONTH(AQ$4,0)),Assumptions!$F$4:$F$44))/NETWORKDAYS($K352,$L352,Assumptions!$F$4:$F$44))</f>
        <v>0.477272727272727</v>
      </c>
      <c r="AR352" s="21" t="n">
        <f aca="false">IF($J352=0,0,MAX(0,NETWORKDAYS(MAX($K352,AR$4),MIN($L352,EOMONTH(AR$4,0)),Assumptions!$F$4:$F$44))/NETWORKDAYS($K352,$L352,Assumptions!$F$4:$F$44))</f>
        <v>0.136363636363636</v>
      </c>
      <c r="AS352" s="21" t="n">
        <f aca="false">IF($J352=0,0,MAX(0,NETWORKDAYS(MAX($K352,AS$4),MIN($L352,EOMONTH(AS$4,0)),Assumptions!$F$4:$F$44))/NETWORKDAYS($K352,$L352,Assumptions!$F$4:$F$44))</f>
        <v>0</v>
      </c>
      <c r="AT352" s="21" t="n">
        <f aca="false">IF($J352=0,0,MAX(0,NETWORKDAYS(MAX($K352,AT$4),MIN($L352,EOMONTH(AT$4,0)),Assumptions!$F$4:$F$44))/NETWORKDAYS($K352,$L352,Assumptions!$F$4:$F$44))</f>
        <v>0</v>
      </c>
      <c r="AU352" s="21" t="n">
        <f aca="false">IF($J352=0,0,MAX(0,NETWORKDAYS(MAX($K352,AU$4),MIN($L352,EOMONTH(AU$4,0)),Assumptions!$F$4:$F$44))/NETWORKDAYS($K352,$L352,Assumptions!$F$4:$F$44))</f>
        <v>0</v>
      </c>
      <c r="AV352" s="21" t="n">
        <f aca="false">IF($J352=0,0,MAX(0,NETWORKDAYS(MAX($K352,AV$4),MIN($L352,EOMONTH(AV$4,0)),Assumptions!$F$4:$F$44))/NETWORKDAYS($K352,$L352,Assumptions!$F$4:$F$44))</f>
        <v>0</v>
      </c>
      <c r="AW352" s="21" t="n">
        <f aca="false">IF($J352=0,0,MAX(0,NETWORKDAYS(MAX($K352,AW$4),MIN($L352,EOMONTH(AW$4,0)),Assumptions!$F$4:$F$44))/NETWORKDAYS($K352,$L352,Assumptions!$F$4:$F$44))</f>
        <v>0</v>
      </c>
      <c r="AX352" s="21" t="n">
        <f aca="false">IF($J352=0,0,MAX(0,NETWORKDAYS(MAX($K352,AX$4),MIN($L352,EOMONTH(AX$4,0)),Assumptions!$F$4:$F$44))/NETWORKDAYS($K352,$L352,Assumptions!$F$4:$F$44))</f>
        <v>0</v>
      </c>
      <c r="AY352" s="21" t="n">
        <f aca="false">IF($J352=0,0,MAX(0,NETWORKDAYS(MAX($K352,AY$4),MIN($L352,EOMONTH(AY$4,0)),Assumptions!$F$4:$F$44))/NETWORKDAYS($K352,$L352,Assumptions!$F$4:$F$44))</f>
        <v>0</v>
      </c>
      <c r="AZ352" s="21" t="n">
        <f aca="false">IF($J352=0,0,MAX(0,NETWORKDAYS(MAX($K352,AZ$4),MIN($L352,EOMONTH(AZ$4,0)),Assumptions!$F$4:$F$44))/NETWORKDAYS($K352,$L352,Assumptions!$F$4:$F$44))</f>
        <v>0</v>
      </c>
      <c r="BA352" s="21" t="n">
        <f aca="false">IF($J352=0,0,MAX(0,NETWORKDAYS(MAX($K352,BA$4),MIN($L352,EOMONTH(BA$4,0)),Assumptions!$F$4:$F$44))/NETWORKDAYS($K352,$L352,Assumptions!$F$4:$F$44))</f>
        <v>0</v>
      </c>
      <c r="BB352" s="21" t="n">
        <f aca="false">IF($J352=0,0,MAX(0,NETWORKDAYS(MAX($K352,BB$4),MIN($L352,EOMONTH(BB$4,0)),Assumptions!$F$4:$F$44))/NETWORKDAYS($K352,$L352,Assumptions!$F$4:$F$44))</f>
        <v>0</v>
      </c>
      <c r="BC352" s="21" t="n">
        <f aca="false">IF($J352=0,0,MAX(0,NETWORKDAYS(MAX($K352,BC$4),MIN($L352,EOMONTH(BC$4,0)),Assumptions!$F$4:$F$44))/NETWORKDAYS($K352,$L352,Assumptions!$F$4:$F$44))</f>
        <v>0</v>
      </c>
    </row>
    <row r="353" customFormat="false" ht="15" hidden="false" customHeight="false" outlineLevel="2" collapsed="false">
      <c r="A353" s="27" t="n">
        <v>349</v>
      </c>
      <c r="B353" s="27" t="s">
        <v>764</v>
      </c>
      <c r="C353" s="27" t="n">
        <v>3</v>
      </c>
      <c r="D353" s="27" t="s">
        <v>92</v>
      </c>
      <c r="E353" s="28" t="s">
        <v>330</v>
      </c>
      <c r="F353" s="27" t="s">
        <v>681</v>
      </c>
      <c r="G353" s="27" t="s">
        <v>747</v>
      </c>
      <c r="H353" s="27" t="s">
        <v>47</v>
      </c>
      <c r="I353" s="29" t="n">
        <v>242</v>
      </c>
      <c r="J353" s="29" t="n">
        <v>26</v>
      </c>
      <c r="K353" s="30" t="n">
        <f aca="false">WORKDAY(Assumptions!$C$4,I353,Assumptions!$F$4:$F$44)</f>
        <v>46666</v>
      </c>
      <c r="L353" s="30" t="n">
        <f aca="false">IF(J353=0,K353,WORKDAY(K353,J353-1,Assumptions!$F$4:$F$44))</f>
        <v>46701</v>
      </c>
      <c r="M353" s="29" t="s">
        <v>762</v>
      </c>
      <c r="N353" s="31" t="n">
        <v>0</v>
      </c>
      <c r="O353" s="31" t="n">
        <v>1</v>
      </c>
      <c r="P353" s="31" t="n">
        <v>0</v>
      </c>
      <c r="Q353" s="31" t="n">
        <v>2</v>
      </c>
      <c r="R353" s="31" t="n">
        <v>2</v>
      </c>
      <c r="S353" s="31" t="n">
        <v>0</v>
      </c>
      <c r="T353" s="31" t="n">
        <v>0</v>
      </c>
      <c r="U353" s="31" t="n">
        <v>0</v>
      </c>
      <c r="V353" s="31" t="n">
        <v>0</v>
      </c>
      <c r="W353" s="31" t="n">
        <v>0</v>
      </c>
      <c r="X353" s="31" t="n">
        <v>0</v>
      </c>
      <c r="Y353" s="32" t="n">
        <f aca="false">SUM(N353:X353)</f>
        <v>5</v>
      </c>
      <c r="Z353" s="32" t="n">
        <f aca="false">Y353*(1+Assumptions!$C$5)</f>
        <v>5.75</v>
      </c>
      <c r="AA353" s="27" t="s">
        <v>331</v>
      </c>
      <c r="AB353" s="27" t="s">
        <v>95</v>
      </c>
      <c r="AC353" s="27"/>
      <c r="AD353" s="33" t="n">
        <v>0</v>
      </c>
      <c r="AF353" s="21" t="n">
        <f aca="false">IF($J353=0,0,MAX(0,NETWORKDAYS(MAX($K353,AF$4),MIN($L353,EOMONTH(AF$4,0)),Assumptions!$F$4:$F$44))/NETWORKDAYS($K353,$L353,Assumptions!$F$4:$F$44))</f>
        <v>0</v>
      </c>
      <c r="AG353" s="21" t="n">
        <f aca="false">IF($J353=0,0,MAX(0,NETWORKDAYS(MAX($K353,AG$4),MIN($L353,EOMONTH(AG$4,0)),Assumptions!$F$4:$F$44))/NETWORKDAYS($K353,$L353,Assumptions!$F$4:$F$44))</f>
        <v>0</v>
      </c>
      <c r="AH353" s="21" t="n">
        <f aca="false">IF($J353=0,0,MAX(0,NETWORKDAYS(MAX($K353,AH$4),MIN($L353,EOMONTH(AH$4,0)),Assumptions!$F$4:$F$44))/NETWORKDAYS($K353,$L353,Assumptions!$F$4:$F$44))</f>
        <v>0</v>
      </c>
      <c r="AI353" s="21" t="n">
        <f aca="false">IF($J353=0,0,MAX(0,NETWORKDAYS(MAX($K353,AI$4),MIN($L353,EOMONTH(AI$4,0)),Assumptions!$F$4:$F$44))/NETWORKDAYS($K353,$L353,Assumptions!$F$4:$F$44))</f>
        <v>0</v>
      </c>
      <c r="AJ353" s="21" t="n">
        <f aca="false">IF($J353=0,0,MAX(0,NETWORKDAYS(MAX($K353,AJ$4),MIN($L353,EOMONTH(AJ$4,0)),Assumptions!$F$4:$F$44))/NETWORKDAYS($K353,$L353,Assumptions!$F$4:$F$44))</f>
        <v>0</v>
      </c>
      <c r="AK353" s="21" t="n">
        <f aca="false">IF($J353=0,0,MAX(0,NETWORKDAYS(MAX($K353,AK$4),MIN($L353,EOMONTH(AK$4,0)),Assumptions!$F$4:$F$44))/NETWORKDAYS($K353,$L353,Assumptions!$F$4:$F$44))</f>
        <v>0</v>
      </c>
      <c r="AL353" s="21" t="n">
        <f aca="false">IF($J353=0,0,MAX(0,NETWORKDAYS(MAX($K353,AL$4),MIN($L353,EOMONTH(AL$4,0)),Assumptions!$F$4:$F$44))/NETWORKDAYS($K353,$L353,Assumptions!$F$4:$F$44))</f>
        <v>0</v>
      </c>
      <c r="AM353" s="21" t="n">
        <f aca="false">IF($J353=0,0,MAX(0,NETWORKDAYS(MAX($K353,AM$4),MIN($L353,EOMONTH(AM$4,0)),Assumptions!$F$4:$F$44))/NETWORKDAYS($K353,$L353,Assumptions!$F$4:$F$44))</f>
        <v>0</v>
      </c>
      <c r="AN353" s="21" t="n">
        <f aca="false">IF($J353=0,0,MAX(0,NETWORKDAYS(MAX($K353,AN$4),MIN($L353,EOMONTH(AN$4,0)),Assumptions!$F$4:$F$44))/NETWORKDAYS($K353,$L353,Assumptions!$F$4:$F$44))</f>
        <v>0</v>
      </c>
      <c r="AO353" s="21" t="n">
        <f aca="false">IF($J353=0,0,MAX(0,NETWORKDAYS(MAX($K353,AO$4),MIN($L353,EOMONTH(AO$4,0)),Assumptions!$F$4:$F$44))/NETWORKDAYS($K353,$L353,Assumptions!$F$4:$F$44))</f>
        <v>0</v>
      </c>
      <c r="AP353" s="21" t="n">
        <f aca="false">IF($J353=0,0,MAX(0,NETWORKDAYS(MAX($K353,AP$4),MIN($L353,EOMONTH(AP$4,0)),Assumptions!$F$4:$F$44))/NETWORKDAYS($K353,$L353,Assumptions!$F$4:$F$44))</f>
        <v>0</v>
      </c>
      <c r="AQ353" s="21" t="n">
        <f aca="false">IF($J353=0,0,MAX(0,NETWORKDAYS(MAX($K353,AQ$4),MIN($L353,EOMONTH(AQ$4,0)),Assumptions!$F$4:$F$44))/NETWORKDAYS($K353,$L353,Assumptions!$F$4:$F$44))</f>
        <v>0.692307692307692</v>
      </c>
      <c r="AR353" s="21" t="n">
        <f aca="false">IF($J353=0,0,MAX(0,NETWORKDAYS(MAX($K353,AR$4),MIN($L353,EOMONTH(AR$4,0)),Assumptions!$F$4:$F$44))/NETWORKDAYS($K353,$L353,Assumptions!$F$4:$F$44))</f>
        <v>0.307692307692308</v>
      </c>
      <c r="AS353" s="21" t="n">
        <f aca="false">IF($J353=0,0,MAX(0,NETWORKDAYS(MAX($K353,AS$4),MIN($L353,EOMONTH(AS$4,0)),Assumptions!$F$4:$F$44))/NETWORKDAYS($K353,$L353,Assumptions!$F$4:$F$44))</f>
        <v>0</v>
      </c>
      <c r="AT353" s="21" t="n">
        <f aca="false">IF($J353=0,0,MAX(0,NETWORKDAYS(MAX($K353,AT$4),MIN($L353,EOMONTH(AT$4,0)),Assumptions!$F$4:$F$44))/NETWORKDAYS($K353,$L353,Assumptions!$F$4:$F$44))</f>
        <v>0</v>
      </c>
      <c r="AU353" s="21" t="n">
        <f aca="false">IF($J353=0,0,MAX(0,NETWORKDAYS(MAX($K353,AU$4),MIN($L353,EOMONTH(AU$4,0)),Assumptions!$F$4:$F$44))/NETWORKDAYS($K353,$L353,Assumptions!$F$4:$F$44))</f>
        <v>0</v>
      </c>
      <c r="AV353" s="21" t="n">
        <f aca="false">IF($J353=0,0,MAX(0,NETWORKDAYS(MAX($K353,AV$4),MIN($L353,EOMONTH(AV$4,0)),Assumptions!$F$4:$F$44))/NETWORKDAYS($K353,$L353,Assumptions!$F$4:$F$44))</f>
        <v>0</v>
      </c>
      <c r="AW353" s="21" t="n">
        <f aca="false">IF($J353=0,0,MAX(0,NETWORKDAYS(MAX($K353,AW$4),MIN($L353,EOMONTH(AW$4,0)),Assumptions!$F$4:$F$44))/NETWORKDAYS($K353,$L353,Assumptions!$F$4:$F$44))</f>
        <v>0</v>
      </c>
      <c r="AX353" s="21" t="n">
        <f aca="false">IF($J353=0,0,MAX(0,NETWORKDAYS(MAX($K353,AX$4),MIN($L353,EOMONTH(AX$4,0)),Assumptions!$F$4:$F$44))/NETWORKDAYS($K353,$L353,Assumptions!$F$4:$F$44))</f>
        <v>0</v>
      </c>
      <c r="AY353" s="21" t="n">
        <f aca="false">IF($J353=0,0,MAX(0,NETWORKDAYS(MAX($K353,AY$4),MIN($L353,EOMONTH(AY$4,0)),Assumptions!$F$4:$F$44))/NETWORKDAYS($K353,$L353,Assumptions!$F$4:$F$44))</f>
        <v>0</v>
      </c>
      <c r="AZ353" s="21" t="n">
        <f aca="false">IF($J353=0,0,MAX(0,NETWORKDAYS(MAX($K353,AZ$4),MIN($L353,EOMONTH(AZ$4,0)),Assumptions!$F$4:$F$44))/NETWORKDAYS($K353,$L353,Assumptions!$F$4:$F$44))</f>
        <v>0</v>
      </c>
      <c r="BA353" s="21" t="n">
        <f aca="false">IF($J353=0,0,MAX(0,NETWORKDAYS(MAX($K353,BA$4),MIN($L353,EOMONTH(BA$4,0)),Assumptions!$F$4:$F$44))/NETWORKDAYS($K353,$L353,Assumptions!$F$4:$F$44))</f>
        <v>0</v>
      </c>
      <c r="BB353" s="21" t="n">
        <f aca="false">IF($J353=0,0,MAX(0,NETWORKDAYS(MAX($K353,BB$4),MIN($L353,EOMONTH(BB$4,0)),Assumptions!$F$4:$F$44))/NETWORKDAYS($K353,$L353,Assumptions!$F$4:$F$44))</f>
        <v>0</v>
      </c>
      <c r="BC353" s="21" t="n">
        <f aca="false">IF($J353=0,0,MAX(0,NETWORKDAYS(MAX($K353,BC$4),MIN($L353,EOMONTH(BC$4,0)),Assumptions!$F$4:$F$44))/NETWORKDAYS($K353,$L353,Assumptions!$F$4:$F$44))</f>
        <v>0</v>
      </c>
    </row>
    <row r="354" customFormat="false" ht="15" hidden="false" customHeight="false" outlineLevel="2" collapsed="false">
      <c r="A354" s="27" t="n">
        <v>350</v>
      </c>
      <c r="B354" s="27" t="s">
        <v>765</v>
      </c>
      <c r="C354" s="27" t="n">
        <v>3</v>
      </c>
      <c r="D354" s="27" t="s">
        <v>92</v>
      </c>
      <c r="E354" s="28" t="s">
        <v>336</v>
      </c>
      <c r="F354" s="27" t="s">
        <v>681</v>
      </c>
      <c r="G354" s="27" t="s">
        <v>747</v>
      </c>
      <c r="H354" s="27" t="s">
        <v>57</v>
      </c>
      <c r="I354" s="29" t="n">
        <v>258</v>
      </c>
      <c r="J354" s="29" t="n">
        <v>21</v>
      </c>
      <c r="K354" s="30" t="n">
        <f aca="false">WORKDAY(Assumptions!$C$4,I354,Assumptions!$F$4:$F$44)</f>
        <v>46688</v>
      </c>
      <c r="L354" s="30" t="n">
        <f aca="false">IF(J354=0,K354,WORKDAY(K354,J354-1,Assumptions!$F$4:$F$44))</f>
        <v>46716</v>
      </c>
      <c r="M354" s="29" t="s">
        <v>766</v>
      </c>
      <c r="N354" s="31" t="n">
        <v>0</v>
      </c>
      <c r="O354" s="31" t="n">
        <v>0</v>
      </c>
      <c r="P354" s="31" t="n">
        <v>0</v>
      </c>
      <c r="Q354" s="31" t="n">
        <v>0</v>
      </c>
      <c r="R354" s="31" t="n">
        <v>0</v>
      </c>
      <c r="S354" s="31" t="n">
        <v>0</v>
      </c>
      <c r="T354" s="31" t="n">
        <v>0</v>
      </c>
      <c r="U354" s="31" t="n">
        <v>0</v>
      </c>
      <c r="V354" s="31" t="n">
        <v>12</v>
      </c>
      <c r="W354" s="31" t="n">
        <v>0</v>
      </c>
      <c r="X354" s="31" t="n">
        <v>0</v>
      </c>
      <c r="Y354" s="32" t="n">
        <f aca="false">SUM(N354:X354)</f>
        <v>12</v>
      </c>
      <c r="Z354" s="32" t="n">
        <f aca="false">Y354*(1+Assumptions!$C$5)</f>
        <v>13.8</v>
      </c>
      <c r="AA354" s="27" t="s">
        <v>338</v>
      </c>
      <c r="AB354" s="27" t="s">
        <v>95</v>
      </c>
      <c r="AC354" s="27"/>
      <c r="AD354" s="33" t="n">
        <v>0</v>
      </c>
      <c r="AF354" s="21" t="n">
        <f aca="false">IF($J354=0,0,MAX(0,NETWORKDAYS(MAX($K354,AF$4),MIN($L354,EOMONTH(AF$4,0)),Assumptions!$F$4:$F$44))/NETWORKDAYS($K354,$L354,Assumptions!$F$4:$F$44))</f>
        <v>0</v>
      </c>
      <c r="AG354" s="21" t="n">
        <f aca="false">IF($J354=0,0,MAX(0,NETWORKDAYS(MAX($K354,AG$4),MIN($L354,EOMONTH(AG$4,0)),Assumptions!$F$4:$F$44))/NETWORKDAYS($K354,$L354,Assumptions!$F$4:$F$44))</f>
        <v>0</v>
      </c>
      <c r="AH354" s="21" t="n">
        <f aca="false">IF($J354=0,0,MAX(0,NETWORKDAYS(MAX($K354,AH$4),MIN($L354,EOMONTH(AH$4,0)),Assumptions!$F$4:$F$44))/NETWORKDAYS($K354,$L354,Assumptions!$F$4:$F$44))</f>
        <v>0</v>
      </c>
      <c r="AI354" s="21" t="n">
        <f aca="false">IF($J354=0,0,MAX(0,NETWORKDAYS(MAX($K354,AI$4),MIN($L354,EOMONTH(AI$4,0)),Assumptions!$F$4:$F$44))/NETWORKDAYS($K354,$L354,Assumptions!$F$4:$F$44))</f>
        <v>0</v>
      </c>
      <c r="AJ354" s="21" t="n">
        <f aca="false">IF($J354=0,0,MAX(0,NETWORKDAYS(MAX($K354,AJ$4),MIN($L354,EOMONTH(AJ$4,0)),Assumptions!$F$4:$F$44))/NETWORKDAYS($K354,$L354,Assumptions!$F$4:$F$44))</f>
        <v>0</v>
      </c>
      <c r="AK354" s="21" t="n">
        <f aca="false">IF($J354=0,0,MAX(0,NETWORKDAYS(MAX($K354,AK$4),MIN($L354,EOMONTH(AK$4,0)),Assumptions!$F$4:$F$44))/NETWORKDAYS($K354,$L354,Assumptions!$F$4:$F$44))</f>
        <v>0</v>
      </c>
      <c r="AL354" s="21" t="n">
        <f aca="false">IF($J354=0,0,MAX(0,NETWORKDAYS(MAX($K354,AL$4),MIN($L354,EOMONTH(AL$4,0)),Assumptions!$F$4:$F$44))/NETWORKDAYS($K354,$L354,Assumptions!$F$4:$F$44))</f>
        <v>0</v>
      </c>
      <c r="AM354" s="21" t="n">
        <f aca="false">IF($J354=0,0,MAX(0,NETWORKDAYS(MAX($K354,AM$4),MIN($L354,EOMONTH(AM$4,0)),Assumptions!$F$4:$F$44))/NETWORKDAYS($K354,$L354,Assumptions!$F$4:$F$44))</f>
        <v>0</v>
      </c>
      <c r="AN354" s="21" t="n">
        <f aca="false">IF($J354=0,0,MAX(0,NETWORKDAYS(MAX($K354,AN$4),MIN($L354,EOMONTH(AN$4,0)),Assumptions!$F$4:$F$44))/NETWORKDAYS($K354,$L354,Assumptions!$F$4:$F$44))</f>
        <v>0</v>
      </c>
      <c r="AO354" s="21" t="n">
        <f aca="false">IF($J354=0,0,MAX(0,NETWORKDAYS(MAX($K354,AO$4),MIN($L354,EOMONTH(AO$4,0)),Assumptions!$F$4:$F$44))/NETWORKDAYS($K354,$L354,Assumptions!$F$4:$F$44))</f>
        <v>0</v>
      </c>
      <c r="AP354" s="21" t="n">
        <f aca="false">IF($J354=0,0,MAX(0,NETWORKDAYS(MAX($K354,AP$4),MIN($L354,EOMONTH(AP$4,0)),Assumptions!$F$4:$F$44))/NETWORKDAYS($K354,$L354,Assumptions!$F$4:$F$44))</f>
        <v>0</v>
      </c>
      <c r="AQ354" s="21" t="n">
        <f aca="false">IF($J354=0,0,MAX(0,NETWORKDAYS(MAX($K354,AQ$4),MIN($L354,EOMONTH(AQ$4,0)),Assumptions!$F$4:$F$44))/NETWORKDAYS($K354,$L354,Assumptions!$F$4:$F$44))</f>
        <v>0.0952380952380952</v>
      </c>
      <c r="AR354" s="21" t="n">
        <f aca="false">IF($J354=0,0,MAX(0,NETWORKDAYS(MAX($K354,AR$4),MIN($L354,EOMONTH(AR$4,0)),Assumptions!$F$4:$F$44))/NETWORKDAYS($K354,$L354,Assumptions!$F$4:$F$44))</f>
        <v>0.904761904761905</v>
      </c>
      <c r="AS354" s="21" t="n">
        <f aca="false">IF($J354=0,0,MAX(0,NETWORKDAYS(MAX($K354,AS$4),MIN($L354,EOMONTH(AS$4,0)),Assumptions!$F$4:$F$44))/NETWORKDAYS($K354,$L354,Assumptions!$F$4:$F$44))</f>
        <v>0</v>
      </c>
      <c r="AT354" s="21" t="n">
        <f aca="false">IF($J354=0,0,MAX(0,NETWORKDAYS(MAX($K354,AT$4),MIN($L354,EOMONTH(AT$4,0)),Assumptions!$F$4:$F$44))/NETWORKDAYS($K354,$L354,Assumptions!$F$4:$F$44))</f>
        <v>0</v>
      </c>
      <c r="AU354" s="21" t="n">
        <f aca="false">IF($J354=0,0,MAX(0,NETWORKDAYS(MAX($K354,AU$4),MIN($L354,EOMONTH(AU$4,0)),Assumptions!$F$4:$F$44))/NETWORKDAYS($K354,$L354,Assumptions!$F$4:$F$44))</f>
        <v>0</v>
      </c>
      <c r="AV354" s="21" t="n">
        <f aca="false">IF($J354=0,0,MAX(0,NETWORKDAYS(MAX($K354,AV$4),MIN($L354,EOMONTH(AV$4,0)),Assumptions!$F$4:$F$44))/NETWORKDAYS($K354,$L354,Assumptions!$F$4:$F$44))</f>
        <v>0</v>
      </c>
      <c r="AW354" s="21" t="n">
        <f aca="false">IF($J354=0,0,MAX(0,NETWORKDAYS(MAX($K354,AW$4),MIN($L354,EOMONTH(AW$4,0)),Assumptions!$F$4:$F$44))/NETWORKDAYS($K354,$L354,Assumptions!$F$4:$F$44))</f>
        <v>0</v>
      </c>
      <c r="AX354" s="21" t="n">
        <f aca="false">IF($J354=0,0,MAX(0,NETWORKDAYS(MAX($K354,AX$4),MIN($L354,EOMONTH(AX$4,0)),Assumptions!$F$4:$F$44))/NETWORKDAYS($K354,$L354,Assumptions!$F$4:$F$44))</f>
        <v>0</v>
      </c>
      <c r="AY354" s="21" t="n">
        <f aca="false">IF($J354=0,0,MAX(0,NETWORKDAYS(MAX($K354,AY$4),MIN($L354,EOMONTH(AY$4,0)),Assumptions!$F$4:$F$44))/NETWORKDAYS($K354,$L354,Assumptions!$F$4:$F$44))</f>
        <v>0</v>
      </c>
      <c r="AZ354" s="21" t="n">
        <f aca="false">IF($J354=0,0,MAX(0,NETWORKDAYS(MAX($K354,AZ$4),MIN($L354,EOMONTH(AZ$4,0)),Assumptions!$F$4:$F$44))/NETWORKDAYS($K354,$L354,Assumptions!$F$4:$F$44))</f>
        <v>0</v>
      </c>
      <c r="BA354" s="21" t="n">
        <f aca="false">IF($J354=0,0,MAX(0,NETWORKDAYS(MAX($K354,BA$4),MIN($L354,EOMONTH(BA$4,0)),Assumptions!$F$4:$F$44))/NETWORKDAYS($K354,$L354,Assumptions!$F$4:$F$44))</f>
        <v>0</v>
      </c>
      <c r="BB354" s="21" t="n">
        <f aca="false">IF($J354=0,0,MAX(0,NETWORKDAYS(MAX($K354,BB$4),MIN($L354,EOMONTH(BB$4,0)),Assumptions!$F$4:$F$44))/NETWORKDAYS($K354,$L354,Assumptions!$F$4:$F$44))</f>
        <v>0</v>
      </c>
      <c r="BC354" s="21" t="n">
        <f aca="false">IF($J354=0,0,MAX(0,NETWORKDAYS(MAX($K354,BC$4),MIN($L354,EOMONTH(BC$4,0)),Assumptions!$F$4:$F$44))/NETWORKDAYS($K354,$L354,Assumptions!$F$4:$F$44))</f>
        <v>0</v>
      </c>
    </row>
    <row r="355" customFormat="false" ht="15" hidden="false" customHeight="false" outlineLevel="2" collapsed="false">
      <c r="A355" s="27" t="n">
        <v>351</v>
      </c>
      <c r="B355" s="27" t="s">
        <v>767</v>
      </c>
      <c r="C355" s="27" t="n">
        <v>3</v>
      </c>
      <c r="D355" s="27" t="s">
        <v>92</v>
      </c>
      <c r="E355" s="28" t="s">
        <v>340</v>
      </c>
      <c r="F355" s="27" t="s">
        <v>681</v>
      </c>
      <c r="G355" s="27" t="s">
        <v>747</v>
      </c>
      <c r="H355" s="27" t="s">
        <v>47</v>
      </c>
      <c r="I355" s="29" t="n">
        <v>262</v>
      </c>
      <c r="J355" s="29" t="n">
        <v>26</v>
      </c>
      <c r="K355" s="30" t="n">
        <f aca="false">WORKDAY(Assumptions!$C$4,I355,Assumptions!$F$4:$F$44)</f>
        <v>46694</v>
      </c>
      <c r="L355" s="30" t="n">
        <f aca="false">IF(J355=0,K355,WORKDAY(K355,J355-1,Assumptions!$F$4:$F$44))</f>
        <v>46729</v>
      </c>
      <c r="M355" s="29" t="s">
        <v>768</v>
      </c>
      <c r="N355" s="31" t="n">
        <v>0</v>
      </c>
      <c r="O355" s="31" t="n">
        <v>0</v>
      </c>
      <c r="P355" s="31" t="n">
        <v>0</v>
      </c>
      <c r="Q355" s="31" t="n">
        <v>5</v>
      </c>
      <c r="R355" s="31" t="n">
        <v>3</v>
      </c>
      <c r="S355" s="31" t="n">
        <v>0</v>
      </c>
      <c r="T355" s="31" t="n">
        <v>0</v>
      </c>
      <c r="U355" s="31" t="n">
        <v>0</v>
      </c>
      <c r="V355" s="31" t="n">
        <v>2</v>
      </c>
      <c r="W355" s="31" t="n">
        <v>0</v>
      </c>
      <c r="X355" s="31" t="n">
        <v>0</v>
      </c>
      <c r="Y355" s="32" t="n">
        <f aca="false">SUM(N355:X355)</f>
        <v>10</v>
      </c>
      <c r="Z355" s="32" t="n">
        <f aca="false">Y355*(1+Assumptions!$C$5)</f>
        <v>11.5</v>
      </c>
      <c r="AA355" s="27" t="s">
        <v>342</v>
      </c>
      <c r="AB355" s="27" t="s">
        <v>95</v>
      </c>
      <c r="AC355" s="27"/>
      <c r="AD355" s="33" t="n">
        <v>0</v>
      </c>
      <c r="AF355" s="21" t="n">
        <f aca="false">IF($J355=0,0,MAX(0,NETWORKDAYS(MAX($K355,AF$4),MIN($L355,EOMONTH(AF$4,0)),Assumptions!$F$4:$F$44))/NETWORKDAYS($K355,$L355,Assumptions!$F$4:$F$44))</f>
        <v>0</v>
      </c>
      <c r="AG355" s="21" t="n">
        <f aca="false">IF($J355=0,0,MAX(0,NETWORKDAYS(MAX($K355,AG$4),MIN($L355,EOMONTH(AG$4,0)),Assumptions!$F$4:$F$44))/NETWORKDAYS($K355,$L355,Assumptions!$F$4:$F$44))</f>
        <v>0</v>
      </c>
      <c r="AH355" s="21" t="n">
        <f aca="false">IF($J355=0,0,MAX(0,NETWORKDAYS(MAX($K355,AH$4),MIN($L355,EOMONTH(AH$4,0)),Assumptions!$F$4:$F$44))/NETWORKDAYS($K355,$L355,Assumptions!$F$4:$F$44))</f>
        <v>0</v>
      </c>
      <c r="AI355" s="21" t="n">
        <f aca="false">IF($J355=0,0,MAX(0,NETWORKDAYS(MAX($K355,AI$4),MIN($L355,EOMONTH(AI$4,0)),Assumptions!$F$4:$F$44))/NETWORKDAYS($K355,$L355,Assumptions!$F$4:$F$44))</f>
        <v>0</v>
      </c>
      <c r="AJ355" s="21" t="n">
        <f aca="false">IF($J355=0,0,MAX(0,NETWORKDAYS(MAX($K355,AJ$4),MIN($L355,EOMONTH(AJ$4,0)),Assumptions!$F$4:$F$44))/NETWORKDAYS($K355,$L355,Assumptions!$F$4:$F$44))</f>
        <v>0</v>
      </c>
      <c r="AK355" s="21" t="n">
        <f aca="false">IF($J355=0,0,MAX(0,NETWORKDAYS(MAX($K355,AK$4),MIN($L355,EOMONTH(AK$4,0)),Assumptions!$F$4:$F$44))/NETWORKDAYS($K355,$L355,Assumptions!$F$4:$F$44))</f>
        <v>0</v>
      </c>
      <c r="AL355" s="21" t="n">
        <f aca="false">IF($J355=0,0,MAX(0,NETWORKDAYS(MAX($K355,AL$4),MIN($L355,EOMONTH(AL$4,0)),Assumptions!$F$4:$F$44))/NETWORKDAYS($K355,$L355,Assumptions!$F$4:$F$44))</f>
        <v>0</v>
      </c>
      <c r="AM355" s="21" t="n">
        <f aca="false">IF($J355=0,0,MAX(0,NETWORKDAYS(MAX($K355,AM$4),MIN($L355,EOMONTH(AM$4,0)),Assumptions!$F$4:$F$44))/NETWORKDAYS($K355,$L355,Assumptions!$F$4:$F$44))</f>
        <v>0</v>
      </c>
      <c r="AN355" s="21" t="n">
        <f aca="false">IF($J355=0,0,MAX(0,NETWORKDAYS(MAX($K355,AN$4),MIN($L355,EOMONTH(AN$4,0)),Assumptions!$F$4:$F$44))/NETWORKDAYS($K355,$L355,Assumptions!$F$4:$F$44))</f>
        <v>0</v>
      </c>
      <c r="AO355" s="21" t="n">
        <f aca="false">IF($J355=0,0,MAX(0,NETWORKDAYS(MAX($K355,AO$4),MIN($L355,EOMONTH(AO$4,0)),Assumptions!$F$4:$F$44))/NETWORKDAYS($K355,$L355,Assumptions!$F$4:$F$44))</f>
        <v>0</v>
      </c>
      <c r="AP355" s="21" t="n">
        <f aca="false">IF($J355=0,0,MAX(0,NETWORKDAYS(MAX($K355,AP$4),MIN($L355,EOMONTH(AP$4,0)),Assumptions!$F$4:$F$44))/NETWORKDAYS($K355,$L355,Assumptions!$F$4:$F$44))</f>
        <v>0</v>
      </c>
      <c r="AQ355" s="21" t="n">
        <f aca="false">IF($J355=0,0,MAX(0,NETWORKDAYS(MAX($K355,AQ$4),MIN($L355,EOMONTH(AQ$4,0)),Assumptions!$F$4:$F$44))/NETWORKDAYS($K355,$L355,Assumptions!$F$4:$F$44))</f>
        <v>0</v>
      </c>
      <c r="AR355" s="21" t="n">
        <f aca="false">IF($J355=0,0,MAX(0,NETWORKDAYS(MAX($K355,AR$4),MIN($L355,EOMONTH(AR$4,0)),Assumptions!$F$4:$F$44))/NETWORKDAYS($K355,$L355,Assumptions!$F$4:$F$44))</f>
        <v>0.769230769230769</v>
      </c>
      <c r="AS355" s="21" t="n">
        <f aca="false">IF($J355=0,0,MAX(0,NETWORKDAYS(MAX($K355,AS$4),MIN($L355,EOMONTH(AS$4,0)),Assumptions!$F$4:$F$44))/NETWORKDAYS($K355,$L355,Assumptions!$F$4:$F$44))</f>
        <v>0.230769230769231</v>
      </c>
      <c r="AT355" s="21" t="n">
        <f aca="false">IF($J355=0,0,MAX(0,NETWORKDAYS(MAX($K355,AT$4),MIN($L355,EOMONTH(AT$4,0)),Assumptions!$F$4:$F$44))/NETWORKDAYS($K355,$L355,Assumptions!$F$4:$F$44))</f>
        <v>0</v>
      </c>
      <c r="AU355" s="21" t="n">
        <f aca="false">IF($J355=0,0,MAX(0,NETWORKDAYS(MAX($K355,AU$4),MIN($L355,EOMONTH(AU$4,0)),Assumptions!$F$4:$F$44))/NETWORKDAYS($K355,$L355,Assumptions!$F$4:$F$44))</f>
        <v>0</v>
      </c>
      <c r="AV355" s="21" t="n">
        <f aca="false">IF($J355=0,0,MAX(0,NETWORKDAYS(MAX($K355,AV$4),MIN($L355,EOMONTH(AV$4,0)),Assumptions!$F$4:$F$44))/NETWORKDAYS($K355,$L355,Assumptions!$F$4:$F$44))</f>
        <v>0</v>
      </c>
      <c r="AW355" s="21" t="n">
        <f aca="false">IF($J355=0,0,MAX(0,NETWORKDAYS(MAX($K355,AW$4),MIN($L355,EOMONTH(AW$4,0)),Assumptions!$F$4:$F$44))/NETWORKDAYS($K355,$L355,Assumptions!$F$4:$F$44))</f>
        <v>0</v>
      </c>
      <c r="AX355" s="21" t="n">
        <f aca="false">IF($J355=0,0,MAX(0,NETWORKDAYS(MAX($K355,AX$4),MIN($L355,EOMONTH(AX$4,0)),Assumptions!$F$4:$F$44))/NETWORKDAYS($K355,$L355,Assumptions!$F$4:$F$44))</f>
        <v>0</v>
      </c>
      <c r="AY355" s="21" t="n">
        <f aca="false">IF($J355=0,0,MAX(0,NETWORKDAYS(MAX($K355,AY$4),MIN($L355,EOMONTH(AY$4,0)),Assumptions!$F$4:$F$44))/NETWORKDAYS($K355,$L355,Assumptions!$F$4:$F$44))</f>
        <v>0</v>
      </c>
      <c r="AZ355" s="21" t="n">
        <f aca="false">IF($J355=0,0,MAX(0,NETWORKDAYS(MAX($K355,AZ$4),MIN($L355,EOMONTH(AZ$4,0)),Assumptions!$F$4:$F$44))/NETWORKDAYS($K355,$L355,Assumptions!$F$4:$F$44))</f>
        <v>0</v>
      </c>
      <c r="BA355" s="21" t="n">
        <f aca="false">IF($J355=0,0,MAX(0,NETWORKDAYS(MAX($K355,BA$4),MIN($L355,EOMONTH(BA$4,0)),Assumptions!$F$4:$F$44))/NETWORKDAYS($K355,$L355,Assumptions!$F$4:$F$44))</f>
        <v>0</v>
      </c>
      <c r="BB355" s="21" t="n">
        <f aca="false">IF($J355=0,0,MAX(0,NETWORKDAYS(MAX($K355,BB$4),MIN($L355,EOMONTH(BB$4,0)),Assumptions!$F$4:$F$44))/NETWORKDAYS($K355,$L355,Assumptions!$F$4:$F$44))</f>
        <v>0</v>
      </c>
      <c r="BC355" s="21" t="n">
        <f aca="false">IF($J355=0,0,MAX(0,NETWORKDAYS(MAX($K355,BC$4),MIN($L355,EOMONTH(BC$4,0)),Assumptions!$F$4:$F$44))/NETWORKDAYS($K355,$L355,Assumptions!$F$4:$F$44))</f>
        <v>0</v>
      </c>
    </row>
    <row r="356" customFormat="false" ht="15" hidden="false" customHeight="false" outlineLevel="2" collapsed="false">
      <c r="A356" s="27" t="n">
        <v>352</v>
      </c>
      <c r="B356" s="27" t="s">
        <v>769</v>
      </c>
      <c r="C356" s="27" t="n">
        <v>3</v>
      </c>
      <c r="D356" s="27" t="s">
        <v>92</v>
      </c>
      <c r="E356" s="28" t="s">
        <v>344</v>
      </c>
      <c r="F356" s="27" t="s">
        <v>681</v>
      </c>
      <c r="G356" s="27" t="s">
        <v>747</v>
      </c>
      <c r="H356" s="27" t="s">
        <v>43</v>
      </c>
      <c r="I356" s="29" t="n">
        <v>279</v>
      </c>
      <c r="J356" s="29" t="n">
        <v>13</v>
      </c>
      <c r="K356" s="30" t="n">
        <f aca="false">WORKDAY(Assumptions!$C$4,I356,Assumptions!$F$4:$F$44)</f>
        <v>46717</v>
      </c>
      <c r="L356" s="30" t="n">
        <f aca="false">IF(J356=0,K356,WORKDAY(K356,J356-1,Assumptions!$F$4:$F$44))</f>
        <v>46735</v>
      </c>
      <c r="M356" s="29" t="s">
        <v>768</v>
      </c>
      <c r="N356" s="31" t="n">
        <v>0</v>
      </c>
      <c r="O356" s="31" t="n">
        <v>3</v>
      </c>
      <c r="P356" s="31" t="n">
        <v>0</v>
      </c>
      <c r="Q356" s="31" t="n">
        <v>0</v>
      </c>
      <c r="R356" s="31" t="n">
        <v>0</v>
      </c>
      <c r="S356" s="31" t="n">
        <v>0</v>
      </c>
      <c r="T356" s="31" t="n">
        <v>0</v>
      </c>
      <c r="U356" s="31" t="n">
        <v>0</v>
      </c>
      <c r="V356" s="31" t="n">
        <v>3</v>
      </c>
      <c r="W356" s="31" t="n">
        <v>0</v>
      </c>
      <c r="X356" s="31" t="n">
        <v>0</v>
      </c>
      <c r="Y356" s="32" t="n">
        <f aca="false">SUM(N356:X356)</f>
        <v>6</v>
      </c>
      <c r="Z356" s="32" t="n">
        <f aca="false">Y356*(1+Assumptions!$C$5)</f>
        <v>6.9</v>
      </c>
      <c r="AA356" s="27" t="s">
        <v>345</v>
      </c>
      <c r="AB356" s="27" t="s">
        <v>95</v>
      </c>
      <c r="AC356" s="27"/>
      <c r="AD356" s="33" t="n">
        <v>0</v>
      </c>
      <c r="AF356" s="21" t="n">
        <f aca="false">IF($J356=0,0,MAX(0,NETWORKDAYS(MAX($K356,AF$4),MIN($L356,EOMONTH(AF$4,0)),Assumptions!$F$4:$F$44))/NETWORKDAYS($K356,$L356,Assumptions!$F$4:$F$44))</f>
        <v>0</v>
      </c>
      <c r="AG356" s="21" t="n">
        <f aca="false">IF($J356=0,0,MAX(0,NETWORKDAYS(MAX($K356,AG$4),MIN($L356,EOMONTH(AG$4,0)),Assumptions!$F$4:$F$44))/NETWORKDAYS($K356,$L356,Assumptions!$F$4:$F$44))</f>
        <v>0</v>
      </c>
      <c r="AH356" s="21" t="n">
        <f aca="false">IF($J356=0,0,MAX(0,NETWORKDAYS(MAX($K356,AH$4),MIN($L356,EOMONTH(AH$4,0)),Assumptions!$F$4:$F$44))/NETWORKDAYS($K356,$L356,Assumptions!$F$4:$F$44))</f>
        <v>0</v>
      </c>
      <c r="AI356" s="21" t="n">
        <f aca="false">IF($J356=0,0,MAX(0,NETWORKDAYS(MAX($K356,AI$4),MIN($L356,EOMONTH(AI$4,0)),Assumptions!$F$4:$F$44))/NETWORKDAYS($K356,$L356,Assumptions!$F$4:$F$44))</f>
        <v>0</v>
      </c>
      <c r="AJ356" s="21" t="n">
        <f aca="false">IF($J356=0,0,MAX(0,NETWORKDAYS(MAX($K356,AJ$4),MIN($L356,EOMONTH(AJ$4,0)),Assumptions!$F$4:$F$44))/NETWORKDAYS($K356,$L356,Assumptions!$F$4:$F$44))</f>
        <v>0</v>
      </c>
      <c r="AK356" s="21" t="n">
        <f aca="false">IF($J356=0,0,MAX(0,NETWORKDAYS(MAX($K356,AK$4),MIN($L356,EOMONTH(AK$4,0)),Assumptions!$F$4:$F$44))/NETWORKDAYS($K356,$L356,Assumptions!$F$4:$F$44))</f>
        <v>0</v>
      </c>
      <c r="AL356" s="21" t="n">
        <f aca="false">IF($J356=0,0,MAX(0,NETWORKDAYS(MAX($K356,AL$4),MIN($L356,EOMONTH(AL$4,0)),Assumptions!$F$4:$F$44))/NETWORKDAYS($K356,$L356,Assumptions!$F$4:$F$44))</f>
        <v>0</v>
      </c>
      <c r="AM356" s="21" t="n">
        <f aca="false">IF($J356=0,0,MAX(0,NETWORKDAYS(MAX($K356,AM$4),MIN($L356,EOMONTH(AM$4,0)),Assumptions!$F$4:$F$44))/NETWORKDAYS($K356,$L356,Assumptions!$F$4:$F$44))</f>
        <v>0</v>
      </c>
      <c r="AN356" s="21" t="n">
        <f aca="false">IF($J356=0,0,MAX(0,NETWORKDAYS(MAX($K356,AN$4),MIN($L356,EOMONTH(AN$4,0)),Assumptions!$F$4:$F$44))/NETWORKDAYS($K356,$L356,Assumptions!$F$4:$F$44))</f>
        <v>0</v>
      </c>
      <c r="AO356" s="21" t="n">
        <f aca="false">IF($J356=0,0,MAX(0,NETWORKDAYS(MAX($K356,AO$4),MIN($L356,EOMONTH(AO$4,0)),Assumptions!$F$4:$F$44))/NETWORKDAYS($K356,$L356,Assumptions!$F$4:$F$44))</f>
        <v>0</v>
      </c>
      <c r="AP356" s="21" t="n">
        <f aca="false">IF($J356=0,0,MAX(0,NETWORKDAYS(MAX($K356,AP$4),MIN($L356,EOMONTH(AP$4,0)),Assumptions!$F$4:$F$44))/NETWORKDAYS($K356,$L356,Assumptions!$F$4:$F$44))</f>
        <v>0</v>
      </c>
      <c r="AQ356" s="21" t="n">
        <f aca="false">IF($J356=0,0,MAX(0,NETWORKDAYS(MAX($K356,AQ$4),MIN($L356,EOMONTH(AQ$4,0)),Assumptions!$F$4:$F$44))/NETWORKDAYS($K356,$L356,Assumptions!$F$4:$F$44))</f>
        <v>0</v>
      </c>
      <c r="AR356" s="21" t="n">
        <f aca="false">IF($J356=0,0,MAX(0,NETWORKDAYS(MAX($K356,AR$4),MIN($L356,EOMONTH(AR$4,0)),Assumptions!$F$4:$F$44))/NETWORKDAYS($K356,$L356,Assumptions!$F$4:$F$44))</f>
        <v>0.230769230769231</v>
      </c>
      <c r="AS356" s="21" t="n">
        <f aca="false">IF($J356=0,0,MAX(0,NETWORKDAYS(MAX($K356,AS$4),MIN($L356,EOMONTH(AS$4,0)),Assumptions!$F$4:$F$44))/NETWORKDAYS($K356,$L356,Assumptions!$F$4:$F$44))</f>
        <v>0.769230769230769</v>
      </c>
      <c r="AT356" s="21" t="n">
        <f aca="false">IF($J356=0,0,MAX(0,NETWORKDAYS(MAX($K356,AT$4),MIN($L356,EOMONTH(AT$4,0)),Assumptions!$F$4:$F$44))/NETWORKDAYS($K356,$L356,Assumptions!$F$4:$F$44))</f>
        <v>0</v>
      </c>
      <c r="AU356" s="21" t="n">
        <f aca="false">IF($J356=0,0,MAX(0,NETWORKDAYS(MAX($K356,AU$4),MIN($L356,EOMONTH(AU$4,0)),Assumptions!$F$4:$F$44))/NETWORKDAYS($K356,$L356,Assumptions!$F$4:$F$44))</f>
        <v>0</v>
      </c>
      <c r="AV356" s="21" t="n">
        <f aca="false">IF($J356=0,0,MAX(0,NETWORKDAYS(MAX($K356,AV$4),MIN($L356,EOMONTH(AV$4,0)),Assumptions!$F$4:$F$44))/NETWORKDAYS($K356,$L356,Assumptions!$F$4:$F$44))</f>
        <v>0</v>
      </c>
      <c r="AW356" s="21" t="n">
        <f aca="false">IF($J356=0,0,MAX(0,NETWORKDAYS(MAX($K356,AW$4),MIN($L356,EOMONTH(AW$4,0)),Assumptions!$F$4:$F$44))/NETWORKDAYS($K356,$L356,Assumptions!$F$4:$F$44))</f>
        <v>0</v>
      </c>
      <c r="AX356" s="21" t="n">
        <f aca="false">IF($J356=0,0,MAX(0,NETWORKDAYS(MAX($K356,AX$4),MIN($L356,EOMONTH(AX$4,0)),Assumptions!$F$4:$F$44))/NETWORKDAYS($K356,$L356,Assumptions!$F$4:$F$44))</f>
        <v>0</v>
      </c>
      <c r="AY356" s="21" t="n">
        <f aca="false">IF($J356=0,0,MAX(0,NETWORKDAYS(MAX($K356,AY$4),MIN($L356,EOMONTH(AY$4,0)),Assumptions!$F$4:$F$44))/NETWORKDAYS($K356,$L356,Assumptions!$F$4:$F$44))</f>
        <v>0</v>
      </c>
      <c r="AZ356" s="21" t="n">
        <f aca="false">IF($J356=0,0,MAX(0,NETWORKDAYS(MAX($K356,AZ$4),MIN($L356,EOMONTH(AZ$4,0)),Assumptions!$F$4:$F$44))/NETWORKDAYS($K356,$L356,Assumptions!$F$4:$F$44))</f>
        <v>0</v>
      </c>
      <c r="BA356" s="21" t="n">
        <f aca="false">IF($J356=0,0,MAX(0,NETWORKDAYS(MAX($K356,BA$4),MIN($L356,EOMONTH(BA$4,0)),Assumptions!$F$4:$F$44))/NETWORKDAYS($K356,$L356,Assumptions!$F$4:$F$44))</f>
        <v>0</v>
      </c>
      <c r="BB356" s="21" t="n">
        <f aca="false">IF($J356=0,0,MAX(0,NETWORKDAYS(MAX($K356,BB$4),MIN($L356,EOMONTH(BB$4,0)),Assumptions!$F$4:$F$44))/NETWORKDAYS($K356,$L356,Assumptions!$F$4:$F$44))</f>
        <v>0</v>
      </c>
      <c r="BC356" s="21" t="n">
        <f aca="false">IF($J356=0,0,MAX(0,NETWORKDAYS(MAX($K356,BC$4),MIN($L356,EOMONTH(BC$4,0)),Assumptions!$F$4:$F$44))/NETWORKDAYS($K356,$L356,Assumptions!$F$4:$F$44))</f>
        <v>0</v>
      </c>
    </row>
    <row r="357" customFormat="false" ht="15" hidden="false" customHeight="false" outlineLevel="2" collapsed="false">
      <c r="A357" s="27" t="n">
        <v>353</v>
      </c>
      <c r="B357" s="27" t="s">
        <v>770</v>
      </c>
      <c r="C357" s="27" t="n">
        <v>3</v>
      </c>
      <c r="D357" s="27" t="s">
        <v>92</v>
      </c>
      <c r="E357" s="28" t="s">
        <v>347</v>
      </c>
      <c r="F357" s="27" t="s">
        <v>681</v>
      </c>
      <c r="G357" s="27" t="s">
        <v>747</v>
      </c>
      <c r="H357" s="27" t="s">
        <v>61</v>
      </c>
      <c r="I357" s="29" t="n">
        <v>282</v>
      </c>
      <c r="J357" s="29" t="n">
        <v>13</v>
      </c>
      <c r="K357" s="30" t="n">
        <f aca="false">WORKDAY(Assumptions!$C$4,I357,Assumptions!$F$4:$F$44)</f>
        <v>46722</v>
      </c>
      <c r="L357" s="30" t="n">
        <f aca="false">IF(J357=0,K357,WORKDAY(K357,J357-1,Assumptions!$F$4:$F$44))</f>
        <v>46738</v>
      </c>
      <c r="M357" s="29" t="s">
        <v>771</v>
      </c>
      <c r="N357" s="31" t="n">
        <v>0</v>
      </c>
      <c r="O357" s="31" t="n">
        <v>1</v>
      </c>
      <c r="P357" s="31" t="n">
        <v>0</v>
      </c>
      <c r="Q357" s="31" t="n">
        <v>0</v>
      </c>
      <c r="R357" s="31" t="n">
        <v>0</v>
      </c>
      <c r="S357" s="31" t="n">
        <v>0</v>
      </c>
      <c r="T357" s="31" t="n">
        <v>0</v>
      </c>
      <c r="U357" s="31" t="n">
        <v>0</v>
      </c>
      <c r="V357" s="31" t="n">
        <v>0</v>
      </c>
      <c r="W357" s="31" t="n">
        <v>0</v>
      </c>
      <c r="X357" s="31" t="n">
        <v>4</v>
      </c>
      <c r="Y357" s="32" t="n">
        <f aca="false">SUM(N357:X357)</f>
        <v>5</v>
      </c>
      <c r="Z357" s="32" t="n">
        <f aca="false">Y357*(1+Assumptions!$C$5)</f>
        <v>5.75</v>
      </c>
      <c r="AA357" s="27" t="s">
        <v>349</v>
      </c>
      <c r="AB357" s="27" t="s">
        <v>95</v>
      </c>
      <c r="AC357" s="27"/>
      <c r="AD357" s="33" t="n">
        <v>0</v>
      </c>
      <c r="AF357" s="21" t="n">
        <f aca="false">IF($J357=0,0,MAX(0,NETWORKDAYS(MAX($K357,AF$4),MIN($L357,EOMONTH(AF$4,0)),Assumptions!$F$4:$F$44))/NETWORKDAYS($K357,$L357,Assumptions!$F$4:$F$44))</f>
        <v>0</v>
      </c>
      <c r="AG357" s="21" t="n">
        <f aca="false">IF($J357=0,0,MAX(0,NETWORKDAYS(MAX($K357,AG$4),MIN($L357,EOMONTH(AG$4,0)),Assumptions!$F$4:$F$44))/NETWORKDAYS($K357,$L357,Assumptions!$F$4:$F$44))</f>
        <v>0</v>
      </c>
      <c r="AH357" s="21" t="n">
        <f aca="false">IF($J357=0,0,MAX(0,NETWORKDAYS(MAX($K357,AH$4),MIN($L357,EOMONTH(AH$4,0)),Assumptions!$F$4:$F$44))/NETWORKDAYS($K357,$L357,Assumptions!$F$4:$F$44))</f>
        <v>0</v>
      </c>
      <c r="AI357" s="21" t="n">
        <f aca="false">IF($J357=0,0,MAX(0,NETWORKDAYS(MAX($K357,AI$4),MIN($L357,EOMONTH(AI$4,0)),Assumptions!$F$4:$F$44))/NETWORKDAYS($K357,$L357,Assumptions!$F$4:$F$44))</f>
        <v>0</v>
      </c>
      <c r="AJ357" s="21" t="n">
        <f aca="false">IF($J357=0,0,MAX(0,NETWORKDAYS(MAX($K357,AJ$4),MIN($L357,EOMONTH(AJ$4,0)),Assumptions!$F$4:$F$44))/NETWORKDAYS($K357,$L357,Assumptions!$F$4:$F$44))</f>
        <v>0</v>
      </c>
      <c r="AK357" s="21" t="n">
        <f aca="false">IF($J357=0,0,MAX(0,NETWORKDAYS(MAX($K357,AK$4),MIN($L357,EOMONTH(AK$4,0)),Assumptions!$F$4:$F$44))/NETWORKDAYS($K357,$L357,Assumptions!$F$4:$F$44))</f>
        <v>0</v>
      </c>
      <c r="AL357" s="21" t="n">
        <f aca="false">IF($J357=0,0,MAX(0,NETWORKDAYS(MAX($K357,AL$4),MIN($L357,EOMONTH(AL$4,0)),Assumptions!$F$4:$F$44))/NETWORKDAYS($K357,$L357,Assumptions!$F$4:$F$44))</f>
        <v>0</v>
      </c>
      <c r="AM357" s="21" t="n">
        <f aca="false">IF($J357=0,0,MAX(0,NETWORKDAYS(MAX($K357,AM$4),MIN($L357,EOMONTH(AM$4,0)),Assumptions!$F$4:$F$44))/NETWORKDAYS($K357,$L357,Assumptions!$F$4:$F$44))</f>
        <v>0</v>
      </c>
      <c r="AN357" s="21" t="n">
        <f aca="false">IF($J357=0,0,MAX(0,NETWORKDAYS(MAX($K357,AN$4),MIN($L357,EOMONTH(AN$4,0)),Assumptions!$F$4:$F$44))/NETWORKDAYS($K357,$L357,Assumptions!$F$4:$F$44))</f>
        <v>0</v>
      </c>
      <c r="AO357" s="21" t="n">
        <f aca="false">IF($J357=0,0,MAX(0,NETWORKDAYS(MAX($K357,AO$4),MIN($L357,EOMONTH(AO$4,0)),Assumptions!$F$4:$F$44))/NETWORKDAYS($K357,$L357,Assumptions!$F$4:$F$44))</f>
        <v>0</v>
      </c>
      <c r="AP357" s="21" t="n">
        <f aca="false">IF($J357=0,0,MAX(0,NETWORKDAYS(MAX($K357,AP$4),MIN($L357,EOMONTH(AP$4,0)),Assumptions!$F$4:$F$44))/NETWORKDAYS($K357,$L357,Assumptions!$F$4:$F$44))</f>
        <v>0</v>
      </c>
      <c r="AQ357" s="21" t="n">
        <f aca="false">IF($J357=0,0,MAX(0,NETWORKDAYS(MAX($K357,AQ$4),MIN($L357,EOMONTH(AQ$4,0)),Assumptions!$F$4:$F$44))/NETWORKDAYS($K357,$L357,Assumptions!$F$4:$F$44))</f>
        <v>0</v>
      </c>
      <c r="AR357" s="21" t="n">
        <f aca="false">IF($J357=0,0,MAX(0,NETWORKDAYS(MAX($K357,AR$4),MIN($L357,EOMONTH(AR$4,0)),Assumptions!$F$4:$F$44))/NETWORKDAYS($K357,$L357,Assumptions!$F$4:$F$44))</f>
        <v>0</v>
      </c>
      <c r="AS357" s="21" t="n">
        <f aca="false">IF($J357=0,0,MAX(0,NETWORKDAYS(MAX($K357,AS$4),MIN($L357,EOMONTH(AS$4,0)),Assumptions!$F$4:$F$44))/NETWORKDAYS($K357,$L357,Assumptions!$F$4:$F$44))</f>
        <v>1</v>
      </c>
      <c r="AT357" s="21" t="n">
        <f aca="false">IF($J357=0,0,MAX(0,NETWORKDAYS(MAX($K357,AT$4),MIN($L357,EOMONTH(AT$4,0)),Assumptions!$F$4:$F$44))/NETWORKDAYS($K357,$L357,Assumptions!$F$4:$F$44))</f>
        <v>0</v>
      </c>
      <c r="AU357" s="21" t="n">
        <f aca="false">IF($J357=0,0,MAX(0,NETWORKDAYS(MAX($K357,AU$4),MIN($L357,EOMONTH(AU$4,0)),Assumptions!$F$4:$F$44))/NETWORKDAYS($K357,$L357,Assumptions!$F$4:$F$44))</f>
        <v>0</v>
      </c>
      <c r="AV357" s="21" t="n">
        <f aca="false">IF($J357=0,0,MAX(0,NETWORKDAYS(MAX($K357,AV$4),MIN($L357,EOMONTH(AV$4,0)),Assumptions!$F$4:$F$44))/NETWORKDAYS($K357,$L357,Assumptions!$F$4:$F$44))</f>
        <v>0</v>
      </c>
      <c r="AW357" s="21" t="n">
        <f aca="false">IF($J357=0,0,MAX(0,NETWORKDAYS(MAX($K357,AW$4),MIN($L357,EOMONTH(AW$4,0)),Assumptions!$F$4:$F$44))/NETWORKDAYS($K357,$L357,Assumptions!$F$4:$F$44))</f>
        <v>0</v>
      </c>
      <c r="AX357" s="21" t="n">
        <f aca="false">IF($J357=0,0,MAX(0,NETWORKDAYS(MAX($K357,AX$4),MIN($L357,EOMONTH(AX$4,0)),Assumptions!$F$4:$F$44))/NETWORKDAYS($K357,$L357,Assumptions!$F$4:$F$44))</f>
        <v>0</v>
      </c>
      <c r="AY357" s="21" t="n">
        <f aca="false">IF($J357=0,0,MAX(0,NETWORKDAYS(MAX($K357,AY$4),MIN($L357,EOMONTH(AY$4,0)),Assumptions!$F$4:$F$44))/NETWORKDAYS($K357,$L357,Assumptions!$F$4:$F$44))</f>
        <v>0</v>
      </c>
      <c r="AZ357" s="21" t="n">
        <f aca="false">IF($J357=0,0,MAX(0,NETWORKDAYS(MAX($K357,AZ$4),MIN($L357,EOMONTH(AZ$4,0)),Assumptions!$F$4:$F$44))/NETWORKDAYS($K357,$L357,Assumptions!$F$4:$F$44))</f>
        <v>0</v>
      </c>
      <c r="BA357" s="21" t="n">
        <f aca="false">IF($J357=0,0,MAX(0,NETWORKDAYS(MAX($K357,BA$4),MIN($L357,EOMONTH(BA$4,0)),Assumptions!$F$4:$F$44))/NETWORKDAYS($K357,$L357,Assumptions!$F$4:$F$44))</f>
        <v>0</v>
      </c>
      <c r="BB357" s="21" t="n">
        <f aca="false">IF($J357=0,0,MAX(0,NETWORKDAYS(MAX($K357,BB$4),MIN($L357,EOMONTH(BB$4,0)),Assumptions!$F$4:$F$44))/NETWORKDAYS($K357,$L357,Assumptions!$F$4:$F$44))</f>
        <v>0</v>
      </c>
      <c r="BC357" s="21" t="n">
        <f aca="false">IF($J357=0,0,MAX(0,NETWORKDAYS(MAX($K357,BC$4),MIN($L357,EOMONTH(BC$4,0)),Assumptions!$F$4:$F$44))/NETWORKDAYS($K357,$L357,Assumptions!$F$4:$F$44))</f>
        <v>0</v>
      </c>
    </row>
    <row r="358" customFormat="false" ht="15" hidden="false" customHeight="false" outlineLevel="1" collapsed="false">
      <c r="A358" s="22" t="n">
        <v>354</v>
      </c>
      <c r="B358" s="22" t="s">
        <v>772</v>
      </c>
      <c r="C358" s="22" t="n">
        <v>2</v>
      </c>
      <c r="D358" s="22" t="s">
        <v>89</v>
      </c>
      <c r="E358" s="23" t="s">
        <v>773</v>
      </c>
      <c r="F358" s="22" t="s">
        <v>681</v>
      </c>
      <c r="G358" s="22" t="s">
        <v>774</v>
      </c>
      <c r="H358" s="22"/>
      <c r="I358" s="22"/>
      <c r="J358" s="22" t="n">
        <f aca="false">NETWORKDAYS(K358,L358,Assumptions!$F$4:$F$44)</f>
        <v>119</v>
      </c>
      <c r="K358" s="24" t="n">
        <f aca="false">MIN(K359:K373)</f>
        <v>46574</v>
      </c>
      <c r="L358" s="24" t="n">
        <f aca="false">MAX(L359:L373)</f>
        <v>46738</v>
      </c>
      <c r="M358" s="22"/>
      <c r="N358" s="25" t="n">
        <f aca="false">SUMPRODUCT(($C$359:$C$373=3)*(N359:N373))</f>
        <v>1</v>
      </c>
      <c r="O358" s="25" t="n">
        <f aca="false">SUMPRODUCT(($C$359:$C$373=3)*(O359:O373))</f>
        <v>21</v>
      </c>
      <c r="P358" s="25" t="n">
        <f aca="false">SUMPRODUCT(($C$359:$C$373=3)*(P359:P373))</f>
        <v>6</v>
      </c>
      <c r="Q358" s="25" t="n">
        <f aca="false">SUMPRODUCT(($C$359:$C$373=3)*(Q359:Q373))</f>
        <v>60</v>
      </c>
      <c r="R358" s="25" t="n">
        <f aca="false">SUMPRODUCT(($C$359:$C$373=3)*(R359:R373))</f>
        <v>46</v>
      </c>
      <c r="S358" s="25" t="n">
        <f aca="false">SUMPRODUCT(($C$359:$C$373=3)*(S359:S373))</f>
        <v>16</v>
      </c>
      <c r="T358" s="25" t="n">
        <f aca="false">SUMPRODUCT(($C$359:$C$373=3)*(T359:T373))</f>
        <v>9</v>
      </c>
      <c r="U358" s="25" t="n">
        <f aca="false">SUMPRODUCT(($C$359:$C$373=3)*(U359:U373))</f>
        <v>0</v>
      </c>
      <c r="V358" s="25" t="n">
        <f aca="false">SUMPRODUCT(($C$359:$C$373=3)*(V359:V373))</f>
        <v>26</v>
      </c>
      <c r="W358" s="25" t="n">
        <f aca="false">SUMPRODUCT(($C$359:$C$373=3)*(W359:W373))</f>
        <v>0</v>
      </c>
      <c r="X358" s="25" t="n">
        <f aca="false">SUMPRODUCT(($C$359:$C$373=3)*(X359:X373))</f>
        <v>5</v>
      </c>
      <c r="Y358" s="25" t="n">
        <f aca="false">SUM(N358:X358)</f>
        <v>190</v>
      </c>
      <c r="Z358" s="25" t="n">
        <f aca="false">Y358*(1+Assumptions!$C$5)</f>
        <v>218.5</v>
      </c>
      <c r="AA358" s="22" t="s">
        <v>775</v>
      </c>
      <c r="AB358" s="22"/>
      <c r="AC358" s="22"/>
      <c r="AD358" s="26"/>
      <c r="AF358" s="21" t="n">
        <v>0</v>
      </c>
      <c r="AG358" s="21" t="n">
        <v>0</v>
      </c>
      <c r="AH358" s="21" t="n">
        <v>0</v>
      </c>
      <c r="AI358" s="21" t="n">
        <v>0</v>
      </c>
      <c r="AJ358" s="21" t="n">
        <v>0</v>
      </c>
      <c r="AK358" s="21" t="n">
        <v>0</v>
      </c>
      <c r="AL358" s="21" t="n">
        <v>0</v>
      </c>
      <c r="AM358" s="21" t="n">
        <v>0</v>
      </c>
      <c r="AN358" s="21" t="n">
        <v>0</v>
      </c>
      <c r="AO358" s="21" t="n">
        <v>0</v>
      </c>
      <c r="AP358" s="21" t="n">
        <v>0</v>
      </c>
      <c r="AQ358" s="21" t="n">
        <v>0</v>
      </c>
      <c r="AR358" s="21" t="n">
        <v>0</v>
      </c>
      <c r="AS358" s="21" t="n">
        <v>0</v>
      </c>
      <c r="AT358" s="21" t="n">
        <v>0</v>
      </c>
      <c r="AU358" s="21" t="n">
        <v>0</v>
      </c>
      <c r="AV358" s="21" t="n">
        <v>0</v>
      </c>
      <c r="AW358" s="21" t="n">
        <v>0</v>
      </c>
      <c r="AX358" s="21" t="n">
        <v>0</v>
      </c>
      <c r="AY358" s="21" t="n">
        <v>0</v>
      </c>
      <c r="AZ358" s="21" t="n">
        <v>0</v>
      </c>
      <c r="BA358" s="21" t="n">
        <v>0</v>
      </c>
      <c r="BB358" s="21" t="n">
        <v>0</v>
      </c>
      <c r="BC358" s="21" t="n">
        <v>0</v>
      </c>
    </row>
    <row r="359" customFormat="false" ht="15" hidden="false" customHeight="false" outlineLevel="2" collapsed="false">
      <c r="A359" s="27" t="n">
        <v>355</v>
      </c>
      <c r="B359" s="27" t="s">
        <v>776</v>
      </c>
      <c r="C359" s="27" t="n">
        <v>3</v>
      </c>
      <c r="D359" s="27" t="s">
        <v>92</v>
      </c>
      <c r="E359" s="28" t="s">
        <v>292</v>
      </c>
      <c r="F359" s="27" t="s">
        <v>681</v>
      </c>
      <c r="G359" s="27" t="s">
        <v>774</v>
      </c>
      <c r="H359" s="27" t="s">
        <v>43</v>
      </c>
      <c r="I359" s="29" t="n">
        <v>176</v>
      </c>
      <c r="J359" s="29" t="n">
        <v>16</v>
      </c>
      <c r="K359" s="30" t="n">
        <f aca="false">WORKDAY(Assumptions!$C$4,I359,Assumptions!$F$4:$F$44)</f>
        <v>46574</v>
      </c>
      <c r="L359" s="30" t="n">
        <f aca="false">IF(J359=0,K359,WORKDAY(K359,J359-1,Assumptions!$F$4:$F$44))</f>
        <v>46595</v>
      </c>
      <c r="M359" s="29" t="s">
        <v>695</v>
      </c>
      <c r="N359" s="31" t="n">
        <v>1</v>
      </c>
      <c r="O359" s="31" t="n">
        <v>7</v>
      </c>
      <c r="P359" s="31" t="n">
        <v>2</v>
      </c>
      <c r="Q359" s="31" t="n">
        <v>0</v>
      </c>
      <c r="R359" s="31" t="n">
        <v>0</v>
      </c>
      <c r="S359" s="31" t="n">
        <v>0</v>
      </c>
      <c r="T359" s="31" t="n">
        <v>0</v>
      </c>
      <c r="U359" s="31" t="n">
        <v>0</v>
      </c>
      <c r="V359" s="31" t="n">
        <v>0</v>
      </c>
      <c r="W359" s="31" t="n">
        <v>0</v>
      </c>
      <c r="X359" s="31" t="n">
        <v>0</v>
      </c>
      <c r="Y359" s="32" t="n">
        <f aca="false">SUM(N359:X359)</f>
        <v>10</v>
      </c>
      <c r="Z359" s="32" t="n">
        <f aca="false">Y359*(1+Assumptions!$C$5)</f>
        <v>11.5</v>
      </c>
      <c r="AA359" s="27" t="s">
        <v>294</v>
      </c>
      <c r="AB359" s="27" t="s">
        <v>95</v>
      </c>
      <c r="AC359" s="27"/>
      <c r="AD359" s="33" t="n">
        <v>0</v>
      </c>
      <c r="AF359" s="21" t="n">
        <f aca="false">IF($J359=0,0,MAX(0,NETWORKDAYS(MAX($K359,AF$4),MIN($L359,EOMONTH(AF$4,0)),Assumptions!$F$4:$F$44))/NETWORKDAYS($K359,$L359,Assumptions!$F$4:$F$44))</f>
        <v>0</v>
      </c>
      <c r="AG359" s="21" t="n">
        <f aca="false">IF($J359=0,0,MAX(0,NETWORKDAYS(MAX($K359,AG$4),MIN($L359,EOMONTH(AG$4,0)),Assumptions!$F$4:$F$44))/NETWORKDAYS($K359,$L359,Assumptions!$F$4:$F$44))</f>
        <v>0</v>
      </c>
      <c r="AH359" s="21" t="n">
        <f aca="false">IF($J359=0,0,MAX(0,NETWORKDAYS(MAX($K359,AH$4),MIN($L359,EOMONTH(AH$4,0)),Assumptions!$F$4:$F$44))/NETWORKDAYS($K359,$L359,Assumptions!$F$4:$F$44))</f>
        <v>0</v>
      </c>
      <c r="AI359" s="21" t="n">
        <f aca="false">IF($J359=0,0,MAX(0,NETWORKDAYS(MAX($K359,AI$4),MIN($L359,EOMONTH(AI$4,0)),Assumptions!$F$4:$F$44))/NETWORKDAYS($K359,$L359,Assumptions!$F$4:$F$44))</f>
        <v>0</v>
      </c>
      <c r="AJ359" s="21" t="n">
        <f aca="false">IF($J359=0,0,MAX(0,NETWORKDAYS(MAX($K359,AJ$4),MIN($L359,EOMONTH(AJ$4,0)),Assumptions!$F$4:$F$44))/NETWORKDAYS($K359,$L359,Assumptions!$F$4:$F$44))</f>
        <v>0</v>
      </c>
      <c r="AK359" s="21" t="n">
        <f aca="false">IF($J359=0,0,MAX(0,NETWORKDAYS(MAX($K359,AK$4),MIN($L359,EOMONTH(AK$4,0)),Assumptions!$F$4:$F$44))/NETWORKDAYS($K359,$L359,Assumptions!$F$4:$F$44))</f>
        <v>0</v>
      </c>
      <c r="AL359" s="21" t="n">
        <f aca="false">IF($J359=0,0,MAX(0,NETWORKDAYS(MAX($K359,AL$4),MIN($L359,EOMONTH(AL$4,0)),Assumptions!$F$4:$F$44))/NETWORKDAYS($K359,$L359,Assumptions!$F$4:$F$44))</f>
        <v>0</v>
      </c>
      <c r="AM359" s="21" t="n">
        <f aca="false">IF($J359=0,0,MAX(0,NETWORKDAYS(MAX($K359,AM$4),MIN($L359,EOMONTH(AM$4,0)),Assumptions!$F$4:$F$44))/NETWORKDAYS($K359,$L359,Assumptions!$F$4:$F$44))</f>
        <v>0</v>
      </c>
      <c r="AN359" s="21" t="n">
        <f aca="false">IF($J359=0,0,MAX(0,NETWORKDAYS(MAX($K359,AN$4),MIN($L359,EOMONTH(AN$4,0)),Assumptions!$F$4:$F$44))/NETWORKDAYS($K359,$L359,Assumptions!$F$4:$F$44))</f>
        <v>1</v>
      </c>
      <c r="AO359" s="21" t="n">
        <f aca="false">IF($J359=0,0,MAX(0,NETWORKDAYS(MAX($K359,AO$4),MIN($L359,EOMONTH(AO$4,0)),Assumptions!$F$4:$F$44))/NETWORKDAYS($K359,$L359,Assumptions!$F$4:$F$44))</f>
        <v>0</v>
      </c>
      <c r="AP359" s="21" t="n">
        <f aca="false">IF($J359=0,0,MAX(0,NETWORKDAYS(MAX($K359,AP$4),MIN($L359,EOMONTH(AP$4,0)),Assumptions!$F$4:$F$44))/NETWORKDAYS($K359,$L359,Assumptions!$F$4:$F$44))</f>
        <v>0</v>
      </c>
      <c r="AQ359" s="21" t="n">
        <f aca="false">IF($J359=0,0,MAX(0,NETWORKDAYS(MAX($K359,AQ$4),MIN($L359,EOMONTH(AQ$4,0)),Assumptions!$F$4:$F$44))/NETWORKDAYS($K359,$L359,Assumptions!$F$4:$F$44))</f>
        <v>0</v>
      </c>
      <c r="AR359" s="21" t="n">
        <f aca="false">IF($J359=0,0,MAX(0,NETWORKDAYS(MAX($K359,AR$4),MIN($L359,EOMONTH(AR$4,0)),Assumptions!$F$4:$F$44))/NETWORKDAYS($K359,$L359,Assumptions!$F$4:$F$44))</f>
        <v>0</v>
      </c>
      <c r="AS359" s="21" t="n">
        <f aca="false">IF($J359=0,0,MAX(0,NETWORKDAYS(MAX($K359,AS$4),MIN($L359,EOMONTH(AS$4,0)),Assumptions!$F$4:$F$44))/NETWORKDAYS($K359,$L359,Assumptions!$F$4:$F$44))</f>
        <v>0</v>
      </c>
      <c r="AT359" s="21" t="n">
        <f aca="false">IF($J359=0,0,MAX(0,NETWORKDAYS(MAX($K359,AT$4),MIN($L359,EOMONTH(AT$4,0)),Assumptions!$F$4:$F$44))/NETWORKDAYS($K359,$L359,Assumptions!$F$4:$F$44))</f>
        <v>0</v>
      </c>
      <c r="AU359" s="21" t="n">
        <f aca="false">IF($J359=0,0,MAX(0,NETWORKDAYS(MAX($K359,AU$4),MIN($L359,EOMONTH(AU$4,0)),Assumptions!$F$4:$F$44))/NETWORKDAYS($K359,$L359,Assumptions!$F$4:$F$44))</f>
        <v>0</v>
      </c>
      <c r="AV359" s="21" t="n">
        <f aca="false">IF($J359=0,0,MAX(0,NETWORKDAYS(MAX($K359,AV$4),MIN($L359,EOMONTH(AV$4,0)),Assumptions!$F$4:$F$44))/NETWORKDAYS($K359,$L359,Assumptions!$F$4:$F$44))</f>
        <v>0</v>
      </c>
      <c r="AW359" s="21" t="n">
        <f aca="false">IF($J359=0,0,MAX(0,NETWORKDAYS(MAX($K359,AW$4),MIN($L359,EOMONTH(AW$4,0)),Assumptions!$F$4:$F$44))/NETWORKDAYS($K359,$L359,Assumptions!$F$4:$F$44))</f>
        <v>0</v>
      </c>
      <c r="AX359" s="21" t="n">
        <f aca="false">IF($J359=0,0,MAX(0,NETWORKDAYS(MAX($K359,AX$4),MIN($L359,EOMONTH(AX$4,0)),Assumptions!$F$4:$F$44))/NETWORKDAYS($K359,$L359,Assumptions!$F$4:$F$44))</f>
        <v>0</v>
      </c>
      <c r="AY359" s="21" t="n">
        <f aca="false">IF($J359=0,0,MAX(0,NETWORKDAYS(MAX($K359,AY$4),MIN($L359,EOMONTH(AY$4,0)),Assumptions!$F$4:$F$44))/NETWORKDAYS($K359,$L359,Assumptions!$F$4:$F$44))</f>
        <v>0</v>
      </c>
      <c r="AZ359" s="21" t="n">
        <f aca="false">IF($J359=0,0,MAX(0,NETWORKDAYS(MAX($K359,AZ$4),MIN($L359,EOMONTH(AZ$4,0)),Assumptions!$F$4:$F$44))/NETWORKDAYS($K359,$L359,Assumptions!$F$4:$F$44))</f>
        <v>0</v>
      </c>
      <c r="BA359" s="21" t="n">
        <f aca="false">IF($J359=0,0,MAX(0,NETWORKDAYS(MAX($K359,BA$4),MIN($L359,EOMONTH(BA$4,0)),Assumptions!$F$4:$F$44))/NETWORKDAYS($K359,$L359,Assumptions!$F$4:$F$44))</f>
        <v>0</v>
      </c>
      <c r="BB359" s="21" t="n">
        <f aca="false">IF($J359=0,0,MAX(0,NETWORKDAYS(MAX($K359,BB$4),MIN($L359,EOMONTH(BB$4,0)),Assumptions!$F$4:$F$44))/NETWORKDAYS($K359,$L359,Assumptions!$F$4:$F$44))</f>
        <v>0</v>
      </c>
      <c r="BC359" s="21" t="n">
        <f aca="false">IF($J359=0,0,MAX(0,NETWORKDAYS(MAX($K359,BC$4),MIN($L359,EOMONTH(BC$4,0)),Assumptions!$F$4:$F$44))/NETWORKDAYS($K359,$L359,Assumptions!$F$4:$F$44))</f>
        <v>0</v>
      </c>
    </row>
    <row r="360" customFormat="false" ht="15" hidden="false" customHeight="false" outlineLevel="2" collapsed="false">
      <c r="A360" s="27" t="n">
        <v>356</v>
      </c>
      <c r="B360" s="27" t="s">
        <v>777</v>
      </c>
      <c r="C360" s="27" t="n">
        <v>3</v>
      </c>
      <c r="D360" s="27" t="s">
        <v>92</v>
      </c>
      <c r="E360" s="28" t="s">
        <v>296</v>
      </c>
      <c r="F360" s="27" t="s">
        <v>681</v>
      </c>
      <c r="G360" s="27" t="s">
        <v>774</v>
      </c>
      <c r="H360" s="27" t="s">
        <v>45</v>
      </c>
      <c r="I360" s="29" t="n">
        <v>187</v>
      </c>
      <c r="J360" s="29" t="n">
        <v>16</v>
      </c>
      <c r="K360" s="30" t="n">
        <f aca="false">WORKDAY(Assumptions!$C$4,I360,Assumptions!$F$4:$F$44)</f>
        <v>46589</v>
      </c>
      <c r="L360" s="30" t="n">
        <f aca="false">IF(J360=0,K360,WORKDAY(K360,J360-1,Assumptions!$F$4:$F$44))</f>
        <v>46610</v>
      </c>
      <c r="M360" s="29" t="s">
        <v>778</v>
      </c>
      <c r="N360" s="31" t="n">
        <v>0</v>
      </c>
      <c r="O360" s="31" t="n">
        <v>0</v>
      </c>
      <c r="P360" s="31" t="n">
        <v>4</v>
      </c>
      <c r="Q360" s="31" t="n">
        <v>4</v>
      </c>
      <c r="R360" s="31" t="n">
        <v>0</v>
      </c>
      <c r="S360" s="31" t="n">
        <v>0</v>
      </c>
      <c r="T360" s="31" t="n">
        <v>0</v>
      </c>
      <c r="U360" s="31" t="n">
        <v>0</v>
      </c>
      <c r="V360" s="31" t="n">
        <v>0</v>
      </c>
      <c r="W360" s="31" t="n">
        <v>0</v>
      </c>
      <c r="X360" s="31" t="n">
        <v>0</v>
      </c>
      <c r="Y360" s="32" t="n">
        <f aca="false">SUM(N360:X360)</f>
        <v>8</v>
      </c>
      <c r="Z360" s="32" t="n">
        <f aca="false">Y360*(1+Assumptions!$C$5)</f>
        <v>9.2</v>
      </c>
      <c r="AA360" s="27" t="s">
        <v>298</v>
      </c>
      <c r="AB360" s="27" t="s">
        <v>95</v>
      </c>
      <c r="AC360" s="27"/>
      <c r="AD360" s="33" t="n">
        <v>0</v>
      </c>
      <c r="AF360" s="21" t="n">
        <f aca="false">IF($J360=0,0,MAX(0,NETWORKDAYS(MAX($K360,AF$4),MIN($L360,EOMONTH(AF$4,0)),Assumptions!$F$4:$F$44))/NETWORKDAYS($K360,$L360,Assumptions!$F$4:$F$44))</f>
        <v>0</v>
      </c>
      <c r="AG360" s="21" t="n">
        <f aca="false">IF($J360=0,0,MAX(0,NETWORKDAYS(MAX($K360,AG$4),MIN($L360,EOMONTH(AG$4,0)),Assumptions!$F$4:$F$44))/NETWORKDAYS($K360,$L360,Assumptions!$F$4:$F$44))</f>
        <v>0</v>
      </c>
      <c r="AH360" s="21" t="n">
        <f aca="false">IF($J360=0,0,MAX(0,NETWORKDAYS(MAX($K360,AH$4),MIN($L360,EOMONTH(AH$4,0)),Assumptions!$F$4:$F$44))/NETWORKDAYS($K360,$L360,Assumptions!$F$4:$F$44))</f>
        <v>0</v>
      </c>
      <c r="AI360" s="21" t="n">
        <f aca="false">IF($J360=0,0,MAX(0,NETWORKDAYS(MAX($K360,AI$4),MIN($L360,EOMONTH(AI$4,0)),Assumptions!$F$4:$F$44))/NETWORKDAYS($K360,$L360,Assumptions!$F$4:$F$44))</f>
        <v>0</v>
      </c>
      <c r="AJ360" s="21" t="n">
        <f aca="false">IF($J360=0,0,MAX(0,NETWORKDAYS(MAX($K360,AJ$4),MIN($L360,EOMONTH(AJ$4,0)),Assumptions!$F$4:$F$44))/NETWORKDAYS($K360,$L360,Assumptions!$F$4:$F$44))</f>
        <v>0</v>
      </c>
      <c r="AK360" s="21" t="n">
        <f aca="false">IF($J360=0,0,MAX(0,NETWORKDAYS(MAX($K360,AK$4),MIN($L360,EOMONTH(AK$4,0)),Assumptions!$F$4:$F$44))/NETWORKDAYS($K360,$L360,Assumptions!$F$4:$F$44))</f>
        <v>0</v>
      </c>
      <c r="AL360" s="21" t="n">
        <f aca="false">IF($J360=0,0,MAX(0,NETWORKDAYS(MAX($K360,AL$4),MIN($L360,EOMONTH(AL$4,0)),Assumptions!$F$4:$F$44))/NETWORKDAYS($K360,$L360,Assumptions!$F$4:$F$44))</f>
        <v>0</v>
      </c>
      <c r="AM360" s="21" t="n">
        <f aca="false">IF($J360=0,0,MAX(0,NETWORKDAYS(MAX($K360,AM$4),MIN($L360,EOMONTH(AM$4,0)),Assumptions!$F$4:$F$44))/NETWORKDAYS($K360,$L360,Assumptions!$F$4:$F$44))</f>
        <v>0</v>
      </c>
      <c r="AN360" s="21" t="n">
        <f aca="false">IF($J360=0,0,MAX(0,NETWORKDAYS(MAX($K360,AN$4),MIN($L360,EOMONTH(AN$4,0)),Assumptions!$F$4:$F$44))/NETWORKDAYS($K360,$L360,Assumptions!$F$4:$F$44))</f>
        <v>0.5</v>
      </c>
      <c r="AO360" s="21" t="n">
        <f aca="false">IF($J360=0,0,MAX(0,NETWORKDAYS(MAX($K360,AO$4),MIN($L360,EOMONTH(AO$4,0)),Assumptions!$F$4:$F$44))/NETWORKDAYS($K360,$L360,Assumptions!$F$4:$F$44))</f>
        <v>0.5</v>
      </c>
      <c r="AP360" s="21" t="n">
        <f aca="false">IF($J360=0,0,MAX(0,NETWORKDAYS(MAX($K360,AP$4),MIN($L360,EOMONTH(AP$4,0)),Assumptions!$F$4:$F$44))/NETWORKDAYS($K360,$L360,Assumptions!$F$4:$F$44))</f>
        <v>0</v>
      </c>
      <c r="AQ360" s="21" t="n">
        <f aca="false">IF($J360=0,0,MAX(0,NETWORKDAYS(MAX($K360,AQ$4),MIN($L360,EOMONTH(AQ$4,0)),Assumptions!$F$4:$F$44))/NETWORKDAYS($K360,$L360,Assumptions!$F$4:$F$44))</f>
        <v>0</v>
      </c>
      <c r="AR360" s="21" t="n">
        <f aca="false">IF($J360=0,0,MAX(0,NETWORKDAYS(MAX($K360,AR$4),MIN($L360,EOMONTH(AR$4,0)),Assumptions!$F$4:$F$44))/NETWORKDAYS($K360,$L360,Assumptions!$F$4:$F$44))</f>
        <v>0</v>
      </c>
      <c r="AS360" s="21" t="n">
        <f aca="false">IF($J360=0,0,MAX(0,NETWORKDAYS(MAX($K360,AS$4),MIN($L360,EOMONTH(AS$4,0)),Assumptions!$F$4:$F$44))/NETWORKDAYS($K360,$L360,Assumptions!$F$4:$F$44))</f>
        <v>0</v>
      </c>
      <c r="AT360" s="21" t="n">
        <f aca="false">IF($J360=0,0,MAX(0,NETWORKDAYS(MAX($K360,AT$4),MIN($L360,EOMONTH(AT$4,0)),Assumptions!$F$4:$F$44))/NETWORKDAYS($K360,$L360,Assumptions!$F$4:$F$44))</f>
        <v>0</v>
      </c>
      <c r="AU360" s="21" t="n">
        <f aca="false">IF($J360=0,0,MAX(0,NETWORKDAYS(MAX($K360,AU$4),MIN($L360,EOMONTH(AU$4,0)),Assumptions!$F$4:$F$44))/NETWORKDAYS($K360,$L360,Assumptions!$F$4:$F$44))</f>
        <v>0</v>
      </c>
      <c r="AV360" s="21" t="n">
        <f aca="false">IF($J360=0,0,MAX(0,NETWORKDAYS(MAX($K360,AV$4),MIN($L360,EOMONTH(AV$4,0)),Assumptions!$F$4:$F$44))/NETWORKDAYS($K360,$L360,Assumptions!$F$4:$F$44))</f>
        <v>0</v>
      </c>
      <c r="AW360" s="21" t="n">
        <f aca="false">IF($J360=0,0,MAX(0,NETWORKDAYS(MAX($K360,AW$4),MIN($L360,EOMONTH(AW$4,0)),Assumptions!$F$4:$F$44))/NETWORKDAYS($K360,$L360,Assumptions!$F$4:$F$44))</f>
        <v>0</v>
      </c>
      <c r="AX360" s="21" t="n">
        <f aca="false">IF($J360=0,0,MAX(0,NETWORKDAYS(MAX($K360,AX$4),MIN($L360,EOMONTH(AX$4,0)),Assumptions!$F$4:$F$44))/NETWORKDAYS($K360,$L360,Assumptions!$F$4:$F$44))</f>
        <v>0</v>
      </c>
      <c r="AY360" s="21" t="n">
        <f aca="false">IF($J360=0,0,MAX(0,NETWORKDAYS(MAX($K360,AY$4),MIN($L360,EOMONTH(AY$4,0)),Assumptions!$F$4:$F$44))/NETWORKDAYS($K360,$L360,Assumptions!$F$4:$F$44))</f>
        <v>0</v>
      </c>
      <c r="AZ360" s="21" t="n">
        <f aca="false">IF($J360=0,0,MAX(0,NETWORKDAYS(MAX($K360,AZ$4),MIN($L360,EOMONTH(AZ$4,0)),Assumptions!$F$4:$F$44))/NETWORKDAYS($K360,$L360,Assumptions!$F$4:$F$44))</f>
        <v>0</v>
      </c>
      <c r="BA360" s="21" t="n">
        <f aca="false">IF($J360=0,0,MAX(0,NETWORKDAYS(MAX($K360,BA$4),MIN($L360,EOMONTH(BA$4,0)),Assumptions!$F$4:$F$44))/NETWORKDAYS($K360,$L360,Assumptions!$F$4:$F$44))</f>
        <v>0</v>
      </c>
      <c r="BB360" s="21" t="n">
        <f aca="false">IF($J360=0,0,MAX(0,NETWORKDAYS(MAX($K360,BB$4),MIN($L360,EOMONTH(BB$4,0)),Assumptions!$F$4:$F$44))/NETWORKDAYS($K360,$L360,Assumptions!$F$4:$F$44))</f>
        <v>0</v>
      </c>
      <c r="BC360" s="21" t="n">
        <f aca="false">IF($J360=0,0,MAX(0,NETWORKDAYS(MAX($K360,BC$4),MIN($L360,EOMONTH(BC$4,0)),Assumptions!$F$4:$F$44))/NETWORKDAYS($K360,$L360,Assumptions!$F$4:$F$44))</f>
        <v>0</v>
      </c>
    </row>
    <row r="361" customFormat="false" ht="15" hidden="false" customHeight="false" outlineLevel="2" collapsed="false">
      <c r="A361" s="27" t="n">
        <v>357</v>
      </c>
      <c r="B361" s="27" t="s">
        <v>779</v>
      </c>
      <c r="C361" s="27" t="n">
        <v>3</v>
      </c>
      <c r="D361" s="27" t="s">
        <v>92</v>
      </c>
      <c r="E361" s="28" t="s">
        <v>300</v>
      </c>
      <c r="F361" s="27" t="s">
        <v>681</v>
      </c>
      <c r="G361" s="27" t="s">
        <v>774</v>
      </c>
      <c r="H361" s="27" t="s">
        <v>49</v>
      </c>
      <c r="I361" s="29" t="n">
        <v>187</v>
      </c>
      <c r="J361" s="29" t="n">
        <v>16</v>
      </c>
      <c r="K361" s="30" t="n">
        <f aca="false">WORKDAY(Assumptions!$C$4,I361,Assumptions!$F$4:$F$44)</f>
        <v>46589</v>
      </c>
      <c r="L361" s="30" t="n">
        <f aca="false">IF(J361=0,K361,WORKDAY(K361,J361-1,Assumptions!$F$4:$F$44))</f>
        <v>46610</v>
      </c>
      <c r="M361" s="29" t="s">
        <v>778</v>
      </c>
      <c r="N361" s="31" t="n">
        <v>0</v>
      </c>
      <c r="O361" s="31" t="n">
        <v>2</v>
      </c>
      <c r="P361" s="31" t="n">
        <v>0</v>
      </c>
      <c r="Q361" s="31" t="n">
        <v>0</v>
      </c>
      <c r="R361" s="31" t="n">
        <v>5</v>
      </c>
      <c r="S361" s="31" t="n">
        <v>0</v>
      </c>
      <c r="T361" s="31" t="n">
        <v>0</v>
      </c>
      <c r="U361" s="31" t="n">
        <v>0</v>
      </c>
      <c r="V361" s="31" t="n">
        <v>0</v>
      </c>
      <c r="W361" s="31" t="n">
        <v>0</v>
      </c>
      <c r="X361" s="31" t="n">
        <v>0</v>
      </c>
      <c r="Y361" s="32" t="n">
        <f aca="false">SUM(N361:X361)</f>
        <v>7</v>
      </c>
      <c r="Z361" s="32" t="n">
        <f aca="false">Y361*(1+Assumptions!$C$5)</f>
        <v>8.05</v>
      </c>
      <c r="AA361" s="27" t="s">
        <v>301</v>
      </c>
      <c r="AB361" s="27" t="s">
        <v>95</v>
      </c>
      <c r="AC361" s="27"/>
      <c r="AD361" s="33" t="n">
        <v>0</v>
      </c>
      <c r="AF361" s="21" t="n">
        <f aca="false">IF($J361=0,0,MAX(0,NETWORKDAYS(MAX($K361,AF$4),MIN($L361,EOMONTH(AF$4,0)),Assumptions!$F$4:$F$44))/NETWORKDAYS($K361,$L361,Assumptions!$F$4:$F$44))</f>
        <v>0</v>
      </c>
      <c r="AG361" s="21" t="n">
        <f aca="false">IF($J361=0,0,MAX(0,NETWORKDAYS(MAX($K361,AG$4),MIN($L361,EOMONTH(AG$4,0)),Assumptions!$F$4:$F$44))/NETWORKDAYS($K361,$L361,Assumptions!$F$4:$F$44))</f>
        <v>0</v>
      </c>
      <c r="AH361" s="21" t="n">
        <f aca="false">IF($J361=0,0,MAX(0,NETWORKDAYS(MAX($K361,AH$4),MIN($L361,EOMONTH(AH$4,0)),Assumptions!$F$4:$F$44))/NETWORKDAYS($K361,$L361,Assumptions!$F$4:$F$44))</f>
        <v>0</v>
      </c>
      <c r="AI361" s="21" t="n">
        <f aca="false">IF($J361=0,0,MAX(0,NETWORKDAYS(MAX($K361,AI$4),MIN($L361,EOMONTH(AI$4,0)),Assumptions!$F$4:$F$44))/NETWORKDAYS($K361,$L361,Assumptions!$F$4:$F$44))</f>
        <v>0</v>
      </c>
      <c r="AJ361" s="21" t="n">
        <f aca="false">IF($J361=0,0,MAX(0,NETWORKDAYS(MAX($K361,AJ$4),MIN($L361,EOMONTH(AJ$4,0)),Assumptions!$F$4:$F$44))/NETWORKDAYS($K361,$L361,Assumptions!$F$4:$F$44))</f>
        <v>0</v>
      </c>
      <c r="AK361" s="21" t="n">
        <f aca="false">IF($J361=0,0,MAX(0,NETWORKDAYS(MAX($K361,AK$4),MIN($L361,EOMONTH(AK$4,0)),Assumptions!$F$4:$F$44))/NETWORKDAYS($K361,$L361,Assumptions!$F$4:$F$44))</f>
        <v>0</v>
      </c>
      <c r="AL361" s="21" t="n">
        <f aca="false">IF($J361=0,0,MAX(0,NETWORKDAYS(MAX($K361,AL$4),MIN($L361,EOMONTH(AL$4,0)),Assumptions!$F$4:$F$44))/NETWORKDAYS($K361,$L361,Assumptions!$F$4:$F$44))</f>
        <v>0</v>
      </c>
      <c r="AM361" s="21" t="n">
        <f aca="false">IF($J361=0,0,MAX(0,NETWORKDAYS(MAX($K361,AM$4),MIN($L361,EOMONTH(AM$4,0)),Assumptions!$F$4:$F$44))/NETWORKDAYS($K361,$L361,Assumptions!$F$4:$F$44))</f>
        <v>0</v>
      </c>
      <c r="AN361" s="21" t="n">
        <f aca="false">IF($J361=0,0,MAX(0,NETWORKDAYS(MAX($K361,AN$4),MIN($L361,EOMONTH(AN$4,0)),Assumptions!$F$4:$F$44))/NETWORKDAYS($K361,$L361,Assumptions!$F$4:$F$44))</f>
        <v>0.5</v>
      </c>
      <c r="AO361" s="21" t="n">
        <f aca="false">IF($J361=0,0,MAX(0,NETWORKDAYS(MAX($K361,AO$4),MIN($L361,EOMONTH(AO$4,0)),Assumptions!$F$4:$F$44))/NETWORKDAYS($K361,$L361,Assumptions!$F$4:$F$44))</f>
        <v>0.5</v>
      </c>
      <c r="AP361" s="21" t="n">
        <f aca="false">IF($J361=0,0,MAX(0,NETWORKDAYS(MAX($K361,AP$4),MIN($L361,EOMONTH(AP$4,0)),Assumptions!$F$4:$F$44))/NETWORKDAYS($K361,$L361,Assumptions!$F$4:$F$44))</f>
        <v>0</v>
      </c>
      <c r="AQ361" s="21" t="n">
        <f aca="false">IF($J361=0,0,MAX(0,NETWORKDAYS(MAX($K361,AQ$4),MIN($L361,EOMONTH(AQ$4,0)),Assumptions!$F$4:$F$44))/NETWORKDAYS($K361,$L361,Assumptions!$F$4:$F$44))</f>
        <v>0</v>
      </c>
      <c r="AR361" s="21" t="n">
        <f aca="false">IF($J361=0,0,MAX(0,NETWORKDAYS(MAX($K361,AR$4),MIN($L361,EOMONTH(AR$4,0)),Assumptions!$F$4:$F$44))/NETWORKDAYS($K361,$L361,Assumptions!$F$4:$F$44))</f>
        <v>0</v>
      </c>
      <c r="AS361" s="21" t="n">
        <f aca="false">IF($J361=0,0,MAX(0,NETWORKDAYS(MAX($K361,AS$4),MIN($L361,EOMONTH(AS$4,0)),Assumptions!$F$4:$F$44))/NETWORKDAYS($K361,$L361,Assumptions!$F$4:$F$44))</f>
        <v>0</v>
      </c>
      <c r="AT361" s="21" t="n">
        <f aca="false">IF($J361=0,0,MAX(0,NETWORKDAYS(MAX($K361,AT$4),MIN($L361,EOMONTH(AT$4,0)),Assumptions!$F$4:$F$44))/NETWORKDAYS($K361,$L361,Assumptions!$F$4:$F$44))</f>
        <v>0</v>
      </c>
      <c r="AU361" s="21" t="n">
        <f aca="false">IF($J361=0,0,MAX(0,NETWORKDAYS(MAX($K361,AU$4),MIN($L361,EOMONTH(AU$4,0)),Assumptions!$F$4:$F$44))/NETWORKDAYS($K361,$L361,Assumptions!$F$4:$F$44))</f>
        <v>0</v>
      </c>
      <c r="AV361" s="21" t="n">
        <f aca="false">IF($J361=0,0,MAX(0,NETWORKDAYS(MAX($K361,AV$4),MIN($L361,EOMONTH(AV$4,0)),Assumptions!$F$4:$F$44))/NETWORKDAYS($K361,$L361,Assumptions!$F$4:$F$44))</f>
        <v>0</v>
      </c>
      <c r="AW361" s="21" t="n">
        <f aca="false">IF($J361=0,0,MAX(0,NETWORKDAYS(MAX($K361,AW$4),MIN($L361,EOMONTH(AW$4,0)),Assumptions!$F$4:$F$44))/NETWORKDAYS($K361,$L361,Assumptions!$F$4:$F$44))</f>
        <v>0</v>
      </c>
      <c r="AX361" s="21" t="n">
        <f aca="false">IF($J361=0,0,MAX(0,NETWORKDAYS(MAX($K361,AX$4),MIN($L361,EOMONTH(AX$4,0)),Assumptions!$F$4:$F$44))/NETWORKDAYS($K361,$L361,Assumptions!$F$4:$F$44))</f>
        <v>0</v>
      </c>
      <c r="AY361" s="21" t="n">
        <f aca="false">IF($J361=0,0,MAX(0,NETWORKDAYS(MAX($K361,AY$4),MIN($L361,EOMONTH(AY$4,0)),Assumptions!$F$4:$F$44))/NETWORKDAYS($K361,$L361,Assumptions!$F$4:$F$44))</f>
        <v>0</v>
      </c>
      <c r="AZ361" s="21" t="n">
        <f aca="false">IF($J361=0,0,MAX(0,NETWORKDAYS(MAX($K361,AZ$4),MIN($L361,EOMONTH(AZ$4,0)),Assumptions!$F$4:$F$44))/NETWORKDAYS($K361,$L361,Assumptions!$F$4:$F$44))</f>
        <v>0</v>
      </c>
      <c r="BA361" s="21" t="n">
        <f aca="false">IF($J361=0,0,MAX(0,NETWORKDAYS(MAX($K361,BA$4),MIN($L361,EOMONTH(BA$4,0)),Assumptions!$F$4:$F$44))/NETWORKDAYS($K361,$L361,Assumptions!$F$4:$F$44))</f>
        <v>0</v>
      </c>
      <c r="BB361" s="21" t="n">
        <f aca="false">IF($J361=0,0,MAX(0,NETWORKDAYS(MAX($K361,BB$4),MIN($L361,EOMONTH(BB$4,0)),Assumptions!$F$4:$F$44))/NETWORKDAYS($K361,$L361,Assumptions!$F$4:$F$44))</f>
        <v>0</v>
      </c>
      <c r="BC361" s="21" t="n">
        <f aca="false">IF($J361=0,0,MAX(0,NETWORKDAYS(MAX($K361,BC$4),MIN($L361,EOMONTH(BC$4,0)),Assumptions!$F$4:$F$44))/NETWORKDAYS($K361,$L361,Assumptions!$F$4:$F$44))</f>
        <v>0</v>
      </c>
    </row>
    <row r="362" customFormat="false" ht="15" hidden="false" customHeight="false" outlineLevel="2" collapsed="false">
      <c r="A362" s="27" t="n">
        <v>358</v>
      </c>
      <c r="B362" s="27" t="s">
        <v>780</v>
      </c>
      <c r="C362" s="27" t="n">
        <v>3</v>
      </c>
      <c r="D362" s="27" t="s">
        <v>92</v>
      </c>
      <c r="E362" s="28" t="s">
        <v>303</v>
      </c>
      <c r="F362" s="27" t="s">
        <v>681</v>
      </c>
      <c r="G362" s="27" t="s">
        <v>774</v>
      </c>
      <c r="H362" s="27" t="s">
        <v>47</v>
      </c>
      <c r="I362" s="29" t="n">
        <v>200</v>
      </c>
      <c r="J362" s="29" t="n">
        <v>55</v>
      </c>
      <c r="K362" s="30" t="n">
        <f aca="false">WORKDAY(Assumptions!$C$4,I362,Assumptions!$F$4:$F$44)</f>
        <v>46608</v>
      </c>
      <c r="L362" s="30" t="n">
        <f aca="false">IF(J362=0,K362,WORKDAY(K362,J362-1,Assumptions!$F$4:$F$44))</f>
        <v>46682</v>
      </c>
      <c r="M362" s="29" t="s">
        <v>781</v>
      </c>
      <c r="N362" s="31" t="n">
        <v>0</v>
      </c>
      <c r="O362" s="31" t="n">
        <v>0</v>
      </c>
      <c r="P362" s="31" t="n">
        <v>0</v>
      </c>
      <c r="Q362" s="31" t="n">
        <v>27</v>
      </c>
      <c r="R362" s="31" t="n">
        <v>0</v>
      </c>
      <c r="S362" s="31" t="n">
        <v>0</v>
      </c>
      <c r="T362" s="31" t="n">
        <v>0</v>
      </c>
      <c r="U362" s="31" t="n">
        <v>0</v>
      </c>
      <c r="V362" s="31" t="n">
        <v>0</v>
      </c>
      <c r="W362" s="31" t="n">
        <v>0</v>
      </c>
      <c r="X362" s="31" t="n">
        <v>0</v>
      </c>
      <c r="Y362" s="32" t="n">
        <f aca="false">SUM(N362:X362)</f>
        <v>27</v>
      </c>
      <c r="Z362" s="32" t="n">
        <f aca="false">Y362*(1+Assumptions!$C$5)</f>
        <v>31.05</v>
      </c>
      <c r="AA362" s="27" t="s">
        <v>305</v>
      </c>
      <c r="AB362" s="27" t="s">
        <v>95</v>
      </c>
      <c r="AC362" s="27"/>
      <c r="AD362" s="33" t="n">
        <v>0</v>
      </c>
      <c r="AF362" s="21" t="n">
        <f aca="false">IF($J362=0,0,MAX(0,NETWORKDAYS(MAX($K362,AF$4),MIN($L362,EOMONTH(AF$4,0)),Assumptions!$F$4:$F$44))/NETWORKDAYS($K362,$L362,Assumptions!$F$4:$F$44))</f>
        <v>0</v>
      </c>
      <c r="AG362" s="21" t="n">
        <f aca="false">IF($J362=0,0,MAX(0,NETWORKDAYS(MAX($K362,AG$4),MIN($L362,EOMONTH(AG$4,0)),Assumptions!$F$4:$F$44))/NETWORKDAYS($K362,$L362,Assumptions!$F$4:$F$44))</f>
        <v>0</v>
      </c>
      <c r="AH362" s="21" t="n">
        <f aca="false">IF($J362=0,0,MAX(0,NETWORKDAYS(MAX($K362,AH$4),MIN($L362,EOMONTH(AH$4,0)),Assumptions!$F$4:$F$44))/NETWORKDAYS($K362,$L362,Assumptions!$F$4:$F$44))</f>
        <v>0</v>
      </c>
      <c r="AI362" s="21" t="n">
        <f aca="false">IF($J362=0,0,MAX(0,NETWORKDAYS(MAX($K362,AI$4),MIN($L362,EOMONTH(AI$4,0)),Assumptions!$F$4:$F$44))/NETWORKDAYS($K362,$L362,Assumptions!$F$4:$F$44))</f>
        <v>0</v>
      </c>
      <c r="AJ362" s="21" t="n">
        <f aca="false">IF($J362=0,0,MAX(0,NETWORKDAYS(MAX($K362,AJ$4),MIN($L362,EOMONTH(AJ$4,0)),Assumptions!$F$4:$F$44))/NETWORKDAYS($K362,$L362,Assumptions!$F$4:$F$44))</f>
        <v>0</v>
      </c>
      <c r="AK362" s="21" t="n">
        <f aca="false">IF($J362=0,0,MAX(0,NETWORKDAYS(MAX($K362,AK$4),MIN($L362,EOMONTH(AK$4,0)),Assumptions!$F$4:$F$44))/NETWORKDAYS($K362,$L362,Assumptions!$F$4:$F$44))</f>
        <v>0</v>
      </c>
      <c r="AL362" s="21" t="n">
        <f aca="false">IF($J362=0,0,MAX(0,NETWORKDAYS(MAX($K362,AL$4),MIN($L362,EOMONTH(AL$4,0)),Assumptions!$F$4:$F$44))/NETWORKDAYS($K362,$L362,Assumptions!$F$4:$F$44))</f>
        <v>0</v>
      </c>
      <c r="AM362" s="21" t="n">
        <f aca="false">IF($J362=0,0,MAX(0,NETWORKDAYS(MAX($K362,AM$4),MIN($L362,EOMONTH(AM$4,0)),Assumptions!$F$4:$F$44))/NETWORKDAYS($K362,$L362,Assumptions!$F$4:$F$44))</f>
        <v>0</v>
      </c>
      <c r="AN362" s="21" t="n">
        <f aca="false">IF($J362=0,0,MAX(0,NETWORKDAYS(MAX($K362,AN$4),MIN($L362,EOMONTH(AN$4,0)),Assumptions!$F$4:$F$44))/NETWORKDAYS($K362,$L362,Assumptions!$F$4:$F$44))</f>
        <v>0</v>
      </c>
      <c r="AO362" s="21" t="n">
        <f aca="false">IF($J362=0,0,MAX(0,NETWORKDAYS(MAX($K362,AO$4),MIN($L362,EOMONTH(AO$4,0)),Assumptions!$F$4:$F$44))/NETWORKDAYS($K362,$L362,Assumptions!$F$4:$F$44))</f>
        <v>0.309090909090909</v>
      </c>
      <c r="AP362" s="21" t="n">
        <f aca="false">IF($J362=0,0,MAX(0,NETWORKDAYS(MAX($K362,AP$4),MIN($L362,EOMONTH(AP$4,0)),Assumptions!$F$4:$F$44))/NETWORKDAYS($K362,$L362,Assumptions!$F$4:$F$44))</f>
        <v>0.4</v>
      </c>
      <c r="AQ362" s="21" t="n">
        <f aca="false">IF($J362=0,0,MAX(0,NETWORKDAYS(MAX($K362,AQ$4),MIN($L362,EOMONTH(AQ$4,0)),Assumptions!$F$4:$F$44))/NETWORKDAYS($K362,$L362,Assumptions!$F$4:$F$44))</f>
        <v>0.290909090909091</v>
      </c>
      <c r="AR362" s="21" t="n">
        <f aca="false">IF($J362=0,0,MAX(0,NETWORKDAYS(MAX($K362,AR$4),MIN($L362,EOMONTH(AR$4,0)),Assumptions!$F$4:$F$44))/NETWORKDAYS($K362,$L362,Assumptions!$F$4:$F$44))</f>
        <v>0</v>
      </c>
      <c r="AS362" s="21" t="n">
        <f aca="false">IF($J362=0,0,MAX(0,NETWORKDAYS(MAX($K362,AS$4),MIN($L362,EOMONTH(AS$4,0)),Assumptions!$F$4:$F$44))/NETWORKDAYS($K362,$L362,Assumptions!$F$4:$F$44))</f>
        <v>0</v>
      </c>
      <c r="AT362" s="21" t="n">
        <f aca="false">IF($J362=0,0,MAX(0,NETWORKDAYS(MAX($K362,AT$4),MIN($L362,EOMONTH(AT$4,0)),Assumptions!$F$4:$F$44))/NETWORKDAYS($K362,$L362,Assumptions!$F$4:$F$44))</f>
        <v>0</v>
      </c>
      <c r="AU362" s="21" t="n">
        <f aca="false">IF($J362=0,0,MAX(0,NETWORKDAYS(MAX($K362,AU$4),MIN($L362,EOMONTH(AU$4,0)),Assumptions!$F$4:$F$44))/NETWORKDAYS($K362,$L362,Assumptions!$F$4:$F$44))</f>
        <v>0</v>
      </c>
      <c r="AV362" s="21" t="n">
        <f aca="false">IF($J362=0,0,MAX(0,NETWORKDAYS(MAX($K362,AV$4),MIN($L362,EOMONTH(AV$4,0)),Assumptions!$F$4:$F$44))/NETWORKDAYS($K362,$L362,Assumptions!$F$4:$F$44))</f>
        <v>0</v>
      </c>
      <c r="AW362" s="21" t="n">
        <f aca="false">IF($J362=0,0,MAX(0,NETWORKDAYS(MAX($K362,AW$4),MIN($L362,EOMONTH(AW$4,0)),Assumptions!$F$4:$F$44))/NETWORKDAYS($K362,$L362,Assumptions!$F$4:$F$44))</f>
        <v>0</v>
      </c>
      <c r="AX362" s="21" t="n">
        <f aca="false">IF($J362=0,0,MAX(0,NETWORKDAYS(MAX($K362,AX$4),MIN($L362,EOMONTH(AX$4,0)),Assumptions!$F$4:$F$44))/NETWORKDAYS($K362,$L362,Assumptions!$F$4:$F$44))</f>
        <v>0</v>
      </c>
      <c r="AY362" s="21" t="n">
        <f aca="false">IF($J362=0,0,MAX(0,NETWORKDAYS(MAX($K362,AY$4),MIN($L362,EOMONTH(AY$4,0)),Assumptions!$F$4:$F$44))/NETWORKDAYS($K362,$L362,Assumptions!$F$4:$F$44))</f>
        <v>0</v>
      </c>
      <c r="AZ362" s="21" t="n">
        <f aca="false">IF($J362=0,0,MAX(0,NETWORKDAYS(MAX($K362,AZ$4),MIN($L362,EOMONTH(AZ$4,0)),Assumptions!$F$4:$F$44))/NETWORKDAYS($K362,$L362,Assumptions!$F$4:$F$44))</f>
        <v>0</v>
      </c>
      <c r="BA362" s="21" t="n">
        <f aca="false">IF($J362=0,0,MAX(0,NETWORKDAYS(MAX($K362,BA$4),MIN($L362,EOMONTH(BA$4,0)),Assumptions!$F$4:$F$44))/NETWORKDAYS($K362,$L362,Assumptions!$F$4:$F$44))</f>
        <v>0</v>
      </c>
      <c r="BB362" s="21" t="n">
        <f aca="false">IF($J362=0,0,MAX(0,NETWORKDAYS(MAX($K362,BB$4),MIN($L362,EOMONTH(BB$4,0)),Assumptions!$F$4:$F$44))/NETWORKDAYS($K362,$L362,Assumptions!$F$4:$F$44))</f>
        <v>0</v>
      </c>
      <c r="BC362" s="21" t="n">
        <f aca="false">IF($J362=0,0,MAX(0,NETWORKDAYS(MAX($K362,BC$4),MIN($L362,EOMONTH(BC$4,0)),Assumptions!$F$4:$F$44))/NETWORKDAYS($K362,$L362,Assumptions!$F$4:$F$44))</f>
        <v>0</v>
      </c>
    </row>
    <row r="363" customFormat="false" ht="15" hidden="false" customHeight="false" outlineLevel="2" collapsed="false">
      <c r="A363" s="27" t="n">
        <v>359</v>
      </c>
      <c r="B363" s="27" t="s">
        <v>782</v>
      </c>
      <c r="C363" s="27" t="n">
        <v>3</v>
      </c>
      <c r="D363" s="27" t="s">
        <v>92</v>
      </c>
      <c r="E363" s="28" t="s">
        <v>307</v>
      </c>
      <c r="F363" s="27" t="s">
        <v>681</v>
      </c>
      <c r="G363" s="27" t="s">
        <v>774</v>
      </c>
      <c r="H363" s="27" t="s">
        <v>47</v>
      </c>
      <c r="I363" s="29" t="n">
        <v>216</v>
      </c>
      <c r="J363" s="29" t="n">
        <v>40</v>
      </c>
      <c r="K363" s="30" t="n">
        <f aca="false">WORKDAY(Assumptions!$C$4,I363,Assumptions!$F$4:$F$44)</f>
        <v>46630</v>
      </c>
      <c r="L363" s="30" t="n">
        <f aca="false">IF(J363=0,K363,WORKDAY(K363,J363-1,Assumptions!$F$4:$F$44))</f>
        <v>46685</v>
      </c>
      <c r="M363" s="29" t="s">
        <v>781</v>
      </c>
      <c r="N363" s="31" t="n">
        <v>0</v>
      </c>
      <c r="O363" s="31" t="n">
        <v>4</v>
      </c>
      <c r="P363" s="31" t="n">
        <v>0</v>
      </c>
      <c r="Q363" s="31" t="n">
        <v>9</v>
      </c>
      <c r="R363" s="31" t="n">
        <v>0</v>
      </c>
      <c r="S363" s="31" t="n">
        <v>0</v>
      </c>
      <c r="T363" s="31" t="n">
        <v>0</v>
      </c>
      <c r="U363" s="31" t="n">
        <v>0</v>
      </c>
      <c r="V363" s="31" t="n">
        <v>0</v>
      </c>
      <c r="W363" s="31" t="n">
        <v>0</v>
      </c>
      <c r="X363" s="31" t="n">
        <v>0</v>
      </c>
      <c r="Y363" s="32" t="n">
        <f aca="false">SUM(N363:X363)</f>
        <v>13</v>
      </c>
      <c r="Z363" s="32" t="n">
        <f aca="false">Y363*(1+Assumptions!$C$5)</f>
        <v>14.95</v>
      </c>
      <c r="AA363" s="27" t="s">
        <v>308</v>
      </c>
      <c r="AB363" s="27" t="s">
        <v>95</v>
      </c>
      <c r="AC363" s="27"/>
      <c r="AD363" s="33" t="n">
        <v>0</v>
      </c>
      <c r="AF363" s="21" t="n">
        <f aca="false">IF($J363=0,0,MAX(0,NETWORKDAYS(MAX($K363,AF$4),MIN($L363,EOMONTH(AF$4,0)),Assumptions!$F$4:$F$44))/NETWORKDAYS($K363,$L363,Assumptions!$F$4:$F$44))</f>
        <v>0</v>
      </c>
      <c r="AG363" s="21" t="n">
        <f aca="false">IF($J363=0,0,MAX(0,NETWORKDAYS(MAX($K363,AG$4),MIN($L363,EOMONTH(AG$4,0)),Assumptions!$F$4:$F$44))/NETWORKDAYS($K363,$L363,Assumptions!$F$4:$F$44))</f>
        <v>0</v>
      </c>
      <c r="AH363" s="21" t="n">
        <f aca="false">IF($J363=0,0,MAX(0,NETWORKDAYS(MAX($K363,AH$4),MIN($L363,EOMONTH(AH$4,0)),Assumptions!$F$4:$F$44))/NETWORKDAYS($K363,$L363,Assumptions!$F$4:$F$44))</f>
        <v>0</v>
      </c>
      <c r="AI363" s="21" t="n">
        <f aca="false">IF($J363=0,0,MAX(0,NETWORKDAYS(MAX($K363,AI$4),MIN($L363,EOMONTH(AI$4,0)),Assumptions!$F$4:$F$44))/NETWORKDAYS($K363,$L363,Assumptions!$F$4:$F$44))</f>
        <v>0</v>
      </c>
      <c r="AJ363" s="21" t="n">
        <f aca="false">IF($J363=0,0,MAX(0,NETWORKDAYS(MAX($K363,AJ$4),MIN($L363,EOMONTH(AJ$4,0)),Assumptions!$F$4:$F$44))/NETWORKDAYS($K363,$L363,Assumptions!$F$4:$F$44))</f>
        <v>0</v>
      </c>
      <c r="AK363" s="21" t="n">
        <f aca="false">IF($J363=0,0,MAX(0,NETWORKDAYS(MAX($K363,AK$4),MIN($L363,EOMONTH(AK$4,0)),Assumptions!$F$4:$F$44))/NETWORKDAYS($K363,$L363,Assumptions!$F$4:$F$44))</f>
        <v>0</v>
      </c>
      <c r="AL363" s="21" t="n">
        <f aca="false">IF($J363=0,0,MAX(0,NETWORKDAYS(MAX($K363,AL$4),MIN($L363,EOMONTH(AL$4,0)),Assumptions!$F$4:$F$44))/NETWORKDAYS($K363,$L363,Assumptions!$F$4:$F$44))</f>
        <v>0</v>
      </c>
      <c r="AM363" s="21" t="n">
        <f aca="false">IF($J363=0,0,MAX(0,NETWORKDAYS(MAX($K363,AM$4),MIN($L363,EOMONTH(AM$4,0)),Assumptions!$F$4:$F$44))/NETWORKDAYS($K363,$L363,Assumptions!$F$4:$F$44))</f>
        <v>0</v>
      </c>
      <c r="AN363" s="21" t="n">
        <f aca="false">IF($J363=0,0,MAX(0,NETWORKDAYS(MAX($K363,AN$4),MIN($L363,EOMONTH(AN$4,0)),Assumptions!$F$4:$F$44))/NETWORKDAYS($K363,$L363,Assumptions!$F$4:$F$44))</f>
        <v>0</v>
      </c>
      <c r="AO363" s="21" t="n">
        <f aca="false">IF($J363=0,0,MAX(0,NETWORKDAYS(MAX($K363,AO$4),MIN($L363,EOMONTH(AO$4,0)),Assumptions!$F$4:$F$44))/NETWORKDAYS($K363,$L363,Assumptions!$F$4:$F$44))</f>
        <v>0.025</v>
      </c>
      <c r="AP363" s="21" t="n">
        <f aca="false">IF($J363=0,0,MAX(0,NETWORKDAYS(MAX($K363,AP$4),MIN($L363,EOMONTH(AP$4,0)),Assumptions!$F$4:$F$44))/NETWORKDAYS($K363,$L363,Assumptions!$F$4:$F$44))</f>
        <v>0.55</v>
      </c>
      <c r="AQ363" s="21" t="n">
        <f aca="false">IF($J363=0,0,MAX(0,NETWORKDAYS(MAX($K363,AQ$4),MIN($L363,EOMONTH(AQ$4,0)),Assumptions!$F$4:$F$44))/NETWORKDAYS($K363,$L363,Assumptions!$F$4:$F$44))</f>
        <v>0.425</v>
      </c>
      <c r="AR363" s="21" t="n">
        <f aca="false">IF($J363=0,0,MAX(0,NETWORKDAYS(MAX($K363,AR$4),MIN($L363,EOMONTH(AR$4,0)),Assumptions!$F$4:$F$44))/NETWORKDAYS($K363,$L363,Assumptions!$F$4:$F$44))</f>
        <v>0</v>
      </c>
      <c r="AS363" s="21" t="n">
        <f aca="false">IF($J363=0,0,MAX(0,NETWORKDAYS(MAX($K363,AS$4),MIN($L363,EOMONTH(AS$4,0)),Assumptions!$F$4:$F$44))/NETWORKDAYS($K363,$L363,Assumptions!$F$4:$F$44))</f>
        <v>0</v>
      </c>
      <c r="AT363" s="21" t="n">
        <f aca="false">IF($J363=0,0,MAX(0,NETWORKDAYS(MAX($K363,AT$4),MIN($L363,EOMONTH(AT$4,0)),Assumptions!$F$4:$F$44))/NETWORKDAYS($K363,$L363,Assumptions!$F$4:$F$44))</f>
        <v>0</v>
      </c>
      <c r="AU363" s="21" t="n">
        <f aca="false">IF($J363=0,0,MAX(0,NETWORKDAYS(MAX($K363,AU$4),MIN($L363,EOMONTH(AU$4,0)),Assumptions!$F$4:$F$44))/NETWORKDAYS($K363,$L363,Assumptions!$F$4:$F$44))</f>
        <v>0</v>
      </c>
      <c r="AV363" s="21" t="n">
        <f aca="false">IF($J363=0,0,MAX(0,NETWORKDAYS(MAX($K363,AV$4),MIN($L363,EOMONTH(AV$4,0)),Assumptions!$F$4:$F$44))/NETWORKDAYS($K363,$L363,Assumptions!$F$4:$F$44))</f>
        <v>0</v>
      </c>
      <c r="AW363" s="21" t="n">
        <f aca="false">IF($J363=0,0,MAX(0,NETWORKDAYS(MAX($K363,AW$4),MIN($L363,EOMONTH(AW$4,0)),Assumptions!$F$4:$F$44))/NETWORKDAYS($K363,$L363,Assumptions!$F$4:$F$44))</f>
        <v>0</v>
      </c>
      <c r="AX363" s="21" t="n">
        <f aca="false">IF($J363=0,0,MAX(0,NETWORKDAYS(MAX($K363,AX$4),MIN($L363,EOMONTH(AX$4,0)),Assumptions!$F$4:$F$44))/NETWORKDAYS($K363,$L363,Assumptions!$F$4:$F$44))</f>
        <v>0</v>
      </c>
      <c r="AY363" s="21" t="n">
        <f aca="false">IF($J363=0,0,MAX(0,NETWORKDAYS(MAX($K363,AY$4),MIN($L363,EOMONTH(AY$4,0)),Assumptions!$F$4:$F$44))/NETWORKDAYS($K363,$L363,Assumptions!$F$4:$F$44))</f>
        <v>0</v>
      </c>
      <c r="AZ363" s="21" t="n">
        <f aca="false">IF($J363=0,0,MAX(0,NETWORKDAYS(MAX($K363,AZ$4),MIN($L363,EOMONTH(AZ$4,0)),Assumptions!$F$4:$F$44))/NETWORKDAYS($K363,$L363,Assumptions!$F$4:$F$44))</f>
        <v>0</v>
      </c>
      <c r="BA363" s="21" t="n">
        <f aca="false">IF($J363=0,0,MAX(0,NETWORKDAYS(MAX($K363,BA$4),MIN($L363,EOMONTH(BA$4,0)),Assumptions!$F$4:$F$44))/NETWORKDAYS($K363,$L363,Assumptions!$F$4:$F$44))</f>
        <v>0</v>
      </c>
      <c r="BB363" s="21" t="n">
        <f aca="false">IF($J363=0,0,MAX(0,NETWORKDAYS(MAX($K363,BB$4),MIN($L363,EOMONTH(BB$4,0)),Assumptions!$F$4:$F$44))/NETWORKDAYS($K363,$L363,Assumptions!$F$4:$F$44))</f>
        <v>0</v>
      </c>
      <c r="BC363" s="21" t="n">
        <f aca="false">IF($J363=0,0,MAX(0,NETWORKDAYS(MAX($K363,BC$4),MIN($L363,EOMONTH(BC$4,0)),Assumptions!$F$4:$F$44))/NETWORKDAYS($K363,$L363,Assumptions!$F$4:$F$44))</f>
        <v>0</v>
      </c>
    </row>
    <row r="364" customFormat="false" ht="15" hidden="false" customHeight="false" outlineLevel="2" collapsed="false">
      <c r="A364" s="27" t="n">
        <v>360</v>
      </c>
      <c r="B364" s="27" t="s">
        <v>783</v>
      </c>
      <c r="C364" s="27" t="n">
        <v>3</v>
      </c>
      <c r="D364" s="27" t="s">
        <v>92</v>
      </c>
      <c r="E364" s="28" t="s">
        <v>310</v>
      </c>
      <c r="F364" s="27" t="s">
        <v>681</v>
      </c>
      <c r="G364" s="27" t="s">
        <v>774</v>
      </c>
      <c r="H364" s="27" t="s">
        <v>49</v>
      </c>
      <c r="I364" s="29" t="n">
        <v>209</v>
      </c>
      <c r="J364" s="29" t="n">
        <v>53</v>
      </c>
      <c r="K364" s="30" t="n">
        <f aca="false">WORKDAY(Assumptions!$C$4,I364,Assumptions!$F$4:$F$44)</f>
        <v>46619</v>
      </c>
      <c r="L364" s="30" t="n">
        <f aca="false">IF(J364=0,K364,WORKDAY(K364,J364-1,Assumptions!$F$4:$F$44))</f>
        <v>46693</v>
      </c>
      <c r="M364" s="29" t="s">
        <v>784</v>
      </c>
      <c r="N364" s="31" t="n">
        <v>0</v>
      </c>
      <c r="O364" s="31" t="n">
        <v>0</v>
      </c>
      <c r="P364" s="31" t="n">
        <v>0</v>
      </c>
      <c r="Q364" s="31" t="n">
        <v>0</v>
      </c>
      <c r="R364" s="31" t="n">
        <v>22</v>
      </c>
      <c r="S364" s="31" t="n">
        <v>0</v>
      </c>
      <c r="T364" s="31" t="n">
        <v>0</v>
      </c>
      <c r="U364" s="31" t="n">
        <v>0</v>
      </c>
      <c r="V364" s="31" t="n">
        <v>0</v>
      </c>
      <c r="W364" s="31" t="n">
        <v>0</v>
      </c>
      <c r="X364" s="31" t="n">
        <v>0</v>
      </c>
      <c r="Y364" s="32" t="n">
        <f aca="false">SUM(N364:X364)</f>
        <v>22</v>
      </c>
      <c r="Z364" s="32" t="n">
        <f aca="false">Y364*(1+Assumptions!$C$5)</f>
        <v>25.3</v>
      </c>
      <c r="AA364" s="27" t="s">
        <v>312</v>
      </c>
      <c r="AB364" s="27" t="s">
        <v>95</v>
      </c>
      <c r="AC364" s="27"/>
      <c r="AD364" s="33" t="n">
        <v>0</v>
      </c>
      <c r="AF364" s="21" t="n">
        <f aca="false">IF($J364=0,0,MAX(0,NETWORKDAYS(MAX($K364,AF$4),MIN($L364,EOMONTH(AF$4,0)),Assumptions!$F$4:$F$44))/NETWORKDAYS($K364,$L364,Assumptions!$F$4:$F$44))</f>
        <v>0</v>
      </c>
      <c r="AG364" s="21" t="n">
        <f aca="false">IF($J364=0,0,MAX(0,NETWORKDAYS(MAX($K364,AG$4),MIN($L364,EOMONTH(AG$4,0)),Assumptions!$F$4:$F$44))/NETWORKDAYS($K364,$L364,Assumptions!$F$4:$F$44))</f>
        <v>0</v>
      </c>
      <c r="AH364" s="21" t="n">
        <f aca="false">IF($J364=0,0,MAX(0,NETWORKDAYS(MAX($K364,AH$4),MIN($L364,EOMONTH(AH$4,0)),Assumptions!$F$4:$F$44))/NETWORKDAYS($K364,$L364,Assumptions!$F$4:$F$44))</f>
        <v>0</v>
      </c>
      <c r="AI364" s="21" t="n">
        <f aca="false">IF($J364=0,0,MAX(0,NETWORKDAYS(MAX($K364,AI$4),MIN($L364,EOMONTH(AI$4,0)),Assumptions!$F$4:$F$44))/NETWORKDAYS($K364,$L364,Assumptions!$F$4:$F$44))</f>
        <v>0</v>
      </c>
      <c r="AJ364" s="21" t="n">
        <f aca="false">IF($J364=0,0,MAX(0,NETWORKDAYS(MAX($K364,AJ$4),MIN($L364,EOMONTH(AJ$4,0)),Assumptions!$F$4:$F$44))/NETWORKDAYS($K364,$L364,Assumptions!$F$4:$F$44))</f>
        <v>0</v>
      </c>
      <c r="AK364" s="21" t="n">
        <f aca="false">IF($J364=0,0,MAX(0,NETWORKDAYS(MAX($K364,AK$4),MIN($L364,EOMONTH(AK$4,0)),Assumptions!$F$4:$F$44))/NETWORKDAYS($K364,$L364,Assumptions!$F$4:$F$44))</f>
        <v>0</v>
      </c>
      <c r="AL364" s="21" t="n">
        <f aca="false">IF($J364=0,0,MAX(0,NETWORKDAYS(MAX($K364,AL$4),MIN($L364,EOMONTH(AL$4,0)),Assumptions!$F$4:$F$44))/NETWORKDAYS($K364,$L364,Assumptions!$F$4:$F$44))</f>
        <v>0</v>
      </c>
      <c r="AM364" s="21" t="n">
        <f aca="false">IF($J364=0,0,MAX(0,NETWORKDAYS(MAX($K364,AM$4),MIN($L364,EOMONTH(AM$4,0)),Assumptions!$F$4:$F$44))/NETWORKDAYS($K364,$L364,Assumptions!$F$4:$F$44))</f>
        <v>0</v>
      </c>
      <c r="AN364" s="21" t="n">
        <f aca="false">IF($J364=0,0,MAX(0,NETWORKDAYS(MAX($K364,AN$4),MIN($L364,EOMONTH(AN$4,0)),Assumptions!$F$4:$F$44))/NETWORKDAYS($K364,$L364,Assumptions!$F$4:$F$44))</f>
        <v>0</v>
      </c>
      <c r="AO364" s="21" t="n">
        <f aca="false">IF($J364=0,0,MAX(0,NETWORKDAYS(MAX($K364,AO$4),MIN($L364,EOMONTH(AO$4,0)),Assumptions!$F$4:$F$44))/NETWORKDAYS($K364,$L364,Assumptions!$F$4:$F$44))</f>
        <v>0.150943396226415</v>
      </c>
      <c r="AP364" s="21" t="n">
        <f aca="false">IF($J364=0,0,MAX(0,NETWORKDAYS(MAX($K364,AP$4),MIN($L364,EOMONTH(AP$4,0)),Assumptions!$F$4:$F$44))/NETWORKDAYS($K364,$L364,Assumptions!$F$4:$F$44))</f>
        <v>0.415094339622642</v>
      </c>
      <c r="AQ364" s="21" t="n">
        <f aca="false">IF($J364=0,0,MAX(0,NETWORKDAYS(MAX($K364,AQ$4),MIN($L364,EOMONTH(AQ$4,0)),Assumptions!$F$4:$F$44))/NETWORKDAYS($K364,$L364,Assumptions!$F$4:$F$44))</f>
        <v>0.39622641509434</v>
      </c>
      <c r="AR364" s="21" t="n">
        <f aca="false">IF($J364=0,0,MAX(0,NETWORKDAYS(MAX($K364,AR$4),MIN($L364,EOMONTH(AR$4,0)),Assumptions!$F$4:$F$44))/NETWORKDAYS($K364,$L364,Assumptions!$F$4:$F$44))</f>
        <v>0.0377358490566038</v>
      </c>
      <c r="AS364" s="21" t="n">
        <f aca="false">IF($J364=0,0,MAX(0,NETWORKDAYS(MAX($K364,AS$4),MIN($L364,EOMONTH(AS$4,0)),Assumptions!$F$4:$F$44))/NETWORKDAYS($K364,$L364,Assumptions!$F$4:$F$44))</f>
        <v>0</v>
      </c>
      <c r="AT364" s="21" t="n">
        <f aca="false">IF($J364=0,0,MAX(0,NETWORKDAYS(MAX($K364,AT$4),MIN($L364,EOMONTH(AT$4,0)),Assumptions!$F$4:$F$44))/NETWORKDAYS($K364,$L364,Assumptions!$F$4:$F$44))</f>
        <v>0</v>
      </c>
      <c r="AU364" s="21" t="n">
        <f aca="false">IF($J364=0,0,MAX(0,NETWORKDAYS(MAX($K364,AU$4),MIN($L364,EOMONTH(AU$4,0)),Assumptions!$F$4:$F$44))/NETWORKDAYS($K364,$L364,Assumptions!$F$4:$F$44))</f>
        <v>0</v>
      </c>
      <c r="AV364" s="21" t="n">
        <f aca="false">IF($J364=0,0,MAX(0,NETWORKDAYS(MAX($K364,AV$4),MIN($L364,EOMONTH(AV$4,0)),Assumptions!$F$4:$F$44))/NETWORKDAYS($K364,$L364,Assumptions!$F$4:$F$44))</f>
        <v>0</v>
      </c>
      <c r="AW364" s="21" t="n">
        <f aca="false">IF($J364=0,0,MAX(0,NETWORKDAYS(MAX($K364,AW$4),MIN($L364,EOMONTH(AW$4,0)),Assumptions!$F$4:$F$44))/NETWORKDAYS($K364,$L364,Assumptions!$F$4:$F$44))</f>
        <v>0</v>
      </c>
      <c r="AX364" s="21" t="n">
        <f aca="false">IF($J364=0,0,MAX(0,NETWORKDAYS(MAX($K364,AX$4),MIN($L364,EOMONTH(AX$4,0)),Assumptions!$F$4:$F$44))/NETWORKDAYS($K364,$L364,Assumptions!$F$4:$F$44))</f>
        <v>0</v>
      </c>
      <c r="AY364" s="21" t="n">
        <f aca="false">IF($J364=0,0,MAX(0,NETWORKDAYS(MAX($K364,AY$4),MIN($L364,EOMONTH(AY$4,0)),Assumptions!$F$4:$F$44))/NETWORKDAYS($K364,$L364,Assumptions!$F$4:$F$44))</f>
        <v>0</v>
      </c>
      <c r="AZ364" s="21" t="n">
        <f aca="false">IF($J364=0,0,MAX(0,NETWORKDAYS(MAX($K364,AZ$4),MIN($L364,EOMONTH(AZ$4,0)),Assumptions!$F$4:$F$44))/NETWORKDAYS($K364,$L364,Assumptions!$F$4:$F$44))</f>
        <v>0</v>
      </c>
      <c r="BA364" s="21" t="n">
        <f aca="false">IF($J364=0,0,MAX(0,NETWORKDAYS(MAX($K364,BA$4),MIN($L364,EOMONTH(BA$4,0)),Assumptions!$F$4:$F$44))/NETWORKDAYS($K364,$L364,Assumptions!$F$4:$F$44))</f>
        <v>0</v>
      </c>
      <c r="BB364" s="21" t="n">
        <f aca="false">IF($J364=0,0,MAX(0,NETWORKDAYS(MAX($K364,BB$4),MIN($L364,EOMONTH(BB$4,0)),Assumptions!$F$4:$F$44))/NETWORKDAYS($K364,$L364,Assumptions!$F$4:$F$44))</f>
        <v>0</v>
      </c>
      <c r="BC364" s="21" t="n">
        <f aca="false">IF($J364=0,0,MAX(0,NETWORKDAYS(MAX($K364,BC$4),MIN($L364,EOMONTH(BC$4,0)),Assumptions!$F$4:$F$44))/NETWORKDAYS($K364,$L364,Assumptions!$F$4:$F$44))</f>
        <v>0</v>
      </c>
    </row>
    <row r="365" customFormat="false" ht="15" hidden="false" customHeight="false" outlineLevel="2" collapsed="false">
      <c r="A365" s="27" t="n">
        <v>361</v>
      </c>
      <c r="B365" s="27" t="s">
        <v>785</v>
      </c>
      <c r="C365" s="27" t="n">
        <v>3</v>
      </c>
      <c r="D365" s="27" t="s">
        <v>92</v>
      </c>
      <c r="E365" s="28" t="s">
        <v>314</v>
      </c>
      <c r="F365" s="27" t="s">
        <v>681</v>
      </c>
      <c r="G365" s="27" t="s">
        <v>774</v>
      </c>
      <c r="H365" s="27" t="s">
        <v>49</v>
      </c>
      <c r="I365" s="29" t="n">
        <v>222</v>
      </c>
      <c r="J365" s="29" t="n">
        <v>40</v>
      </c>
      <c r="K365" s="30" t="n">
        <f aca="false">WORKDAY(Assumptions!$C$4,I365,Assumptions!$F$4:$F$44)</f>
        <v>46638</v>
      </c>
      <c r="L365" s="30" t="n">
        <f aca="false">IF(J365=0,K365,WORKDAY(K365,J365-1,Assumptions!$F$4:$F$44))</f>
        <v>46693</v>
      </c>
      <c r="M365" s="29" t="s">
        <v>784</v>
      </c>
      <c r="N365" s="31" t="n">
        <v>0</v>
      </c>
      <c r="O365" s="31" t="n">
        <v>0</v>
      </c>
      <c r="P365" s="31" t="n">
        <v>0</v>
      </c>
      <c r="Q365" s="31" t="n">
        <v>0</v>
      </c>
      <c r="R365" s="31" t="n">
        <v>11</v>
      </c>
      <c r="S365" s="31" t="n">
        <v>5</v>
      </c>
      <c r="T365" s="31" t="n">
        <v>0</v>
      </c>
      <c r="U365" s="31" t="n">
        <v>0</v>
      </c>
      <c r="V365" s="31" t="n">
        <v>0</v>
      </c>
      <c r="W365" s="31" t="n">
        <v>0</v>
      </c>
      <c r="X365" s="31" t="n">
        <v>0</v>
      </c>
      <c r="Y365" s="32" t="n">
        <f aca="false">SUM(N365:X365)</f>
        <v>16</v>
      </c>
      <c r="Z365" s="32" t="n">
        <f aca="false">Y365*(1+Assumptions!$C$5)</f>
        <v>18.4</v>
      </c>
      <c r="AA365" s="27" t="s">
        <v>315</v>
      </c>
      <c r="AB365" s="27" t="s">
        <v>95</v>
      </c>
      <c r="AC365" s="27"/>
      <c r="AD365" s="33" t="n">
        <v>0</v>
      </c>
      <c r="AF365" s="21" t="n">
        <f aca="false">IF($J365=0,0,MAX(0,NETWORKDAYS(MAX($K365,AF$4),MIN($L365,EOMONTH(AF$4,0)),Assumptions!$F$4:$F$44))/NETWORKDAYS($K365,$L365,Assumptions!$F$4:$F$44))</f>
        <v>0</v>
      </c>
      <c r="AG365" s="21" t="n">
        <f aca="false">IF($J365=0,0,MAX(0,NETWORKDAYS(MAX($K365,AG$4),MIN($L365,EOMONTH(AG$4,0)),Assumptions!$F$4:$F$44))/NETWORKDAYS($K365,$L365,Assumptions!$F$4:$F$44))</f>
        <v>0</v>
      </c>
      <c r="AH365" s="21" t="n">
        <f aca="false">IF($J365=0,0,MAX(0,NETWORKDAYS(MAX($K365,AH$4),MIN($L365,EOMONTH(AH$4,0)),Assumptions!$F$4:$F$44))/NETWORKDAYS($K365,$L365,Assumptions!$F$4:$F$44))</f>
        <v>0</v>
      </c>
      <c r="AI365" s="21" t="n">
        <f aca="false">IF($J365=0,0,MAX(0,NETWORKDAYS(MAX($K365,AI$4),MIN($L365,EOMONTH(AI$4,0)),Assumptions!$F$4:$F$44))/NETWORKDAYS($K365,$L365,Assumptions!$F$4:$F$44))</f>
        <v>0</v>
      </c>
      <c r="AJ365" s="21" t="n">
        <f aca="false">IF($J365=0,0,MAX(0,NETWORKDAYS(MAX($K365,AJ$4),MIN($L365,EOMONTH(AJ$4,0)),Assumptions!$F$4:$F$44))/NETWORKDAYS($K365,$L365,Assumptions!$F$4:$F$44))</f>
        <v>0</v>
      </c>
      <c r="AK365" s="21" t="n">
        <f aca="false">IF($J365=0,0,MAX(0,NETWORKDAYS(MAX($K365,AK$4),MIN($L365,EOMONTH(AK$4,0)),Assumptions!$F$4:$F$44))/NETWORKDAYS($K365,$L365,Assumptions!$F$4:$F$44))</f>
        <v>0</v>
      </c>
      <c r="AL365" s="21" t="n">
        <f aca="false">IF($J365=0,0,MAX(0,NETWORKDAYS(MAX($K365,AL$4),MIN($L365,EOMONTH(AL$4,0)),Assumptions!$F$4:$F$44))/NETWORKDAYS($K365,$L365,Assumptions!$F$4:$F$44))</f>
        <v>0</v>
      </c>
      <c r="AM365" s="21" t="n">
        <f aca="false">IF($J365=0,0,MAX(0,NETWORKDAYS(MAX($K365,AM$4),MIN($L365,EOMONTH(AM$4,0)),Assumptions!$F$4:$F$44))/NETWORKDAYS($K365,$L365,Assumptions!$F$4:$F$44))</f>
        <v>0</v>
      </c>
      <c r="AN365" s="21" t="n">
        <f aca="false">IF($J365=0,0,MAX(0,NETWORKDAYS(MAX($K365,AN$4),MIN($L365,EOMONTH(AN$4,0)),Assumptions!$F$4:$F$44))/NETWORKDAYS($K365,$L365,Assumptions!$F$4:$F$44))</f>
        <v>0</v>
      </c>
      <c r="AO365" s="21" t="n">
        <f aca="false">IF($J365=0,0,MAX(0,NETWORKDAYS(MAX($K365,AO$4),MIN($L365,EOMONTH(AO$4,0)),Assumptions!$F$4:$F$44))/NETWORKDAYS($K365,$L365,Assumptions!$F$4:$F$44))</f>
        <v>0</v>
      </c>
      <c r="AP365" s="21" t="n">
        <f aca="false">IF($J365=0,0,MAX(0,NETWORKDAYS(MAX($K365,AP$4),MIN($L365,EOMONTH(AP$4,0)),Assumptions!$F$4:$F$44))/NETWORKDAYS($K365,$L365,Assumptions!$F$4:$F$44))</f>
        <v>0.425</v>
      </c>
      <c r="AQ365" s="21" t="n">
        <f aca="false">IF($J365=0,0,MAX(0,NETWORKDAYS(MAX($K365,AQ$4),MIN($L365,EOMONTH(AQ$4,0)),Assumptions!$F$4:$F$44))/NETWORKDAYS($K365,$L365,Assumptions!$F$4:$F$44))</f>
        <v>0.525</v>
      </c>
      <c r="AR365" s="21" t="n">
        <f aca="false">IF($J365=0,0,MAX(0,NETWORKDAYS(MAX($K365,AR$4),MIN($L365,EOMONTH(AR$4,0)),Assumptions!$F$4:$F$44))/NETWORKDAYS($K365,$L365,Assumptions!$F$4:$F$44))</f>
        <v>0.05</v>
      </c>
      <c r="AS365" s="21" t="n">
        <f aca="false">IF($J365=0,0,MAX(0,NETWORKDAYS(MAX($K365,AS$4),MIN($L365,EOMONTH(AS$4,0)),Assumptions!$F$4:$F$44))/NETWORKDAYS($K365,$L365,Assumptions!$F$4:$F$44))</f>
        <v>0</v>
      </c>
      <c r="AT365" s="21" t="n">
        <f aca="false">IF($J365=0,0,MAX(0,NETWORKDAYS(MAX($K365,AT$4),MIN($L365,EOMONTH(AT$4,0)),Assumptions!$F$4:$F$44))/NETWORKDAYS($K365,$L365,Assumptions!$F$4:$F$44))</f>
        <v>0</v>
      </c>
      <c r="AU365" s="21" t="n">
        <f aca="false">IF($J365=0,0,MAX(0,NETWORKDAYS(MAX($K365,AU$4),MIN($L365,EOMONTH(AU$4,0)),Assumptions!$F$4:$F$44))/NETWORKDAYS($K365,$L365,Assumptions!$F$4:$F$44))</f>
        <v>0</v>
      </c>
      <c r="AV365" s="21" t="n">
        <f aca="false">IF($J365=0,0,MAX(0,NETWORKDAYS(MAX($K365,AV$4),MIN($L365,EOMONTH(AV$4,0)),Assumptions!$F$4:$F$44))/NETWORKDAYS($K365,$L365,Assumptions!$F$4:$F$44))</f>
        <v>0</v>
      </c>
      <c r="AW365" s="21" t="n">
        <f aca="false">IF($J365=0,0,MAX(0,NETWORKDAYS(MAX($K365,AW$4),MIN($L365,EOMONTH(AW$4,0)),Assumptions!$F$4:$F$44))/NETWORKDAYS($K365,$L365,Assumptions!$F$4:$F$44))</f>
        <v>0</v>
      </c>
      <c r="AX365" s="21" t="n">
        <f aca="false">IF($J365=0,0,MAX(0,NETWORKDAYS(MAX($K365,AX$4),MIN($L365,EOMONTH(AX$4,0)),Assumptions!$F$4:$F$44))/NETWORKDAYS($K365,$L365,Assumptions!$F$4:$F$44))</f>
        <v>0</v>
      </c>
      <c r="AY365" s="21" t="n">
        <f aca="false">IF($J365=0,0,MAX(0,NETWORKDAYS(MAX($K365,AY$4),MIN($L365,EOMONTH(AY$4,0)),Assumptions!$F$4:$F$44))/NETWORKDAYS($K365,$L365,Assumptions!$F$4:$F$44))</f>
        <v>0</v>
      </c>
      <c r="AZ365" s="21" t="n">
        <f aca="false">IF($J365=0,0,MAX(0,NETWORKDAYS(MAX($K365,AZ$4),MIN($L365,EOMONTH(AZ$4,0)),Assumptions!$F$4:$F$44))/NETWORKDAYS($K365,$L365,Assumptions!$F$4:$F$44))</f>
        <v>0</v>
      </c>
      <c r="BA365" s="21" t="n">
        <f aca="false">IF($J365=0,0,MAX(0,NETWORKDAYS(MAX($K365,BA$4),MIN($L365,EOMONTH(BA$4,0)),Assumptions!$F$4:$F$44))/NETWORKDAYS($K365,$L365,Assumptions!$F$4:$F$44))</f>
        <v>0</v>
      </c>
      <c r="BB365" s="21" t="n">
        <f aca="false">IF($J365=0,0,MAX(0,NETWORKDAYS(MAX($K365,BB$4),MIN($L365,EOMONTH(BB$4,0)),Assumptions!$F$4:$F$44))/NETWORKDAYS($K365,$L365,Assumptions!$F$4:$F$44))</f>
        <v>0</v>
      </c>
      <c r="BC365" s="21" t="n">
        <f aca="false">IF($J365=0,0,MAX(0,NETWORKDAYS(MAX($K365,BC$4),MIN($L365,EOMONTH(BC$4,0)),Assumptions!$F$4:$F$44))/NETWORKDAYS($K365,$L365,Assumptions!$F$4:$F$44))</f>
        <v>0</v>
      </c>
    </row>
    <row r="366" customFormat="false" ht="15" hidden="false" customHeight="false" outlineLevel="2" collapsed="false">
      <c r="A366" s="27" t="n">
        <v>362</v>
      </c>
      <c r="B366" s="27" t="s">
        <v>786</v>
      </c>
      <c r="C366" s="27" t="n">
        <v>3</v>
      </c>
      <c r="D366" s="27" t="s">
        <v>92</v>
      </c>
      <c r="E366" s="28" t="s">
        <v>317</v>
      </c>
      <c r="F366" s="27" t="s">
        <v>681</v>
      </c>
      <c r="G366" s="27" t="s">
        <v>774</v>
      </c>
      <c r="H366" s="27" t="s">
        <v>51</v>
      </c>
      <c r="I366" s="29" t="n">
        <v>222</v>
      </c>
      <c r="J366" s="29" t="n">
        <v>40</v>
      </c>
      <c r="K366" s="30" t="n">
        <f aca="false">WORKDAY(Assumptions!$C$4,I366,Assumptions!$F$4:$F$44)</f>
        <v>46638</v>
      </c>
      <c r="L366" s="30" t="n">
        <f aca="false">IF(J366=0,K366,WORKDAY(K366,J366-1,Assumptions!$F$4:$F$44))</f>
        <v>46693</v>
      </c>
      <c r="M366" s="29" t="s">
        <v>784</v>
      </c>
      <c r="N366" s="31" t="n">
        <v>0</v>
      </c>
      <c r="O366" s="31" t="n">
        <v>0</v>
      </c>
      <c r="P366" s="31" t="n">
        <v>0</v>
      </c>
      <c r="Q366" s="31" t="n">
        <v>0</v>
      </c>
      <c r="R366" s="31" t="n">
        <v>0</v>
      </c>
      <c r="S366" s="31" t="n">
        <v>11</v>
      </c>
      <c r="T366" s="31" t="n">
        <v>0</v>
      </c>
      <c r="U366" s="31" t="n">
        <v>0</v>
      </c>
      <c r="V366" s="31" t="n">
        <v>0</v>
      </c>
      <c r="W366" s="31" t="n">
        <v>0</v>
      </c>
      <c r="X366" s="31" t="n">
        <v>0</v>
      </c>
      <c r="Y366" s="32" t="n">
        <f aca="false">SUM(N366:X366)</f>
        <v>11</v>
      </c>
      <c r="Z366" s="32" t="n">
        <f aca="false">Y366*(1+Assumptions!$C$5)</f>
        <v>12.65</v>
      </c>
      <c r="AA366" s="27" t="s">
        <v>318</v>
      </c>
      <c r="AB366" s="27" t="s">
        <v>95</v>
      </c>
      <c r="AC366" s="27"/>
      <c r="AD366" s="33" t="n">
        <v>0</v>
      </c>
      <c r="AF366" s="21" t="n">
        <f aca="false">IF($J366=0,0,MAX(0,NETWORKDAYS(MAX($K366,AF$4),MIN($L366,EOMONTH(AF$4,0)),Assumptions!$F$4:$F$44))/NETWORKDAYS($K366,$L366,Assumptions!$F$4:$F$44))</f>
        <v>0</v>
      </c>
      <c r="AG366" s="21" t="n">
        <f aca="false">IF($J366=0,0,MAX(0,NETWORKDAYS(MAX($K366,AG$4),MIN($L366,EOMONTH(AG$4,0)),Assumptions!$F$4:$F$44))/NETWORKDAYS($K366,$L366,Assumptions!$F$4:$F$44))</f>
        <v>0</v>
      </c>
      <c r="AH366" s="21" t="n">
        <f aca="false">IF($J366=0,0,MAX(0,NETWORKDAYS(MAX($K366,AH$4),MIN($L366,EOMONTH(AH$4,0)),Assumptions!$F$4:$F$44))/NETWORKDAYS($K366,$L366,Assumptions!$F$4:$F$44))</f>
        <v>0</v>
      </c>
      <c r="AI366" s="21" t="n">
        <f aca="false">IF($J366=0,0,MAX(0,NETWORKDAYS(MAX($K366,AI$4),MIN($L366,EOMONTH(AI$4,0)),Assumptions!$F$4:$F$44))/NETWORKDAYS($K366,$L366,Assumptions!$F$4:$F$44))</f>
        <v>0</v>
      </c>
      <c r="AJ366" s="21" t="n">
        <f aca="false">IF($J366=0,0,MAX(0,NETWORKDAYS(MAX($K366,AJ$4),MIN($L366,EOMONTH(AJ$4,0)),Assumptions!$F$4:$F$44))/NETWORKDAYS($K366,$L366,Assumptions!$F$4:$F$44))</f>
        <v>0</v>
      </c>
      <c r="AK366" s="21" t="n">
        <f aca="false">IF($J366=0,0,MAX(0,NETWORKDAYS(MAX($K366,AK$4),MIN($L366,EOMONTH(AK$4,0)),Assumptions!$F$4:$F$44))/NETWORKDAYS($K366,$L366,Assumptions!$F$4:$F$44))</f>
        <v>0</v>
      </c>
      <c r="AL366" s="21" t="n">
        <f aca="false">IF($J366=0,0,MAX(0,NETWORKDAYS(MAX($K366,AL$4),MIN($L366,EOMONTH(AL$4,0)),Assumptions!$F$4:$F$44))/NETWORKDAYS($K366,$L366,Assumptions!$F$4:$F$44))</f>
        <v>0</v>
      </c>
      <c r="AM366" s="21" t="n">
        <f aca="false">IF($J366=0,0,MAX(0,NETWORKDAYS(MAX($K366,AM$4),MIN($L366,EOMONTH(AM$4,0)),Assumptions!$F$4:$F$44))/NETWORKDAYS($K366,$L366,Assumptions!$F$4:$F$44))</f>
        <v>0</v>
      </c>
      <c r="AN366" s="21" t="n">
        <f aca="false">IF($J366=0,0,MAX(0,NETWORKDAYS(MAX($K366,AN$4),MIN($L366,EOMONTH(AN$4,0)),Assumptions!$F$4:$F$44))/NETWORKDAYS($K366,$L366,Assumptions!$F$4:$F$44))</f>
        <v>0</v>
      </c>
      <c r="AO366" s="21" t="n">
        <f aca="false">IF($J366=0,0,MAX(0,NETWORKDAYS(MAX($K366,AO$4),MIN($L366,EOMONTH(AO$4,0)),Assumptions!$F$4:$F$44))/NETWORKDAYS($K366,$L366,Assumptions!$F$4:$F$44))</f>
        <v>0</v>
      </c>
      <c r="AP366" s="21" t="n">
        <f aca="false">IF($J366=0,0,MAX(0,NETWORKDAYS(MAX($K366,AP$4),MIN($L366,EOMONTH(AP$4,0)),Assumptions!$F$4:$F$44))/NETWORKDAYS($K366,$L366,Assumptions!$F$4:$F$44))</f>
        <v>0.425</v>
      </c>
      <c r="AQ366" s="21" t="n">
        <f aca="false">IF($J366=0,0,MAX(0,NETWORKDAYS(MAX($K366,AQ$4),MIN($L366,EOMONTH(AQ$4,0)),Assumptions!$F$4:$F$44))/NETWORKDAYS($K366,$L366,Assumptions!$F$4:$F$44))</f>
        <v>0.525</v>
      </c>
      <c r="AR366" s="21" t="n">
        <f aca="false">IF($J366=0,0,MAX(0,NETWORKDAYS(MAX($K366,AR$4),MIN($L366,EOMONTH(AR$4,0)),Assumptions!$F$4:$F$44))/NETWORKDAYS($K366,$L366,Assumptions!$F$4:$F$44))</f>
        <v>0.05</v>
      </c>
      <c r="AS366" s="21" t="n">
        <f aca="false">IF($J366=0,0,MAX(0,NETWORKDAYS(MAX($K366,AS$4),MIN($L366,EOMONTH(AS$4,0)),Assumptions!$F$4:$F$44))/NETWORKDAYS($K366,$L366,Assumptions!$F$4:$F$44))</f>
        <v>0</v>
      </c>
      <c r="AT366" s="21" t="n">
        <f aca="false">IF($J366=0,0,MAX(0,NETWORKDAYS(MAX($K366,AT$4),MIN($L366,EOMONTH(AT$4,0)),Assumptions!$F$4:$F$44))/NETWORKDAYS($K366,$L366,Assumptions!$F$4:$F$44))</f>
        <v>0</v>
      </c>
      <c r="AU366" s="21" t="n">
        <f aca="false">IF($J366=0,0,MAX(0,NETWORKDAYS(MAX($K366,AU$4),MIN($L366,EOMONTH(AU$4,0)),Assumptions!$F$4:$F$44))/NETWORKDAYS($K366,$L366,Assumptions!$F$4:$F$44))</f>
        <v>0</v>
      </c>
      <c r="AV366" s="21" t="n">
        <f aca="false">IF($J366=0,0,MAX(0,NETWORKDAYS(MAX($K366,AV$4),MIN($L366,EOMONTH(AV$4,0)),Assumptions!$F$4:$F$44))/NETWORKDAYS($K366,$L366,Assumptions!$F$4:$F$44))</f>
        <v>0</v>
      </c>
      <c r="AW366" s="21" t="n">
        <f aca="false">IF($J366=0,0,MAX(0,NETWORKDAYS(MAX($K366,AW$4),MIN($L366,EOMONTH(AW$4,0)),Assumptions!$F$4:$F$44))/NETWORKDAYS($K366,$L366,Assumptions!$F$4:$F$44))</f>
        <v>0</v>
      </c>
      <c r="AX366" s="21" t="n">
        <f aca="false">IF($J366=0,0,MAX(0,NETWORKDAYS(MAX($K366,AX$4),MIN($L366,EOMONTH(AX$4,0)),Assumptions!$F$4:$F$44))/NETWORKDAYS($K366,$L366,Assumptions!$F$4:$F$44))</f>
        <v>0</v>
      </c>
      <c r="AY366" s="21" t="n">
        <f aca="false">IF($J366=0,0,MAX(0,NETWORKDAYS(MAX($K366,AY$4),MIN($L366,EOMONTH(AY$4,0)),Assumptions!$F$4:$F$44))/NETWORKDAYS($K366,$L366,Assumptions!$F$4:$F$44))</f>
        <v>0</v>
      </c>
      <c r="AZ366" s="21" t="n">
        <f aca="false">IF($J366=0,0,MAX(0,NETWORKDAYS(MAX($K366,AZ$4),MIN($L366,EOMONTH(AZ$4,0)),Assumptions!$F$4:$F$44))/NETWORKDAYS($K366,$L366,Assumptions!$F$4:$F$44))</f>
        <v>0</v>
      </c>
      <c r="BA366" s="21" t="n">
        <f aca="false">IF($J366=0,0,MAX(0,NETWORKDAYS(MAX($K366,BA$4),MIN($L366,EOMONTH(BA$4,0)),Assumptions!$F$4:$F$44))/NETWORKDAYS($K366,$L366,Assumptions!$F$4:$F$44))</f>
        <v>0</v>
      </c>
      <c r="BB366" s="21" t="n">
        <f aca="false">IF($J366=0,0,MAX(0,NETWORKDAYS(MAX($K366,BB$4),MIN($L366,EOMONTH(BB$4,0)),Assumptions!$F$4:$F$44))/NETWORKDAYS($K366,$L366,Assumptions!$F$4:$F$44))</f>
        <v>0</v>
      </c>
      <c r="BC366" s="21" t="n">
        <f aca="false">IF($J366=0,0,MAX(0,NETWORKDAYS(MAX($K366,BC$4),MIN($L366,EOMONTH(BC$4,0)),Assumptions!$F$4:$F$44))/NETWORKDAYS($K366,$L366,Assumptions!$F$4:$F$44))</f>
        <v>0</v>
      </c>
    </row>
    <row r="367" customFormat="false" ht="15" hidden="false" customHeight="false" outlineLevel="2" collapsed="false">
      <c r="A367" s="27" t="n">
        <v>363</v>
      </c>
      <c r="B367" s="27" t="s">
        <v>787</v>
      </c>
      <c r="C367" s="27" t="n">
        <v>3</v>
      </c>
      <c r="D367" s="27" t="s">
        <v>92</v>
      </c>
      <c r="E367" s="28" t="s">
        <v>320</v>
      </c>
      <c r="F367" s="27" t="s">
        <v>681</v>
      </c>
      <c r="G367" s="27" t="s">
        <v>774</v>
      </c>
      <c r="H367" s="27" t="s">
        <v>53</v>
      </c>
      <c r="I367" s="29" t="n">
        <v>209</v>
      </c>
      <c r="J367" s="29" t="n">
        <v>46</v>
      </c>
      <c r="K367" s="30" t="n">
        <f aca="false">WORKDAY(Assumptions!$C$4,I367,Assumptions!$F$4:$F$44)</f>
        <v>46619</v>
      </c>
      <c r="L367" s="30" t="n">
        <f aca="false">IF(J367=0,K367,WORKDAY(K367,J367-1,Assumptions!$F$4:$F$44))</f>
        <v>46682</v>
      </c>
      <c r="M367" s="29" t="s">
        <v>781</v>
      </c>
      <c r="N367" s="31" t="n">
        <v>0</v>
      </c>
      <c r="O367" s="31" t="n">
        <v>0</v>
      </c>
      <c r="P367" s="31" t="n">
        <v>0</v>
      </c>
      <c r="Q367" s="31" t="n">
        <v>0</v>
      </c>
      <c r="R367" s="31" t="n">
        <v>0</v>
      </c>
      <c r="S367" s="31" t="n">
        <v>0</v>
      </c>
      <c r="T367" s="31" t="n">
        <v>9</v>
      </c>
      <c r="U367" s="31" t="n">
        <v>0</v>
      </c>
      <c r="V367" s="31" t="n">
        <v>0</v>
      </c>
      <c r="W367" s="31" t="n">
        <v>0</v>
      </c>
      <c r="X367" s="31" t="n">
        <v>0</v>
      </c>
      <c r="Y367" s="32" t="n">
        <f aca="false">SUM(N367:X367)</f>
        <v>9</v>
      </c>
      <c r="Z367" s="32" t="n">
        <f aca="false">Y367*(1+Assumptions!$C$5)</f>
        <v>10.35</v>
      </c>
      <c r="AA367" s="27" t="s">
        <v>321</v>
      </c>
      <c r="AB367" s="27" t="s">
        <v>95</v>
      </c>
      <c r="AC367" s="27"/>
      <c r="AD367" s="33" t="n">
        <v>0</v>
      </c>
      <c r="AF367" s="21" t="n">
        <f aca="false">IF($J367=0,0,MAX(0,NETWORKDAYS(MAX($K367,AF$4),MIN($L367,EOMONTH(AF$4,0)),Assumptions!$F$4:$F$44))/NETWORKDAYS($K367,$L367,Assumptions!$F$4:$F$44))</f>
        <v>0</v>
      </c>
      <c r="AG367" s="21" t="n">
        <f aca="false">IF($J367=0,0,MAX(0,NETWORKDAYS(MAX($K367,AG$4),MIN($L367,EOMONTH(AG$4,0)),Assumptions!$F$4:$F$44))/NETWORKDAYS($K367,$L367,Assumptions!$F$4:$F$44))</f>
        <v>0</v>
      </c>
      <c r="AH367" s="21" t="n">
        <f aca="false">IF($J367=0,0,MAX(0,NETWORKDAYS(MAX($K367,AH$4),MIN($L367,EOMONTH(AH$4,0)),Assumptions!$F$4:$F$44))/NETWORKDAYS($K367,$L367,Assumptions!$F$4:$F$44))</f>
        <v>0</v>
      </c>
      <c r="AI367" s="21" t="n">
        <f aca="false">IF($J367=0,0,MAX(0,NETWORKDAYS(MAX($K367,AI$4),MIN($L367,EOMONTH(AI$4,0)),Assumptions!$F$4:$F$44))/NETWORKDAYS($K367,$L367,Assumptions!$F$4:$F$44))</f>
        <v>0</v>
      </c>
      <c r="AJ367" s="21" t="n">
        <f aca="false">IF($J367=0,0,MAX(0,NETWORKDAYS(MAX($K367,AJ$4),MIN($L367,EOMONTH(AJ$4,0)),Assumptions!$F$4:$F$44))/NETWORKDAYS($K367,$L367,Assumptions!$F$4:$F$44))</f>
        <v>0</v>
      </c>
      <c r="AK367" s="21" t="n">
        <f aca="false">IF($J367=0,0,MAX(0,NETWORKDAYS(MAX($K367,AK$4),MIN($L367,EOMONTH(AK$4,0)),Assumptions!$F$4:$F$44))/NETWORKDAYS($K367,$L367,Assumptions!$F$4:$F$44))</f>
        <v>0</v>
      </c>
      <c r="AL367" s="21" t="n">
        <f aca="false">IF($J367=0,0,MAX(0,NETWORKDAYS(MAX($K367,AL$4),MIN($L367,EOMONTH(AL$4,0)),Assumptions!$F$4:$F$44))/NETWORKDAYS($K367,$L367,Assumptions!$F$4:$F$44))</f>
        <v>0</v>
      </c>
      <c r="AM367" s="21" t="n">
        <f aca="false">IF($J367=0,0,MAX(0,NETWORKDAYS(MAX($K367,AM$4),MIN($L367,EOMONTH(AM$4,0)),Assumptions!$F$4:$F$44))/NETWORKDAYS($K367,$L367,Assumptions!$F$4:$F$44))</f>
        <v>0</v>
      </c>
      <c r="AN367" s="21" t="n">
        <f aca="false">IF($J367=0,0,MAX(0,NETWORKDAYS(MAX($K367,AN$4),MIN($L367,EOMONTH(AN$4,0)),Assumptions!$F$4:$F$44))/NETWORKDAYS($K367,$L367,Assumptions!$F$4:$F$44))</f>
        <v>0</v>
      </c>
      <c r="AO367" s="21" t="n">
        <f aca="false">IF($J367=0,0,MAX(0,NETWORKDAYS(MAX($K367,AO$4),MIN($L367,EOMONTH(AO$4,0)),Assumptions!$F$4:$F$44))/NETWORKDAYS($K367,$L367,Assumptions!$F$4:$F$44))</f>
        <v>0.173913043478261</v>
      </c>
      <c r="AP367" s="21" t="n">
        <f aca="false">IF($J367=0,0,MAX(0,NETWORKDAYS(MAX($K367,AP$4),MIN($L367,EOMONTH(AP$4,0)),Assumptions!$F$4:$F$44))/NETWORKDAYS($K367,$L367,Assumptions!$F$4:$F$44))</f>
        <v>0.478260869565217</v>
      </c>
      <c r="AQ367" s="21" t="n">
        <f aca="false">IF($J367=0,0,MAX(0,NETWORKDAYS(MAX($K367,AQ$4),MIN($L367,EOMONTH(AQ$4,0)),Assumptions!$F$4:$F$44))/NETWORKDAYS($K367,$L367,Assumptions!$F$4:$F$44))</f>
        <v>0.347826086956522</v>
      </c>
      <c r="AR367" s="21" t="n">
        <f aca="false">IF($J367=0,0,MAX(0,NETWORKDAYS(MAX($K367,AR$4),MIN($L367,EOMONTH(AR$4,0)),Assumptions!$F$4:$F$44))/NETWORKDAYS($K367,$L367,Assumptions!$F$4:$F$44))</f>
        <v>0</v>
      </c>
      <c r="AS367" s="21" t="n">
        <f aca="false">IF($J367=0,0,MAX(0,NETWORKDAYS(MAX($K367,AS$4),MIN($L367,EOMONTH(AS$4,0)),Assumptions!$F$4:$F$44))/NETWORKDAYS($K367,$L367,Assumptions!$F$4:$F$44))</f>
        <v>0</v>
      </c>
      <c r="AT367" s="21" t="n">
        <f aca="false">IF($J367=0,0,MAX(0,NETWORKDAYS(MAX($K367,AT$4),MIN($L367,EOMONTH(AT$4,0)),Assumptions!$F$4:$F$44))/NETWORKDAYS($K367,$L367,Assumptions!$F$4:$F$44))</f>
        <v>0</v>
      </c>
      <c r="AU367" s="21" t="n">
        <f aca="false">IF($J367=0,0,MAX(0,NETWORKDAYS(MAX($K367,AU$4),MIN($L367,EOMONTH(AU$4,0)),Assumptions!$F$4:$F$44))/NETWORKDAYS($K367,$L367,Assumptions!$F$4:$F$44))</f>
        <v>0</v>
      </c>
      <c r="AV367" s="21" t="n">
        <f aca="false">IF($J367=0,0,MAX(0,NETWORKDAYS(MAX($K367,AV$4),MIN($L367,EOMONTH(AV$4,0)),Assumptions!$F$4:$F$44))/NETWORKDAYS($K367,$L367,Assumptions!$F$4:$F$44))</f>
        <v>0</v>
      </c>
      <c r="AW367" s="21" t="n">
        <f aca="false">IF($J367=0,0,MAX(0,NETWORKDAYS(MAX($K367,AW$4),MIN($L367,EOMONTH(AW$4,0)),Assumptions!$F$4:$F$44))/NETWORKDAYS($K367,$L367,Assumptions!$F$4:$F$44))</f>
        <v>0</v>
      </c>
      <c r="AX367" s="21" t="n">
        <f aca="false">IF($J367=0,0,MAX(0,NETWORKDAYS(MAX($K367,AX$4),MIN($L367,EOMONTH(AX$4,0)),Assumptions!$F$4:$F$44))/NETWORKDAYS($K367,$L367,Assumptions!$F$4:$F$44))</f>
        <v>0</v>
      </c>
      <c r="AY367" s="21" t="n">
        <f aca="false">IF($J367=0,0,MAX(0,NETWORKDAYS(MAX($K367,AY$4),MIN($L367,EOMONTH(AY$4,0)),Assumptions!$F$4:$F$44))/NETWORKDAYS($K367,$L367,Assumptions!$F$4:$F$44))</f>
        <v>0</v>
      </c>
      <c r="AZ367" s="21" t="n">
        <f aca="false">IF($J367=0,0,MAX(0,NETWORKDAYS(MAX($K367,AZ$4),MIN($L367,EOMONTH(AZ$4,0)),Assumptions!$F$4:$F$44))/NETWORKDAYS($K367,$L367,Assumptions!$F$4:$F$44))</f>
        <v>0</v>
      </c>
      <c r="BA367" s="21" t="n">
        <f aca="false">IF($J367=0,0,MAX(0,NETWORKDAYS(MAX($K367,BA$4),MIN($L367,EOMONTH(BA$4,0)),Assumptions!$F$4:$F$44))/NETWORKDAYS($K367,$L367,Assumptions!$F$4:$F$44))</f>
        <v>0</v>
      </c>
      <c r="BB367" s="21" t="n">
        <f aca="false">IF($J367=0,0,MAX(0,NETWORKDAYS(MAX($K367,BB$4),MIN($L367,EOMONTH(BB$4,0)),Assumptions!$F$4:$F$44))/NETWORKDAYS($K367,$L367,Assumptions!$F$4:$F$44))</f>
        <v>0</v>
      </c>
      <c r="BC367" s="21" t="n">
        <f aca="false">IF($J367=0,0,MAX(0,NETWORKDAYS(MAX($K367,BC$4),MIN($L367,EOMONTH(BC$4,0)),Assumptions!$F$4:$F$44))/NETWORKDAYS($K367,$L367,Assumptions!$F$4:$F$44))</f>
        <v>0</v>
      </c>
    </row>
    <row r="368" customFormat="false" ht="15" hidden="false" customHeight="false" outlineLevel="2" collapsed="false">
      <c r="A368" s="27" t="n">
        <v>364</v>
      </c>
      <c r="B368" s="27" t="s">
        <v>788</v>
      </c>
      <c r="C368" s="27" t="n">
        <v>3</v>
      </c>
      <c r="D368" s="27" t="s">
        <v>92</v>
      </c>
      <c r="E368" s="28" t="s">
        <v>789</v>
      </c>
      <c r="F368" s="27" t="s">
        <v>681</v>
      </c>
      <c r="G368" s="27" t="s">
        <v>774</v>
      </c>
      <c r="H368" s="27" t="s">
        <v>47</v>
      </c>
      <c r="I368" s="29" t="n">
        <v>229</v>
      </c>
      <c r="J368" s="29" t="n">
        <v>37</v>
      </c>
      <c r="K368" s="30" t="n">
        <f aca="false">WORKDAY(Assumptions!$C$4,I368,Assumptions!$F$4:$F$44)</f>
        <v>46647</v>
      </c>
      <c r="L368" s="30" t="n">
        <f aca="false">IF(J368=0,K368,WORKDAY(K368,J368-1,Assumptions!$F$4:$F$44))</f>
        <v>46699</v>
      </c>
      <c r="M368" s="29" t="s">
        <v>790</v>
      </c>
      <c r="N368" s="31" t="n">
        <v>0</v>
      </c>
      <c r="O368" s="31" t="n">
        <v>0</v>
      </c>
      <c r="P368" s="31" t="n">
        <v>0</v>
      </c>
      <c r="Q368" s="31" t="n">
        <v>9</v>
      </c>
      <c r="R368" s="31" t="n">
        <v>0</v>
      </c>
      <c r="S368" s="31" t="n">
        <v>0</v>
      </c>
      <c r="T368" s="31" t="n">
        <v>0</v>
      </c>
      <c r="U368" s="31" t="n">
        <v>0</v>
      </c>
      <c r="V368" s="31" t="n">
        <v>0</v>
      </c>
      <c r="W368" s="31" t="n">
        <v>0</v>
      </c>
      <c r="X368" s="31" t="n">
        <v>0</v>
      </c>
      <c r="Y368" s="32" t="n">
        <f aca="false">SUM(N368:X368)</f>
        <v>9</v>
      </c>
      <c r="Z368" s="32" t="n">
        <f aca="false">Y368*(1+Assumptions!$C$5)</f>
        <v>10.35</v>
      </c>
      <c r="AA368" s="27" t="s">
        <v>325</v>
      </c>
      <c r="AB368" s="27" t="s">
        <v>95</v>
      </c>
      <c r="AC368" s="27"/>
      <c r="AD368" s="33" t="n">
        <v>0</v>
      </c>
      <c r="AF368" s="21" t="n">
        <f aca="false">IF($J368=0,0,MAX(0,NETWORKDAYS(MAX($K368,AF$4),MIN($L368,EOMONTH(AF$4,0)),Assumptions!$F$4:$F$44))/NETWORKDAYS($K368,$L368,Assumptions!$F$4:$F$44))</f>
        <v>0</v>
      </c>
      <c r="AG368" s="21" t="n">
        <f aca="false">IF($J368=0,0,MAX(0,NETWORKDAYS(MAX($K368,AG$4),MIN($L368,EOMONTH(AG$4,0)),Assumptions!$F$4:$F$44))/NETWORKDAYS($K368,$L368,Assumptions!$F$4:$F$44))</f>
        <v>0</v>
      </c>
      <c r="AH368" s="21" t="n">
        <f aca="false">IF($J368=0,0,MAX(0,NETWORKDAYS(MAX($K368,AH$4),MIN($L368,EOMONTH(AH$4,0)),Assumptions!$F$4:$F$44))/NETWORKDAYS($K368,$L368,Assumptions!$F$4:$F$44))</f>
        <v>0</v>
      </c>
      <c r="AI368" s="21" t="n">
        <f aca="false">IF($J368=0,0,MAX(0,NETWORKDAYS(MAX($K368,AI$4),MIN($L368,EOMONTH(AI$4,0)),Assumptions!$F$4:$F$44))/NETWORKDAYS($K368,$L368,Assumptions!$F$4:$F$44))</f>
        <v>0</v>
      </c>
      <c r="AJ368" s="21" t="n">
        <f aca="false">IF($J368=0,0,MAX(0,NETWORKDAYS(MAX($K368,AJ$4),MIN($L368,EOMONTH(AJ$4,0)),Assumptions!$F$4:$F$44))/NETWORKDAYS($K368,$L368,Assumptions!$F$4:$F$44))</f>
        <v>0</v>
      </c>
      <c r="AK368" s="21" t="n">
        <f aca="false">IF($J368=0,0,MAX(0,NETWORKDAYS(MAX($K368,AK$4),MIN($L368,EOMONTH(AK$4,0)),Assumptions!$F$4:$F$44))/NETWORKDAYS($K368,$L368,Assumptions!$F$4:$F$44))</f>
        <v>0</v>
      </c>
      <c r="AL368" s="21" t="n">
        <f aca="false">IF($J368=0,0,MAX(0,NETWORKDAYS(MAX($K368,AL$4),MIN($L368,EOMONTH(AL$4,0)),Assumptions!$F$4:$F$44))/NETWORKDAYS($K368,$L368,Assumptions!$F$4:$F$44))</f>
        <v>0</v>
      </c>
      <c r="AM368" s="21" t="n">
        <f aca="false">IF($J368=0,0,MAX(0,NETWORKDAYS(MAX($K368,AM$4),MIN($L368,EOMONTH(AM$4,0)),Assumptions!$F$4:$F$44))/NETWORKDAYS($K368,$L368,Assumptions!$F$4:$F$44))</f>
        <v>0</v>
      </c>
      <c r="AN368" s="21" t="n">
        <f aca="false">IF($J368=0,0,MAX(0,NETWORKDAYS(MAX($K368,AN$4),MIN($L368,EOMONTH(AN$4,0)),Assumptions!$F$4:$F$44))/NETWORKDAYS($K368,$L368,Assumptions!$F$4:$F$44))</f>
        <v>0</v>
      </c>
      <c r="AO368" s="21" t="n">
        <f aca="false">IF($J368=0,0,MAX(0,NETWORKDAYS(MAX($K368,AO$4),MIN($L368,EOMONTH(AO$4,0)),Assumptions!$F$4:$F$44))/NETWORKDAYS($K368,$L368,Assumptions!$F$4:$F$44))</f>
        <v>0</v>
      </c>
      <c r="AP368" s="21" t="n">
        <f aca="false">IF($J368=0,0,MAX(0,NETWORKDAYS(MAX($K368,AP$4),MIN($L368,EOMONTH(AP$4,0)),Assumptions!$F$4:$F$44))/NETWORKDAYS($K368,$L368,Assumptions!$F$4:$F$44))</f>
        <v>0.27027027027027</v>
      </c>
      <c r="AQ368" s="21" t="n">
        <f aca="false">IF($J368=0,0,MAX(0,NETWORKDAYS(MAX($K368,AQ$4),MIN($L368,EOMONTH(AQ$4,0)),Assumptions!$F$4:$F$44))/NETWORKDAYS($K368,$L368,Assumptions!$F$4:$F$44))</f>
        <v>0.567567567567568</v>
      </c>
      <c r="AR368" s="21" t="n">
        <f aca="false">IF($J368=0,0,MAX(0,NETWORKDAYS(MAX($K368,AR$4),MIN($L368,EOMONTH(AR$4,0)),Assumptions!$F$4:$F$44))/NETWORKDAYS($K368,$L368,Assumptions!$F$4:$F$44))</f>
        <v>0.162162162162162</v>
      </c>
      <c r="AS368" s="21" t="n">
        <f aca="false">IF($J368=0,0,MAX(0,NETWORKDAYS(MAX($K368,AS$4),MIN($L368,EOMONTH(AS$4,0)),Assumptions!$F$4:$F$44))/NETWORKDAYS($K368,$L368,Assumptions!$F$4:$F$44))</f>
        <v>0</v>
      </c>
      <c r="AT368" s="21" t="n">
        <f aca="false">IF($J368=0,0,MAX(0,NETWORKDAYS(MAX($K368,AT$4),MIN($L368,EOMONTH(AT$4,0)),Assumptions!$F$4:$F$44))/NETWORKDAYS($K368,$L368,Assumptions!$F$4:$F$44))</f>
        <v>0</v>
      </c>
      <c r="AU368" s="21" t="n">
        <f aca="false">IF($J368=0,0,MAX(0,NETWORKDAYS(MAX($K368,AU$4),MIN($L368,EOMONTH(AU$4,0)),Assumptions!$F$4:$F$44))/NETWORKDAYS($K368,$L368,Assumptions!$F$4:$F$44))</f>
        <v>0</v>
      </c>
      <c r="AV368" s="21" t="n">
        <f aca="false">IF($J368=0,0,MAX(0,NETWORKDAYS(MAX($K368,AV$4),MIN($L368,EOMONTH(AV$4,0)),Assumptions!$F$4:$F$44))/NETWORKDAYS($K368,$L368,Assumptions!$F$4:$F$44))</f>
        <v>0</v>
      </c>
      <c r="AW368" s="21" t="n">
        <f aca="false">IF($J368=0,0,MAX(0,NETWORKDAYS(MAX($K368,AW$4),MIN($L368,EOMONTH(AW$4,0)),Assumptions!$F$4:$F$44))/NETWORKDAYS($K368,$L368,Assumptions!$F$4:$F$44))</f>
        <v>0</v>
      </c>
      <c r="AX368" s="21" t="n">
        <f aca="false">IF($J368=0,0,MAX(0,NETWORKDAYS(MAX($K368,AX$4),MIN($L368,EOMONTH(AX$4,0)),Assumptions!$F$4:$F$44))/NETWORKDAYS($K368,$L368,Assumptions!$F$4:$F$44))</f>
        <v>0</v>
      </c>
      <c r="AY368" s="21" t="n">
        <f aca="false">IF($J368=0,0,MAX(0,NETWORKDAYS(MAX($K368,AY$4),MIN($L368,EOMONTH(AY$4,0)),Assumptions!$F$4:$F$44))/NETWORKDAYS($K368,$L368,Assumptions!$F$4:$F$44))</f>
        <v>0</v>
      </c>
      <c r="AZ368" s="21" t="n">
        <f aca="false">IF($J368=0,0,MAX(0,NETWORKDAYS(MAX($K368,AZ$4),MIN($L368,EOMONTH(AZ$4,0)),Assumptions!$F$4:$F$44))/NETWORKDAYS($K368,$L368,Assumptions!$F$4:$F$44))</f>
        <v>0</v>
      </c>
      <c r="BA368" s="21" t="n">
        <f aca="false">IF($J368=0,0,MAX(0,NETWORKDAYS(MAX($K368,BA$4),MIN($L368,EOMONTH(BA$4,0)),Assumptions!$F$4:$F$44))/NETWORKDAYS($K368,$L368,Assumptions!$F$4:$F$44))</f>
        <v>0</v>
      </c>
      <c r="BB368" s="21" t="n">
        <f aca="false">IF($J368=0,0,MAX(0,NETWORKDAYS(MAX($K368,BB$4),MIN($L368,EOMONTH(BB$4,0)),Assumptions!$F$4:$F$44))/NETWORKDAYS($K368,$L368,Assumptions!$F$4:$F$44))</f>
        <v>0</v>
      </c>
      <c r="BC368" s="21" t="n">
        <f aca="false">IF($J368=0,0,MAX(0,NETWORKDAYS(MAX($K368,BC$4),MIN($L368,EOMONTH(BC$4,0)),Assumptions!$F$4:$F$44))/NETWORKDAYS($K368,$L368,Assumptions!$F$4:$F$44))</f>
        <v>0</v>
      </c>
    </row>
    <row r="369" customFormat="false" ht="15" hidden="false" customHeight="false" outlineLevel="2" collapsed="false">
      <c r="A369" s="27" t="n">
        <v>365</v>
      </c>
      <c r="B369" s="27" t="s">
        <v>791</v>
      </c>
      <c r="C369" s="27" t="n">
        <v>3</v>
      </c>
      <c r="D369" s="27" t="s">
        <v>92</v>
      </c>
      <c r="E369" s="28" t="s">
        <v>330</v>
      </c>
      <c r="F369" s="27" t="s">
        <v>681</v>
      </c>
      <c r="G369" s="27" t="s">
        <v>774</v>
      </c>
      <c r="H369" s="27" t="s">
        <v>47</v>
      </c>
      <c r="I369" s="29" t="n">
        <v>242</v>
      </c>
      <c r="J369" s="29" t="n">
        <v>26</v>
      </c>
      <c r="K369" s="30" t="n">
        <f aca="false">WORKDAY(Assumptions!$C$4,I369,Assumptions!$F$4:$F$44)</f>
        <v>46666</v>
      </c>
      <c r="L369" s="30" t="n">
        <f aca="false">IF(J369=0,K369,WORKDAY(K369,J369-1,Assumptions!$F$4:$F$44))</f>
        <v>46701</v>
      </c>
      <c r="M369" s="29" t="s">
        <v>790</v>
      </c>
      <c r="N369" s="31" t="n">
        <v>0</v>
      </c>
      <c r="O369" s="31" t="n">
        <v>2</v>
      </c>
      <c r="P369" s="31" t="n">
        <v>0</v>
      </c>
      <c r="Q369" s="31" t="n">
        <v>4</v>
      </c>
      <c r="R369" s="31" t="n">
        <v>4</v>
      </c>
      <c r="S369" s="31" t="n">
        <v>0</v>
      </c>
      <c r="T369" s="31" t="n">
        <v>0</v>
      </c>
      <c r="U369" s="31" t="n">
        <v>0</v>
      </c>
      <c r="V369" s="31" t="n">
        <v>0</v>
      </c>
      <c r="W369" s="31" t="n">
        <v>0</v>
      </c>
      <c r="X369" s="31" t="n">
        <v>0</v>
      </c>
      <c r="Y369" s="32" t="n">
        <f aca="false">SUM(N369:X369)</f>
        <v>10</v>
      </c>
      <c r="Z369" s="32" t="n">
        <f aca="false">Y369*(1+Assumptions!$C$5)</f>
        <v>11.5</v>
      </c>
      <c r="AA369" s="27" t="s">
        <v>331</v>
      </c>
      <c r="AB369" s="27" t="s">
        <v>95</v>
      </c>
      <c r="AC369" s="27"/>
      <c r="AD369" s="33" t="n">
        <v>0</v>
      </c>
      <c r="AF369" s="21" t="n">
        <f aca="false">IF($J369=0,0,MAX(0,NETWORKDAYS(MAX($K369,AF$4),MIN($L369,EOMONTH(AF$4,0)),Assumptions!$F$4:$F$44))/NETWORKDAYS($K369,$L369,Assumptions!$F$4:$F$44))</f>
        <v>0</v>
      </c>
      <c r="AG369" s="21" t="n">
        <f aca="false">IF($J369=0,0,MAX(0,NETWORKDAYS(MAX($K369,AG$4),MIN($L369,EOMONTH(AG$4,0)),Assumptions!$F$4:$F$44))/NETWORKDAYS($K369,$L369,Assumptions!$F$4:$F$44))</f>
        <v>0</v>
      </c>
      <c r="AH369" s="21" t="n">
        <f aca="false">IF($J369=0,0,MAX(0,NETWORKDAYS(MAX($K369,AH$4),MIN($L369,EOMONTH(AH$4,0)),Assumptions!$F$4:$F$44))/NETWORKDAYS($K369,$L369,Assumptions!$F$4:$F$44))</f>
        <v>0</v>
      </c>
      <c r="AI369" s="21" t="n">
        <f aca="false">IF($J369=0,0,MAX(0,NETWORKDAYS(MAX($K369,AI$4),MIN($L369,EOMONTH(AI$4,0)),Assumptions!$F$4:$F$44))/NETWORKDAYS($K369,$L369,Assumptions!$F$4:$F$44))</f>
        <v>0</v>
      </c>
      <c r="AJ369" s="21" t="n">
        <f aca="false">IF($J369=0,0,MAX(0,NETWORKDAYS(MAX($K369,AJ$4),MIN($L369,EOMONTH(AJ$4,0)),Assumptions!$F$4:$F$44))/NETWORKDAYS($K369,$L369,Assumptions!$F$4:$F$44))</f>
        <v>0</v>
      </c>
      <c r="AK369" s="21" t="n">
        <f aca="false">IF($J369=0,0,MAX(0,NETWORKDAYS(MAX($K369,AK$4),MIN($L369,EOMONTH(AK$4,0)),Assumptions!$F$4:$F$44))/NETWORKDAYS($K369,$L369,Assumptions!$F$4:$F$44))</f>
        <v>0</v>
      </c>
      <c r="AL369" s="21" t="n">
        <f aca="false">IF($J369=0,0,MAX(0,NETWORKDAYS(MAX($K369,AL$4),MIN($L369,EOMONTH(AL$4,0)),Assumptions!$F$4:$F$44))/NETWORKDAYS($K369,$L369,Assumptions!$F$4:$F$44))</f>
        <v>0</v>
      </c>
      <c r="AM369" s="21" t="n">
        <f aca="false">IF($J369=0,0,MAX(0,NETWORKDAYS(MAX($K369,AM$4),MIN($L369,EOMONTH(AM$4,0)),Assumptions!$F$4:$F$44))/NETWORKDAYS($K369,$L369,Assumptions!$F$4:$F$44))</f>
        <v>0</v>
      </c>
      <c r="AN369" s="21" t="n">
        <f aca="false">IF($J369=0,0,MAX(0,NETWORKDAYS(MAX($K369,AN$4),MIN($L369,EOMONTH(AN$4,0)),Assumptions!$F$4:$F$44))/NETWORKDAYS($K369,$L369,Assumptions!$F$4:$F$44))</f>
        <v>0</v>
      </c>
      <c r="AO369" s="21" t="n">
        <f aca="false">IF($J369=0,0,MAX(0,NETWORKDAYS(MAX($K369,AO$4),MIN($L369,EOMONTH(AO$4,0)),Assumptions!$F$4:$F$44))/NETWORKDAYS($K369,$L369,Assumptions!$F$4:$F$44))</f>
        <v>0</v>
      </c>
      <c r="AP369" s="21" t="n">
        <f aca="false">IF($J369=0,0,MAX(0,NETWORKDAYS(MAX($K369,AP$4),MIN($L369,EOMONTH(AP$4,0)),Assumptions!$F$4:$F$44))/NETWORKDAYS($K369,$L369,Assumptions!$F$4:$F$44))</f>
        <v>0</v>
      </c>
      <c r="AQ369" s="21" t="n">
        <f aca="false">IF($J369=0,0,MAX(0,NETWORKDAYS(MAX($K369,AQ$4),MIN($L369,EOMONTH(AQ$4,0)),Assumptions!$F$4:$F$44))/NETWORKDAYS($K369,$L369,Assumptions!$F$4:$F$44))</f>
        <v>0.692307692307692</v>
      </c>
      <c r="AR369" s="21" t="n">
        <f aca="false">IF($J369=0,0,MAX(0,NETWORKDAYS(MAX($K369,AR$4),MIN($L369,EOMONTH(AR$4,0)),Assumptions!$F$4:$F$44))/NETWORKDAYS($K369,$L369,Assumptions!$F$4:$F$44))</f>
        <v>0.307692307692308</v>
      </c>
      <c r="AS369" s="21" t="n">
        <f aca="false">IF($J369=0,0,MAX(0,NETWORKDAYS(MAX($K369,AS$4),MIN($L369,EOMONTH(AS$4,0)),Assumptions!$F$4:$F$44))/NETWORKDAYS($K369,$L369,Assumptions!$F$4:$F$44))</f>
        <v>0</v>
      </c>
      <c r="AT369" s="21" t="n">
        <f aca="false">IF($J369=0,0,MAX(0,NETWORKDAYS(MAX($K369,AT$4),MIN($L369,EOMONTH(AT$4,0)),Assumptions!$F$4:$F$44))/NETWORKDAYS($K369,$L369,Assumptions!$F$4:$F$44))</f>
        <v>0</v>
      </c>
      <c r="AU369" s="21" t="n">
        <f aca="false">IF($J369=0,0,MAX(0,NETWORKDAYS(MAX($K369,AU$4),MIN($L369,EOMONTH(AU$4,0)),Assumptions!$F$4:$F$44))/NETWORKDAYS($K369,$L369,Assumptions!$F$4:$F$44))</f>
        <v>0</v>
      </c>
      <c r="AV369" s="21" t="n">
        <f aca="false">IF($J369=0,0,MAX(0,NETWORKDAYS(MAX($K369,AV$4),MIN($L369,EOMONTH(AV$4,0)),Assumptions!$F$4:$F$44))/NETWORKDAYS($K369,$L369,Assumptions!$F$4:$F$44))</f>
        <v>0</v>
      </c>
      <c r="AW369" s="21" t="n">
        <f aca="false">IF($J369=0,0,MAX(0,NETWORKDAYS(MAX($K369,AW$4),MIN($L369,EOMONTH(AW$4,0)),Assumptions!$F$4:$F$44))/NETWORKDAYS($K369,$L369,Assumptions!$F$4:$F$44))</f>
        <v>0</v>
      </c>
      <c r="AX369" s="21" t="n">
        <f aca="false">IF($J369=0,0,MAX(0,NETWORKDAYS(MAX($K369,AX$4),MIN($L369,EOMONTH(AX$4,0)),Assumptions!$F$4:$F$44))/NETWORKDAYS($K369,$L369,Assumptions!$F$4:$F$44))</f>
        <v>0</v>
      </c>
      <c r="AY369" s="21" t="n">
        <f aca="false">IF($J369=0,0,MAX(0,NETWORKDAYS(MAX($K369,AY$4),MIN($L369,EOMONTH(AY$4,0)),Assumptions!$F$4:$F$44))/NETWORKDAYS($K369,$L369,Assumptions!$F$4:$F$44))</f>
        <v>0</v>
      </c>
      <c r="AZ369" s="21" t="n">
        <f aca="false">IF($J369=0,0,MAX(0,NETWORKDAYS(MAX($K369,AZ$4),MIN($L369,EOMONTH(AZ$4,0)),Assumptions!$F$4:$F$44))/NETWORKDAYS($K369,$L369,Assumptions!$F$4:$F$44))</f>
        <v>0</v>
      </c>
      <c r="BA369" s="21" t="n">
        <f aca="false">IF($J369=0,0,MAX(0,NETWORKDAYS(MAX($K369,BA$4),MIN($L369,EOMONTH(BA$4,0)),Assumptions!$F$4:$F$44))/NETWORKDAYS($K369,$L369,Assumptions!$F$4:$F$44))</f>
        <v>0</v>
      </c>
      <c r="BB369" s="21" t="n">
        <f aca="false">IF($J369=0,0,MAX(0,NETWORKDAYS(MAX($K369,BB$4),MIN($L369,EOMONTH(BB$4,0)),Assumptions!$F$4:$F$44))/NETWORKDAYS($K369,$L369,Assumptions!$F$4:$F$44))</f>
        <v>0</v>
      </c>
      <c r="BC369" s="21" t="n">
        <f aca="false">IF($J369=0,0,MAX(0,NETWORKDAYS(MAX($K369,BC$4),MIN($L369,EOMONTH(BC$4,0)),Assumptions!$F$4:$F$44))/NETWORKDAYS($K369,$L369,Assumptions!$F$4:$F$44))</f>
        <v>0</v>
      </c>
    </row>
    <row r="370" customFormat="false" ht="15" hidden="false" customHeight="false" outlineLevel="2" collapsed="false">
      <c r="A370" s="27" t="n">
        <v>366</v>
      </c>
      <c r="B370" s="27" t="s">
        <v>792</v>
      </c>
      <c r="C370" s="27" t="n">
        <v>3</v>
      </c>
      <c r="D370" s="27" t="s">
        <v>92</v>
      </c>
      <c r="E370" s="28" t="s">
        <v>336</v>
      </c>
      <c r="F370" s="27" t="s">
        <v>681</v>
      </c>
      <c r="G370" s="27" t="s">
        <v>774</v>
      </c>
      <c r="H370" s="27" t="s">
        <v>57</v>
      </c>
      <c r="I370" s="29" t="n">
        <v>258</v>
      </c>
      <c r="J370" s="29" t="n">
        <v>21</v>
      </c>
      <c r="K370" s="30" t="n">
        <f aca="false">WORKDAY(Assumptions!$C$4,I370,Assumptions!$F$4:$F$44)</f>
        <v>46688</v>
      </c>
      <c r="L370" s="30" t="n">
        <f aca="false">IF(J370=0,K370,WORKDAY(K370,J370-1,Assumptions!$F$4:$F$44))</f>
        <v>46716</v>
      </c>
      <c r="M370" s="29" t="s">
        <v>793</v>
      </c>
      <c r="N370" s="31" t="n">
        <v>0</v>
      </c>
      <c r="O370" s="31" t="n">
        <v>0</v>
      </c>
      <c r="P370" s="31" t="n">
        <v>0</v>
      </c>
      <c r="Q370" s="31" t="n">
        <v>0</v>
      </c>
      <c r="R370" s="31" t="n">
        <v>0</v>
      </c>
      <c r="S370" s="31" t="n">
        <v>0</v>
      </c>
      <c r="T370" s="31" t="n">
        <v>0</v>
      </c>
      <c r="U370" s="31" t="n">
        <v>0</v>
      </c>
      <c r="V370" s="31" t="n">
        <v>18</v>
      </c>
      <c r="W370" s="31" t="n">
        <v>0</v>
      </c>
      <c r="X370" s="31" t="n">
        <v>0</v>
      </c>
      <c r="Y370" s="32" t="n">
        <f aca="false">SUM(N370:X370)</f>
        <v>18</v>
      </c>
      <c r="Z370" s="32" t="n">
        <f aca="false">Y370*(1+Assumptions!$C$5)</f>
        <v>20.7</v>
      </c>
      <c r="AA370" s="27" t="s">
        <v>338</v>
      </c>
      <c r="AB370" s="27" t="s">
        <v>95</v>
      </c>
      <c r="AC370" s="27"/>
      <c r="AD370" s="33" t="n">
        <v>0</v>
      </c>
      <c r="AF370" s="21" t="n">
        <f aca="false">IF($J370=0,0,MAX(0,NETWORKDAYS(MAX($K370,AF$4),MIN($L370,EOMONTH(AF$4,0)),Assumptions!$F$4:$F$44))/NETWORKDAYS($K370,$L370,Assumptions!$F$4:$F$44))</f>
        <v>0</v>
      </c>
      <c r="AG370" s="21" t="n">
        <f aca="false">IF($J370=0,0,MAX(0,NETWORKDAYS(MAX($K370,AG$4),MIN($L370,EOMONTH(AG$4,0)),Assumptions!$F$4:$F$44))/NETWORKDAYS($K370,$L370,Assumptions!$F$4:$F$44))</f>
        <v>0</v>
      </c>
      <c r="AH370" s="21" t="n">
        <f aca="false">IF($J370=0,0,MAX(0,NETWORKDAYS(MAX($K370,AH$4),MIN($L370,EOMONTH(AH$4,0)),Assumptions!$F$4:$F$44))/NETWORKDAYS($K370,$L370,Assumptions!$F$4:$F$44))</f>
        <v>0</v>
      </c>
      <c r="AI370" s="21" t="n">
        <f aca="false">IF($J370=0,0,MAX(0,NETWORKDAYS(MAX($K370,AI$4),MIN($L370,EOMONTH(AI$4,0)),Assumptions!$F$4:$F$44))/NETWORKDAYS($K370,$L370,Assumptions!$F$4:$F$44))</f>
        <v>0</v>
      </c>
      <c r="AJ370" s="21" t="n">
        <f aca="false">IF($J370=0,0,MAX(0,NETWORKDAYS(MAX($K370,AJ$4),MIN($L370,EOMONTH(AJ$4,0)),Assumptions!$F$4:$F$44))/NETWORKDAYS($K370,$L370,Assumptions!$F$4:$F$44))</f>
        <v>0</v>
      </c>
      <c r="AK370" s="21" t="n">
        <f aca="false">IF($J370=0,0,MAX(0,NETWORKDAYS(MAX($K370,AK$4),MIN($L370,EOMONTH(AK$4,0)),Assumptions!$F$4:$F$44))/NETWORKDAYS($K370,$L370,Assumptions!$F$4:$F$44))</f>
        <v>0</v>
      </c>
      <c r="AL370" s="21" t="n">
        <f aca="false">IF($J370=0,0,MAX(0,NETWORKDAYS(MAX($K370,AL$4),MIN($L370,EOMONTH(AL$4,0)),Assumptions!$F$4:$F$44))/NETWORKDAYS($K370,$L370,Assumptions!$F$4:$F$44))</f>
        <v>0</v>
      </c>
      <c r="AM370" s="21" t="n">
        <f aca="false">IF($J370=0,0,MAX(0,NETWORKDAYS(MAX($K370,AM$4),MIN($L370,EOMONTH(AM$4,0)),Assumptions!$F$4:$F$44))/NETWORKDAYS($K370,$L370,Assumptions!$F$4:$F$44))</f>
        <v>0</v>
      </c>
      <c r="AN370" s="21" t="n">
        <f aca="false">IF($J370=0,0,MAX(0,NETWORKDAYS(MAX($K370,AN$4),MIN($L370,EOMONTH(AN$4,0)),Assumptions!$F$4:$F$44))/NETWORKDAYS($K370,$L370,Assumptions!$F$4:$F$44))</f>
        <v>0</v>
      </c>
      <c r="AO370" s="21" t="n">
        <f aca="false">IF($J370=0,0,MAX(0,NETWORKDAYS(MAX($K370,AO$4),MIN($L370,EOMONTH(AO$4,0)),Assumptions!$F$4:$F$44))/NETWORKDAYS($K370,$L370,Assumptions!$F$4:$F$44))</f>
        <v>0</v>
      </c>
      <c r="AP370" s="21" t="n">
        <f aca="false">IF($J370=0,0,MAX(0,NETWORKDAYS(MAX($K370,AP$4),MIN($L370,EOMONTH(AP$4,0)),Assumptions!$F$4:$F$44))/NETWORKDAYS($K370,$L370,Assumptions!$F$4:$F$44))</f>
        <v>0</v>
      </c>
      <c r="AQ370" s="21" t="n">
        <f aca="false">IF($J370=0,0,MAX(0,NETWORKDAYS(MAX($K370,AQ$4),MIN($L370,EOMONTH(AQ$4,0)),Assumptions!$F$4:$F$44))/NETWORKDAYS($K370,$L370,Assumptions!$F$4:$F$44))</f>
        <v>0.0952380952380952</v>
      </c>
      <c r="AR370" s="21" t="n">
        <f aca="false">IF($J370=0,0,MAX(0,NETWORKDAYS(MAX($K370,AR$4),MIN($L370,EOMONTH(AR$4,0)),Assumptions!$F$4:$F$44))/NETWORKDAYS($K370,$L370,Assumptions!$F$4:$F$44))</f>
        <v>0.904761904761905</v>
      </c>
      <c r="AS370" s="21" t="n">
        <f aca="false">IF($J370=0,0,MAX(0,NETWORKDAYS(MAX($K370,AS$4),MIN($L370,EOMONTH(AS$4,0)),Assumptions!$F$4:$F$44))/NETWORKDAYS($K370,$L370,Assumptions!$F$4:$F$44))</f>
        <v>0</v>
      </c>
      <c r="AT370" s="21" t="n">
        <f aca="false">IF($J370=0,0,MAX(0,NETWORKDAYS(MAX($K370,AT$4),MIN($L370,EOMONTH(AT$4,0)),Assumptions!$F$4:$F$44))/NETWORKDAYS($K370,$L370,Assumptions!$F$4:$F$44))</f>
        <v>0</v>
      </c>
      <c r="AU370" s="21" t="n">
        <f aca="false">IF($J370=0,0,MAX(0,NETWORKDAYS(MAX($K370,AU$4),MIN($L370,EOMONTH(AU$4,0)),Assumptions!$F$4:$F$44))/NETWORKDAYS($K370,$L370,Assumptions!$F$4:$F$44))</f>
        <v>0</v>
      </c>
      <c r="AV370" s="21" t="n">
        <f aca="false">IF($J370=0,0,MAX(0,NETWORKDAYS(MAX($K370,AV$4),MIN($L370,EOMONTH(AV$4,0)),Assumptions!$F$4:$F$44))/NETWORKDAYS($K370,$L370,Assumptions!$F$4:$F$44))</f>
        <v>0</v>
      </c>
      <c r="AW370" s="21" t="n">
        <f aca="false">IF($J370=0,0,MAX(0,NETWORKDAYS(MAX($K370,AW$4),MIN($L370,EOMONTH(AW$4,0)),Assumptions!$F$4:$F$44))/NETWORKDAYS($K370,$L370,Assumptions!$F$4:$F$44))</f>
        <v>0</v>
      </c>
      <c r="AX370" s="21" t="n">
        <f aca="false">IF($J370=0,0,MAX(0,NETWORKDAYS(MAX($K370,AX$4),MIN($L370,EOMONTH(AX$4,0)),Assumptions!$F$4:$F$44))/NETWORKDAYS($K370,$L370,Assumptions!$F$4:$F$44))</f>
        <v>0</v>
      </c>
      <c r="AY370" s="21" t="n">
        <f aca="false">IF($J370=0,0,MAX(0,NETWORKDAYS(MAX($K370,AY$4),MIN($L370,EOMONTH(AY$4,0)),Assumptions!$F$4:$F$44))/NETWORKDAYS($K370,$L370,Assumptions!$F$4:$F$44))</f>
        <v>0</v>
      </c>
      <c r="AZ370" s="21" t="n">
        <f aca="false">IF($J370=0,0,MAX(0,NETWORKDAYS(MAX($K370,AZ$4),MIN($L370,EOMONTH(AZ$4,0)),Assumptions!$F$4:$F$44))/NETWORKDAYS($K370,$L370,Assumptions!$F$4:$F$44))</f>
        <v>0</v>
      </c>
      <c r="BA370" s="21" t="n">
        <f aca="false">IF($J370=0,0,MAX(0,NETWORKDAYS(MAX($K370,BA$4),MIN($L370,EOMONTH(BA$4,0)),Assumptions!$F$4:$F$44))/NETWORKDAYS($K370,$L370,Assumptions!$F$4:$F$44))</f>
        <v>0</v>
      </c>
      <c r="BB370" s="21" t="n">
        <f aca="false">IF($J370=0,0,MAX(0,NETWORKDAYS(MAX($K370,BB$4),MIN($L370,EOMONTH(BB$4,0)),Assumptions!$F$4:$F$44))/NETWORKDAYS($K370,$L370,Assumptions!$F$4:$F$44))</f>
        <v>0</v>
      </c>
      <c r="BC370" s="21" t="n">
        <f aca="false">IF($J370=0,0,MAX(0,NETWORKDAYS(MAX($K370,BC$4),MIN($L370,EOMONTH(BC$4,0)),Assumptions!$F$4:$F$44))/NETWORKDAYS($K370,$L370,Assumptions!$F$4:$F$44))</f>
        <v>0</v>
      </c>
    </row>
    <row r="371" customFormat="false" ht="15" hidden="false" customHeight="false" outlineLevel="2" collapsed="false">
      <c r="A371" s="27" t="n">
        <v>367</v>
      </c>
      <c r="B371" s="27" t="s">
        <v>794</v>
      </c>
      <c r="C371" s="27" t="n">
        <v>3</v>
      </c>
      <c r="D371" s="27" t="s">
        <v>92</v>
      </c>
      <c r="E371" s="28" t="s">
        <v>340</v>
      </c>
      <c r="F371" s="27" t="s">
        <v>681</v>
      </c>
      <c r="G371" s="27" t="s">
        <v>774</v>
      </c>
      <c r="H371" s="27" t="s">
        <v>47</v>
      </c>
      <c r="I371" s="29" t="n">
        <v>262</v>
      </c>
      <c r="J371" s="29" t="n">
        <v>26</v>
      </c>
      <c r="K371" s="30" t="n">
        <f aca="false">WORKDAY(Assumptions!$C$4,I371,Assumptions!$F$4:$F$44)</f>
        <v>46694</v>
      </c>
      <c r="L371" s="30" t="n">
        <f aca="false">IF(J371=0,K371,WORKDAY(K371,J371-1,Assumptions!$F$4:$F$44))</f>
        <v>46729</v>
      </c>
      <c r="M371" s="29" t="s">
        <v>795</v>
      </c>
      <c r="N371" s="31" t="n">
        <v>0</v>
      </c>
      <c r="O371" s="31" t="n">
        <v>0</v>
      </c>
      <c r="P371" s="31" t="n">
        <v>0</v>
      </c>
      <c r="Q371" s="31" t="n">
        <v>7</v>
      </c>
      <c r="R371" s="31" t="n">
        <v>4</v>
      </c>
      <c r="S371" s="31" t="n">
        <v>0</v>
      </c>
      <c r="T371" s="31" t="n">
        <v>0</v>
      </c>
      <c r="U371" s="31" t="n">
        <v>0</v>
      </c>
      <c r="V371" s="31" t="n">
        <v>4</v>
      </c>
      <c r="W371" s="31" t="n">
        <v>0</v>
      </c>
      <c r="X371" s="31" t="n">
        <v>0</v>
      </c>
      <c r="Y371" s="32" t="n">
        <f aca="false">SUM(N371:X371)</f>
        <v>15</v>
      </c>
      <c r="Z371" s="32" t="n">
        <f aca="false">Y371*(1+Assumptions!$C$5)</f>
        <v>17.25</v>
      </c>
      <c r="AA371" s="27" t="s">
        <v>342</v>
      </c>
      <c r="AB371" s="27" t="s">
        <v>95</v>
      </c>
      <c r="AC371" s="27"/>
      <c r="AD371" s="33" t="n">
        <v>0</v>
      </c>
      <c r="AF371" s="21" t="n">
        <f aca="false">IF($J371=0,0,MAX(0,NETWORKDAYS(MAX($K371,AF$4),MIN($L371,EOMONTH(AF$4,0)),Assumptions!$F$4:$F$44))/NETWORKDAYS($K371,$L371,Assumptions!$F$4:$F$44))</f>
        <v>0</v>
      </c>
      <c r="AG371" s="21" t="n">
        <f aca="false">IF($J371=0,0,MAX(0,NETWORKDAYS(MAX($K371,AG$4),MIN($L371,EOMONTH(AG$4,0)),Assumptions!$F$4:$F$44))/NETWORKDAYS($K371,$L371,Assumptions!$F$4:$F$44))</f>
        <v>0</v>
      </c>
      <c r="AH371" s="21" t="n">
        <f aca="false">IF($J371=0,0,MAX(0,NETWORKDAYS(MAX($K371,AH$4),MIN($L371,EOMONTH(AH$4,0)),Assumptions!$F$4:$F$44))/NETWORKDAYS($K371,$L371,Assumptions!$F$4:$F$44))</f>
        <v>0</v>
      </c>
      <c r="AI371" s="21" t="n">
        <f aca="false">IF($J371=0,0,MAX(0,NETWORKDAYS(MAX($K371,AI$4),MIN($L371,EOMONTH(AI$4,0)),Assumptions!$F$4:$F$44))/NETWORKDAYS($K371,$L371,Assumptions!$F$4:$F$44))</f>
        <v>0</v>
      </c>
      <c r="AJ371" s="21" t="n">
        <f aca="false">IF($J371=0,0,MAX(0,NETWORKDAYS(MAX($K371,AJ$4),MIN($L371,EOMONTH(AJ$4,0)),Assumptions!$F$4:$F$44))/NETWORKDAYS($K371,$L371,Assumptions!$F$4:$F$44))</f>
        <v>0</v>
      </c>
      <c r="AK371" s="21" t="n">
        <f aca="false">IF($J371=0,0,MAX(0,NETWORKDAYS(MAX($K371,AK$4),MIN($L371,EOMONTH(AK$4,0)),Assumptions!$F$4:$F$44))/NETWORKDAYS($K371,$L371,Assumptions!$F$4:$F$44))</f>
        <v>0</v>
      </c>
      <c r="AL371" s="21" t="n">
        <f aca="false">IF($J371=0,0,MAX(0,NETWORKDAYS(MAX($K371,AL$4),MIN($L371,EOMONTH(AL$4,0)),Assumptions!$F$4:$F$44))/NETWORKDAYS($K371,$L371,Assumptions!$F$4:$F$44))</f>
        <v>0</v>
      </c>
      <c r="AM371" s="21" t="n">
        <f aca="false">IF($J371=0,0,MAX(0,NETWORKDAYS(MAX($K371,AM$4),MIN($L371,EOMONTH(AM$4,0)),Assumptions!$F$4:$F$44))/NETWORKDAYS($K371,$L371,Assumptions!$F$4:$F$44))</f>
        <v>0</v>
      </c>
      <c r="AN371" s="21" t="n">
        <f aca="false">IF($J371=0,0,MAX(0,NETWORKDAYS(MAX($K371,AN$4),MIN($L371,EOMONTH(AN$4,0)),Assumptions!$F$4:$F$44))/NETWORKDAYS($K371,$L371,Assumptions!$F$4:$F$44))</f>
        <v>0</v>
      </c>
      <c r="AO371" s="21" t="n">
        <f aca="false">IF($J371=0,0,MAX(0,NETWORKDAYS(MAX($K371,AO$4),MIN($L371,EOMONTH(AO$4,0)),Assumptions!$F$4:$F$44))/NETWORKDAYS($K371,$L371,Assumptions!$F$4:$F$44))</f>
        <v>0</v>
      </c>
      <c r="AP371" s="21" t="n">
        <f aca="false">IF($J371=0,0,MAX(0,NETWORKDAYS(MAX($K371,AP$4),MIN($L371,EOMONTH(AP$4,0)),Assumptions!$F$4:$F$44))/NETWORKDAYS($K371,$L371,Assumptions!$F$4:$F$44))</f>
        <v>0</v>
      </c>
      <c r="AQ371" s="21" t="n">
        <f aca="false">IF($J371=0,0,MAX(0,NETWORKDAYS(MAX($K371,AQ$4),MIN($L371,EOMONTH(AQ$4,0)),Assumptions!$F$4:$F$44))/NETWORKDAYS($K371,$L371,Assumptions!$F$4:$F$44))</f>
        <v>0</v>
      </c>
      <c r="AR371" s="21" t="n">
        <f aca="false">IF($J371=0,0,MAX(0,NETWORKDAYS(MAX($K371,AR$4),MIN($L371,EOMONTH(AR$4,0)),Assumptions!$F$4:$F$44))/NETWORKDAYS($K371,$L371,Assumptions!$F$4:$F$44))</f>
        <v>0.769230769230769</v>
      </c>
      <c r="AS371" s="21" t="n">
        <f aca="false">IF($J371=0,0,MAX(0,NETWORKDAYS(MAX($K371,AS$4),MIN($L371,EOMONTH(AS$4,0)),Assumptions!$F$4:$F$44))/NETWORKDAYS($K371,$L371,Assumptions!$F$4:$F$44))</f>
        <v>0.230769230769231</v>
      </c>
      <c r="AT371" s="21" t="n">
        <f aca="false">IF($J371=0,0,MAX(0,NETWORKDAYS(MAX($K371,AT$4),MIN($L371,EOMONTH(AT$4,0)),Assumptions!$F$4:$F$44))/NETWORKDAYS($K371,$L371,Assumptions!$F$4:$F$44))</f>
        <v>0</v>
      </c>
      <c r="AU371" s="21" t="n">
        <f aca="false">IF($J371=0,0,MAX(0,NETWORKDAYS(MAX($K371,AU$4),MIN($L371,EOMONTH(AU$4,0)),Assumptions!$F$4:$F$44))/NETWORKDAYS($K371,$L371,Assumptions!$F$4:$F$44))</f>
        <v>0</v>
      </c>
      <c r="AV371" s="21" t="n">
        <f aca="false">IF($J371=0,0,MAX(0,NETWORKDAYS(MAX($K371,AV$4),MIN($L371,EOMONTH(AV$4,0)),Assumptions!$F$4:$F$44))/NETWORKDAYS($K371,$L371,Assumptions!$F$4:$F$44))</f>
        <v>0</v>
      </c>
      <c r="AW371" s="21" t="n">
        <f aca="false">IF($J371=0,0,MAX(0,NETWORKDAYS(MAX($K371,AW$4),MIN($L371,EOMONTH(AW$4,0)),Assumptions!$F$4:$F$44))/NETWORKDAYS($K371,$L371,Assumptions!$F$4:$F$44))</f>
        <v>0</v>
      </c>
      <c r="AX371" s="21" t="n">
        <f aca="false">IF($J371=0,0,MAX(0,NETWORKDAYS(MAX($K371,AX$4),MIN($L371,EOMONTH(AX$4,0)),Assumptions!$F$4:$F$44))/NETWORKDAYS($K371,$L371,Assumptions!$F$4:$F$44))</f>
        <v>0</v>
      </c>
      <c r="AY371" s="21" t="n">
        <f aca="false">IF($J371=0,0,MAX(0,NETWORKDAYS(MAX($K371,AY$4),MIN($L371,EOMONTH(AY$4,0)),Assumptions!$F$4:$F$44))/NETWORKDAYS($K371,$L371,Assumptions!$F$4:$F$44))</f>
        <v>0</v>
      </c>
      <c r="AZ371" s="21" t="n">
        <f aca="false">IF($J371=0,0,MAX(0,NETWORKDAYS(MAX($K371,AZ$4),MIN($L371,EOMONTH(AZ$4,0)),Assumptions!$F$4:$F$44))/NETWORKDAYS($K371,$L371,Assumptions!$F$4:$F$44))</f>
        <v>0</v>
      </c>
      <c r="BA371" s="21" t="n">
        <f aca="false">IF($J371=0,0,MAX(0,NETWORKDAYS(MAX($K371,BA$4),MIN($L371,EOMONTH(BA$4,0)),Assumptions!$F$4:$F$44))/NETWORKDAYS($K371,$L371,Assumptions!$F$4:$F$44))</f>
        <v>0</v>
      </c>
      <c r="BB371" s="21" t="n">
        <f aca="false">IF($J371=0,0,MAX(0,NETWORKDAYS(MAX($K371,BB$4),MIN($L371,EOMONTH(BB$4,0)),Assumptions!$F$4:$F$44))/NETWORKDAYS($K371,$L371,Assumptions!$F$4:$F$44))</f>
        <v>0</v>
      </c>
      <c r="BC371" s="21" t="n">
        <f aca="false">IF($J371=0,0,MAX(0,NETWORKDAYS(MAX($K371,BC$4),MIN($L371,EOMONTH(BC$4,0)),Assumptions!$F$4:$F$44))/NETWORKDAYS($K371,$L371,Assumptions!$F$4:$F$44))</f>
        <v>0</v>
      </c>
    </row>
    <row r="372" customFormat="false" ht="15" hidden="false" customHeight="false" outlineLevel="2" collapsed="false">
      <c r="A372" s="27" t="n">
        <v>368</v>
      </c>
      <c r="B372" s="27" t="s">
        <v>796</v>
      </c>
      <c r="C372" s="27" t="n">
        <v>3</v>
      </c>
      <c r="D372" s="27" t="s">
        <v>92</v>
      </c>
      <c r="E372" s="28" t="s">
        <v>344</v>
      </c>
      <c r="F372" s="27" t="s">
        <v>681</v>
      </c>
      <c r="G372" s="27" t="s">
        <v>774</v>
      </c>
      <c r="H372" s="27" t="s">
        <v>43</v>
      </c>
      <c r="I372" s="29" t="n">
        <v>279</v>
      </c>
      <c r="J372" s="29" t="n">
        <v>13</v>
      </c>
      <c r="K372" s="30" t="n">
        <f aca="false">WORKDAY(Assumptions!$C$4,I372,Assumptions!$F$4:$F$44)</f>
        <v>46717</v>
      </c>
      <c r="L372" s="30" t="n">
        <f aca="false">IF(J372=0,K372,WORKDAY(K372,J372-1,Assumptions!$F$4:$F$44))</f>
        <v>46735</v>
      </c>
      <c r="M372" s="29" t="s">
        <v>795</v>
      </c>
      <c r="N372" s="31" t="n">
        <v>0</v>
      </c>
      <c r="O372" s="31" t="n">
        <v>4</v>
      </c>
      <c r="P372" s="31" t="n">
        <v>0</v>
      </c>
      <c r="Q372" s="31" t="n">
        <v>0</v>
      </c>
      <c r="R372" s="31" t="n">
        <v>0</v>
      </c>
      <c r="S372" s="31" t="n">
        <v>0</v>
      </c>
      <c r="T372" s="31" t="n">
        <v>0</v>
      </c>
      <c r="U372" s="31" t="n">
        <v>0</v>
      </c>
      <c r="V372" s="31" t="n">
        <v>4</v>
      </c>
      <c r="W372" s="31" t="n">
        <v>0</v>
      </c>
      <c r="X372" s="31" t="n">
        <v>0</v>
      </c>
      <c r="Y372" s="32" t="n">
        <f aca="false">SUM(N372:X372)</f>
        <v>8</v>
      </c>
      <c r="Z372" s="32" t="n">
        <f aca="false">Y372*(1+Assumptions!$C$5)</f>
        <v>9.2</v>
      </c>
      <c r="AA372" s="27" t="s">
        <v>345</v>
      </c>
      <c r="AB372" s="27" t="s">
        <v>95</v>
      </c>
      <c r="AC372" s="27"/>
      <c r="AD372" s="33" t="n">
        <v>0</v>
      </c>
      <c r="AF372" s="21" t="n">
        <f aca="false">IF($J372=0,0,MAX(0,NETWORKDAYS(MAX($K372,AF$4),MIN($L372,EOMONTH(AF$4,0)),Assumptions!$F$4:$F$44))/NETWORKDAYS($K372,$L372,Assumptions!$F$4:$F$44))</f>
        <v>0</v>
      </c>
      <c r="AG372" s="21" t="n">
        <f aca="false">IF($J372=0,0,MAX(0,NETWORKDAYS(MAX($K372,AG$4),MIN($L372,EOMONTH(AG$4,0)),Assumptions!$F$4:$F$44))/NETWORKDAYS($K372,$L372,Assumptions!$F$4:$F$44))</f>
        <v>0</v>
      </c>
      <c r="AH372" s="21" t="n">
        <f aca="false">IF($J372=0,0,MAX(0,NETWORKDAYS(MAX($K372,AH$4),MIN($L372,EOMONTH(AH$4,0)),Assumptions!$F$4:$F$44))/NETWORKDAYS($K372,$L372,Assumptions!$F$4:$F$44))</f>
        <v>0</v>
      </c>
      <c r="AI372" s="21" t="n">
        <f aca="false">IF($J372=0,0,MAX(0,NETWORKDAYS(MAX($K372,AI$4),MIN($L372,EOMONTH(AI$4,0)),Assumptions!$F$4:$F$44))/NETWORKDAYS($K372,$L372,Assumptions!$F$4:$F$44))</f>
        <v>0</v>
      </c>
      <c r="AJ372" s="21" t="n">
        <f aca="false">IF($J372=0,0,MAX(0,NETWORKDAYS(MAX($K372,AJ$4),MIN($L372,EOMONTH(AJ$4,0)),Assumptions!$F$4:$F$44))/NETWORKDAYS($K372,$L372,Assumptions!$F$4:$F$44))</f>
        <v>0</v>
      </c>
      <c r="AK372" s="21" t="n">
        <f aca="false">IF($J372=0,0,MAX(0,NETWORKDAYS(MAX($K372,AK$4),MIN($L372,EOMONTH(AK$4,0)),Assumptions!$F$4:$F$44))/NETWORKDAYS($K372,$L372,Assumptions!$F$4:$F$44))</f>
        <v>0</v>
      </c>
      <c r="AL372" s="21" t="n">
        <f aca="false">IF($J372=0,0,MAX(0,NETWORKDAYS(MAX($K372,AL$4),MIN($L372,EOMONTH(AL$4,0)),Assumptions!$F$4:$F$44))/NETWORKDAYS($K372,$L372,Assumptions!$F$4:$F$44))</f>
        <v>0</v>
      </c>
      <c r="AM372" s="21" t="n">
        <f aca="false">IF($J372=0,0,MAX(0,NETWORKDAYS(MAX($K372,AM$4),MIN($L372,EOMONTH(AM$4,0)),Assumptions!$F$4:$F$44))/NETWORKDAYS($K372,$L372,Assumptions!$F$4:$F$44))</f>
        <v>0</v>
      </c>
      <c r="AN372" s="21" t="n">
        <f aca="false">IF($J372=0,0,MAX(0,NETWORKDAYS(MAX($K372,AN$4),MIN($L372,EOMONTH(AN$4,0)),Assumptions!$F$4:$F$44))/NETWORKDAYS($K372,$L372,Assumptions!$F$4:$F$44))</f>
        <v>0</v>
      </c>
      <c r="AO372" s="21" t="n">
        <f aca="false">IF($J372=0,0,MAX(0,NETWORKDAYS(MAX($K372,AO$4),MIN($L372,EOMONTH(AO$4,0)),Assumptions!$F$4:$F$44))/NETWORKDAYS($K372,$L372,Assumptions!$F$4:$F$44))</f>
        <v>0</v>
      </c>
      <c r="AP372" s="21" t="n">
        <f aca="false">IF($J372=0,0,MAX(0,NETWORKDAYS(MAX($K372,AP$4),MIN($L372,EOMONTH(AP$4,0)),Assumptions!$F$4:$F$44))/NETWORKDAYS($K372,$L372,Assumptions!$F$4:$F$44))</f>
        <v>0</v>
      </c>
      <c r="AQ372" s="21" t="n">
        <f aca="false">IF($J372=0,0,MAX(0,NETWORKDAYS(MAX($K372,AQ$4),MIN($L372,EOMONTH(AQ$4,0)),Assumptions!$F$4:$F$44))/NETWORKDAYS($K372,$L372,Assumptions!$F$4:$F$44))</f>
        <v>0</v>
      </c>
      <c r="AR372" s="21" t="n">
        <f aca="false">IF($J372=0,0,MAX(0,NETWORKDAYS(MAX($K372,AR$4),MIN($L372,EOMONTH(AR$4,0)),Assumptions!$F$4:$F$44))/NETWORKDAYS($K372,$L372,Assumptions!$F$4:$F$44))</f>
        <v>0.230769230769231</v>
      </c>
      <c r="AS372" s="21" t="n">
        <f aca="false">IF($J372=0,0,MAX(0,NETWORKDAYS(MAX($K372,AS$4),MIN($L372,EOMONTH(AS$4,0)),Assumptions!$F$4:$F$44))/NETWORKDAYS($K372,$L372,Assumptions!$F$4:$F$44))</f>
        <v>0.769230769230769</v>
      </c>
      <c r="AT372" s="21" t="n">
        <f aca="false">IF($J372=0,0,MAX(0,NETWORKDAYS(MAX($K372,AT$4),MIN($L372,EOMONTH(AT$4,0)),Assumptions!$F$4:$F$44))/NETWORKDAYS($K372,$L372,Assumptions!$F$4:$F$44))</f>
        <v>0</v>
      </c>
      <c r="AU372" s="21" t="n">
        <f aca="false">IF($J372=0,0,MAX(0,NETWORKDAYS(MAX($K372,AU$4),MIN($L372,EOMONTH(AU$4,0)),Assumptions!$F$4:$F$44))/NETWORKDAYS($K372,$L372,Assumptions!$F$4:$F$44))</f>
        <v>0</v>
      </c>
      <c r="AV372" s="21" t="n">
        <f aca="false">IF($J372=0,0,MAX(0,NETWORKDAYS(MAX($K372,AV$4),MIN($L372,EOMONTH(AV$4,0)),Assumptions!$F$4:$F$44))/NETWORKDAYS($K372,$L372,Assumptions!$F$4:$F$44))</f>
        <v>0</v>
      </c>
      <c r="AW372" s="21" t="n">
        <f aca="false">IF($J372=0,0,MAX(0,NETWORKDAYS(MAX($K372,AW$4),MIN($L372,EOMONTH(AW$4,0)),Assumptions!$F$4:$F$44))/NETWORKDAYS($K372,$L372,Assumptions!$F$4:$F$44))</f>
        <v>0</v>
      </c>
      <c r="AX372" s="21" t="n">
        <f aca="false">IF($J372=0,0,MAX(0,NETWORKDAYS(MAX($K372,AX$4),MIN($L372,EOMONTH(AX$4,0)),Assumptions!$F$4:$F$44))/NETWORKDAYS($K372,$L372,Assumptions!$F$4:$F$44))</f>
        <v>0</v>
      </c>
      <c r="AY372" s="21" t="n">
        <f aca="false">IF($J372=0,0,MAX(0,NETWORKDAYS(MAX($K372,AY$4),MIN($L372,EOMONTH(AY$4,0)),Assumptions!$F$4:$F$44))/NETWORKDAYS($K372,$L372,Assumptions!$F$4:$F$44))</f>
        <v>0</v>
      </c>
      <c r="AZ372" s="21" t="n">
        <f aca="false">IF($J372=0,0,MAX(0,NETWORKDAYS(MAX($K372,AZ$4),MIN($L372,EOMONTH(AZ$4,0)),Assumptions!$F$4:$F$44))/NETWORKDAYS($K372,$L372,Assumptions!$F$4:$F$44))</f>
        <v>0</v>
      </c>
      <c r="BA372" s="21" t="n">
        <f aca="false">IF($J372=0,0,MAX(0,NETWORKDAYS(MAX($K372,BA$4),MIN($L372,EOMONTH(BA$4,0)),Assumptions!$F$4:$F$44))/NETWORKDAYS($K372,$L372,Assumptions!$F$4:$F$44))</f>
        <v>0</v>
      </c>
      <c r="BB372" s="21" t="n">
        <f aca="false">IF($J372=0,0,MAX(0,NETWORKDAYS(MAX($K372,BB$4),MIN($L372,EOMONTH(BB$4,0)),Assumptions!$F$4:$F$44))/NETWORKDAYS($K372,$L372,Assumptions!$F$4:$F$44))</f>
        <v>0</v>
      </c>
      <c r="BC372" s="21" t="n">
        <f aca="false">IF($J372=0,0,MAX(0,NETWORKDAYS(MAX($K372,BC$4),MIN($L372,EOMONTH(BC$4,0)),Assumptions!$F$4:$F$44))/NETWORKDAYS($K372,$L372,Assumptions!$F$4:$F$44))</f>
        <v>0</v>
      </c>
    </row>
    <row r="373" customFormat="false" ht="15" hidden="false" customHeight="false" outlineLevel="2" collapsed="false">
      <c r="A373" s="27" t="n">
        <v>369</v>
      </c>
      <c r="B373" s="27" t="s">
        <v>797</v>
      </c>
      <c r="C373" s="27" t="n">
        <v>3</v>
      </c>
      <c r="D373" s="27" t="s">
        <v>92</v>
      </c>
      <c r="E373" s="28" t="s">
        <v>347</v>
      </c>
      <c r="F373" s="27" t="s">
        <v>681</v>
      </c>
      <c r="G373" s="27" t="s">
        <v>774</v>
      </c>
      <c r="H373" s="27" t="s">
        <v>61</v>
      </c>
      <c r="I373" s="29" t="n">
        <v>282</v>
      </c>
      <c r="J373" s="29" t="n">
        <v>13</v>
      </c>
      <c r="K373" s="30" t="n">
        <f aca="false">WORKDAY(Assumptions!$C$4,I373,Assumptions!$F$4:$F$44)</f>
        <v>46722</v>
      </c>
      <c r="L373" s="30" t="n">
        <f aca="false">IF(J373=0,K373,WORKDAY(K373,J373-1,Assumptions!$F$4:$F$44))</f>
        <v>46738</v>
      </c>
      <c r="M373" s="29" t="s">
        <v>798</v>
      </c>
      <c r="N373" s="31" t="n">
        <v>0</v>
      </c>
      <c r="O373" s="31" t="n">
        <v>2</v>
      </c>
      <c r="P373" s="31" t="n">
        <v>0</v>
      </c>
      <c r="Q373" s="31" t="n">
        <v>0</v>
      </c>
      <c r="R373" s="31" t="n">
        <v>0</v>
      </c>
      <c r="S373" s="31" t="n">
        <v>0</v>
      </c>
      <c r="T373" s="31" t="n">
        <v>0</v>
      </c>
      <c r="U373" s="31" t="n">
        <v>0</v>
      </c>
      <c r="V373" s="31" t="n">
        <v>0</v>
      </c>
      <c r="W373" s="31" t="n">
        <v>0</v>
      </c>
      <c r="X373" s="31" t="n">
        <v>5</v>
      </c>
      <c r="Y373" s="32" t="n">
        <f aca="false">SUM(N373:X373)</f>
        <v>7</v>
      </c>
      <c r="Z373" s="32" t="n">
        <f aca="false">Y373*(1+Assumptions!$C$5)</f>
        <v>8.05</v>
      </c>
      <c r="AA373" s="27" t="s">
        <v>349</v>
      </c>
      <c r="AB373" s="27" t="s">
        <v>95</v>
      </c>
      <c r="AC373" s="27"/>
      <c r="AD373" s="33" t="n">
        <v>0</v>
      </c>
      <c r="AF373" s="21" t="n">
        <f aca="false">IF($J373=0,0,MAX(0,NETWORKDAYS(MAX($K373,AF$4),MIN($L373,EOMONTH(AF$4,0)),Assumptions!$F$4:$F$44))/NETWORKDAYS($K373,$L373,Assumptions!$F$4:$F$44))</f>
        <v>0</v>
      </c>
      <c r="AG373" s="21" t="n">
        <f aca="false">IF($J373=0,0,MAX(0,NETWORKDAYS(MAX($K373,AG$4),MIN($L373,EOMONTH(AG$4,0)),Assumptions!$F$4:$F$44))/NETWORKDAYS($K373,$L373,Assumptions!$F$4:$F$44))</f>
        <v>0</v>
      </c>
      <c r="AH373" s="21" t="n">
        <f aca="false">IF($J373=0,0,MAX(0,NETWORKDAYS(MAX($K373,AH$4),MIN($L373,EOMONTH(AH$4,0)),Assumptions!$F$4:$F$44))/NETWORKDAYS($K373,$L373,Assumptions!$F$4:$F$44))</f>
        <v>0</v>
      </c>
      <c r="AI373" s="21" t="n">
        <f aca="false">IF($J373=0,0,MAX(0,NETWORKDAYS(MAX($K373,AI$4),MIN($L373,EOMONTH(AI$4,0)),Assumptions!$F$4:$F$44))/NETWORKDAYS($K373,$L373,Assumptions!$F$4:$F$44))</f>
        <v>0</v>
      </c>
      <c r="AJ373" s="21" t="n">
        <f aca="false">IF($J373=0,0,MAX(0,NETWORKDAYS(MAX($K373,AJ$4),MIN($L373,EOMONTH(AJ$4,0)),Assumptions!$F$4:$F$44))/NETWORKDAYS($K373,$L373,Assumptions!$F$4:$F$44))</f>
        <v>0</v>
      </c>
      <c r="AK373" s="21" t="n">
        <f aca="false">IF($J373=0,0,MAX(0,NETWORKDAYS(MAX($K373,AK$4),MIN($L373,EOMONTH(AK$4,0)),Assumptions!$F$4:$F$44))/NETWORKDAYS($K373,$L373,Assumptions!$F$4:$F$44))</f>
        <v>0</v>
      </c>
      <c r="AL373" s="21" t="n">
        <f aca="false">IF($J373=0,0,MAX(0,NETWORKDAYS(MAX($K373,AL$4),MIN($L373,EOMONTH(AL$4,0)),Assumptions!$F$4:$F$44))/NETWORKDAYS($K373,$L373,Assumptions!$F$4:$F$44))</f>
        <v>0</v>
      </c>
      <c r="AM373" s="21" t="n">
        <f aca="false">IF($J373=0,0,MAX(0,NETWORKDAYS(MAX($K373,AM$4),MIN($L373,EOMONTH(AM$4,0)),Assumptions!$F$4:$F$44))/NETWORKDAYS($K373,$L373,Assumptions!$F$4:$F$44))</f>
        <v>0</v>
      </c>
      <c r="AN373" s="21" t="n">
        <f aca="false">IF($J373=0,0,MAX(0,NETWORKDAYS(MAX($K373,AN$4),MIN($L373,EOMONTH(AN$4,0)),Assumptions!$F$4:$F$44))/NETWORKDAYS($K373,$L373,Assumptions!$F$4:$F$44))</f>
        <v>0</v>
      </c>
      <c r="AO373" s="21" t="n">
        <f aca="false">IF($J373=0,0,MAX(0,NETWORKDAYS(MAX($K373,AO$4),MIN($L373,EOMONTH(AO$4,0)),Assumptions!$F$4:$F$44))/NETWORKDAYS($K373,$L373,Assumptions!$F$4:$F$44))</f>
        <v>0</v>
      </c>
      <c r="AP373" s="21" t="n">
        <f aca="false">IF($J373=0,0,MAX(0,NETWORKDAYS(MAX($K373,AP$4),MIN($L373,EOMONTH(AP$4,0)),Assumptions!$F$4:$F$44))/NETWORKDAYS($K373,$L373,Assumptions!$F$4:$F$44))</f>
        <v>0</v>
      </c>
      <c r="AQ373" s="21" t="n">
        <f aca="false">IF($J373=0,0,MAX(0,NETWORKDAYS(MAX($K373,AQ$4),MIN($L373,EOMONTH(AQ$4,0)),Assumptions!$F$4:$F$44))/NETWORKDAYS($K373,$L373,Assumptions!$F$4:$F$44))</f>
        <v>0</v>
      </c>
      <c r="AR373" s="21" t="n">
        <f aca="false">IF($J373=0,0,MAX(0,NETWORKDAYS(MAX($K373,AR$4),MIN($L373,EOMONTH(AR$4,0)),Assumptions!$F$4:$F$44))/NETWORKDAYS($K373,$L373,Assumptions!$F$4:$F$44))</f>
        <v>0</v>
      </c>
      <c r="AS373" s="21" t="n">
        <f aca="false">IF($J373=0,0,MAX(0,NETWORKDAYS(MAX($K373,AS$4),MIN($L373,EOMONTH(AS$4,0)),Assumptions!$F$4:$F$44))/NETWORKDAYS($K373,$L373,Assumptions!$F$4:$F$44))</f>
        <v>1</v>
      </c>
      <c r="AT373" s="21" t="n">
        <f aca="false">IF($J373=0,0,MAX(0,NETWORKDAYS(MAX($K373,AT$4),MIN($L373,EOMONTH(AT$4,0)),Assumptions!$F$4:$F$44))/NETWORKDAYS($K373,$L373,Assumptions!$F$4:$F$44))</f>
        <v>0</v>
      </c>
      <c r="AU373" s="21" t="n">
        <f aca="false">IF($J373=0,0,MAX(0,NETWORKDAYS(MAX($K373,AU$4),MIN($L373,EOMONTH(AU$4,0)),Assumptions!$F$4:$F$44))/NETWORKDAYS($K373,$L373,Assumptions!$F$4:$F$44))</f>
        <v>0</v>
      </c>
      <c r="AV373" s="21" t="n">
        <f aca="false">IF($J373=0,0,MAX(0,NETWORKDAYS(MAX($K373,AV$4),MIN($L373,EOMONTH(AV$4,0)),Assumptions!$F$4:$F$44))/NETWORKDAYS($K373,$L373,Assumptions!$F$4:$F$44))</f>
        <v>0</v>
      </c>
      <c r="AW373" s="21" t="n">
        <f aca="false">IF($J373=0,0,MAX(0,NETWORKDAYS(MAX($K373,AW$4),MIN($L373,EOMONTH(AW$4,0)),Assumptions!$F$4:$F$44))/NETWORKDAYS($K373,$L373,Assumptions!$F$4:$F$44))</f>
        <v>0</v>
      </c>
      <c r="AX373" s="21" t="n">
        <f aca="false">IF($J373=0,0,MAX(0,NETWORKDAYS(MAX($K373,AX$4),MIN($L373,EOMONTH(AX$4,0)),Assumptions!$F$4:$F$44))/NETWORKDAYS($K373,$L373,Assumptions!$F$4:$F$44))</f>
        <v>0</v>
      </c>
      <c r="AY373" s="21" t="n">
        <f aca="false">IF($J373=0,0,MAX(0,NETWORKDAYS(MAX($K373,AY$4),MIN($L373,EOMONTH(AY$4,0)),Assumptions!$F$4:$F$44))/NETWORKDAYS($K373,$L373,Assumptions!$F$4:$F$44))</f>
        <v>0</v>
      </c>
      <c r="AZ373" s="21" t="n">
        <f aca="false">IF($J373=0,0,MAX(0,NETWORKDAYS(MAX($K373,AZ$4),MIN($L373,EOMONTH(AZ$4,0)),Assumptions!$F$4:$F$44))/NETWORKDAYS($K373,$L373,Assumptions!$F$4:$F$44))</f>
        <v>0</v>
      </c>
      <c r="BA373" s="21" t="n">
        <f aca="false">IF($J373=0,0,MAX(0,NETWORKDAYS(MAX($K373,BA$4),MIN($L373,EOMONTH(BA$4,0)),Assumptions!$F$4:$F$44))/NETWORKDAYS($K373,$L373,Assumptions!$F$4:$F$44))</f>
        <v>0</v>
      </c>
      <c r="BB373" s="21" t="n">
        <f aca="false">IF($J373=0,0,MAX(0,NETWORKDAYS(MAX($K373,BB$4),MIN($L373,EOMONTH(BB$4,0)),Assumptions!$F$4:$F$44))/NETWORKDAYS($K373,$L373,Assumptions!$F$4:$F$44))</f>
        <v>0</v>
      </c>
      <c r="BC373" s="21" t="n">
        <f aca="false">IF($J373=0,0,MAX(0,NETWORKDAYS(MAX($K373,BC$4),MIN($L373,EOMONTH(BC$4,0)),Assumptions!$F$4:$F$44))/NETWORKDAYS($K373,$L373,Assumptions!$F$4:$F$44))</f>
        <v>0</v>
      </c>
    </row>
    <row r="374" customFormat="false" ht="15" hidden="false" customHeight="false" outlineLevel="1" collapsed="false">
      <c r="A374" s="22" t="n">
        <v>370</v>
      </c>
      <c r="B374" s="22" t="s">
        <v>799</v>
      </c>
      <c r="C374" s="22" t="n">
        <v>2</v>
      </c>
      <c r="D374" s="22" t="s">
        <v>89</v>
      </c>
      <c r="E374" s="23" t="s">
        <v>800</v>
      </c>
      <c r="F374" s="22" t="s">
        <v>681</v>
      </c>
      <c r="G374" s="22" t="s">
        <v>801</v>
      </c>
      <c r="H374" s="22"/>
      <c r="I374" s="22"/>
      <c r="J374" s="22" t="n">
        <f aca="false">NETWORKDAYS(K374,L374,Assumptions!$F$4:$F$44)</f>
        <v>119</v>
      </c>
      <c r="K374" s="24" t="n">
        <f aca="false">MIN(K375:K387)</f>
        <v>46574</v>
      </c>
      <c r="L374" s="24" t="n">
        <f aca="false">MAX(L375:L387)</f>
        <v>46738</v>
      </c>
      <c r="M374" s="22"/>
      <c r="N374" s="25" t="n">
        <f aca="false">SUMPRODUCT(($C$375:$C$387=3)*(N375:N387))</f>
        <v>1</v>
      </c>
      <c r="O374" s="25" t="n">
        <f aca="false">SUMPRODUCT(($C$375:$C$387=3)*(O375:O387))</f>
        <v>20</v>
      </c>
      <c r="P374" s="25" t="n">
        <f aca="false">SUMPRODUCT(($C$375:$C$387=3)*(P375:P387))</f>
        <v>6</v>
      </c>
      <c r="Q374" s="25" t="n">
        <f aca="false">SUMPRODUCT(($C$375:$C$387=3)*(Q375:Q387))</f>
        <v>57</v>
      </c>
      <c r="R374" s="25" t="n">
        <f aca="false">SUMPRODUCT(($C$375:$C$387=3)*(R375:R387))</f>
        <v>33</v>
      </c>
      <c r="S374" s="25" t="n">
        <f aca="false">SUMPRODUCT(($C$375:$C$387=3)*(S375:S387))</f>
        <v>0</v>
      </c>
      <c r="T374" s="25" t="n">
        <f aca="false">SUMPRODUCT(($C$375:$C$387=3)*(T375:T387))</f>
        <v>0</v>
      </c>
      <c r="U374" s="25" t="n">
        <f aca="false">SUMPRODUCT(($C$375:$C$387=3)*(U375:U387))</f>
        <v>0</v>
      </c>
      <c r="V374" s="25" t="n">
        <f aca="false">SUMPRODUCT(($C$375:$C$387=3)*(V375:V387))</f>
        <v>25</v>
      </c>
      <c r="W374" s="25" t="n">
        <f aca="false">SUMPRODUCT(($C$375:$C$387=3)*(W375:W387))</f>
        <v>0</v>
      </c>
      <c r="X374" s="25" t="n">
        <f aca="false">SUMPRODUCT(($C$375:$C$387=3)*(X375:X387))</f>
        <v>5</v>
      </c>
      <c r="Y374" s="25" t="n">
        <f aca="false">SUM(N374:X374)</f>
        <v>147</v>
      </c>
      <c r="Z374" s="25" t="n">
        <f aca="false">Y374*(1+Assumptions!$C$5)</f>
        <v>169.05</v>
      </c>
      <c r="AA374" s="22" t="s">
        <v>802</v>
      </c>
      <c r="AB374" s="22"/>
      <c r="AC374" s="22"/>
      <c r="AD374" s="26"/>
      <c r="AF374" s="21" t="n">
        <v>0</v>
      </c>
      <c r="AG374" s="21" t="n">
        <v>0</v>
      </c>
      <c r="AH374" s="21" t="n">
        <v>0</v>
      </c>
      <c r="AI374" s="21" t="n">
        <v>0</v>
      </c>
      <c r="AJ374" s="21" t="n">
        <v>0</v>
      </c>
      <c r="AK374" s="21" t="n">
        <v>0</v>
      </c>
      <c r="AL374" s="21" t="n">
        <v>0</v>
      </c>
      <c r="AM374" s="21" t="n">
        <v>0</v>
      </c>
      <c r="AN374" s="21" t="n">
        <v>0</v>
      </c>
      <c r="AO374" s="21" t="n">
        <v>0</v>
      </c>
      <c r="AP374" s="21" t="n">
        <v>0</v>
      </c>
      <c r="AQ374" s="21" t="n">
        <v>0</v>
      </c>
      <c r="AR374" s="21" t="n">
        <v>0</v>
      </c>
      <c r="AS374" s="21" t="n">
        <v>0</v>
      </c>
      <c r="AT374" s="21" t="n">
        <v>0</v>
      </c>
      <c r="AU374" s="21" t="n">
        <v>0</v>
      </c>
      <c r="AV374" s="21" t="n">
        <v>0</v>
      </c>
      <c r="AW374" s="21" t="n">
        <v>0</v>
      </c>
      <c r="AX374" s="21" t="n">
        <v>0</v>
      </c>
      <c r="AY374" s="21" t="n">
        <v>0</v>
      </c>
      <c r="AZ374" s="21" t="n">
        <v>0</v>
      </c>
      <c r="BA374" s="21" t="n">
        <v>0</v>
      </c>
      <c r="BB374" s="21" t="n">
        <v>0</v>
      </c>
      <c r="BC374" s="21" t="n">
        <v>0</v>
      </c>
    </row>
    <row r="375" customFormat="false" ht="15" hidden="false" customHeight="false" outlineLevel="2" collapsed="false">
      <c r="A375" s="27" t="n">
        <v>371</v>
      </c>
      <c r="B375" s="27" t="s">
        <v>803</v>
      </c>
      <c r="C375" s="27" t="n">
        <v>3</v>
      </c>
      <c r="D375" s="27" t="s">
        <v>92</v>
      </c>
      <c r="E375" s="28" t="s">
        <v>292</v>
      </c>
      <c r="F375" s="27" t="s">
        <v>681</v>
      </c>
      <c r="G375" s="27" t="s">
        <v>801</v>
      </c>
      <c r="H375" s="27" t="s">
        <v>43</v>
      </c>
      <c r="I375" s="29" t="n">
        <v>176</v>
      </c>
      <c r="J375" s="29" t="n">
        <v>16</v>
      </c>
      <c r="K375" s="30" t="n">
        <f aca="false">WORKDAY(Assumptions!$C$4,I375,Assumptions!$F$4:$F$44)</f>
        <v>46574</v>
      </c>
      <c r="L375" s="30" t="n">
        <f aca="false">IF(J375=0,K375,WORKDAY(K375,J375-1,Assumptions!$F$4:$F$44))</f>
        <v>46595</v>
      </c>
      <c r="M375" s="29" t="s">
        <v>695</v>
      </c>
      <c r="N375" s="31" t="n">
        <v>1</v>
      </c>
      <c r="O375" s="31" t="n">
        <v>7</v>
      </c>
      <c r="P375" s="31" t="n">
        <v>2</v>
      </c>
      <c r="Q375" s="31" t="n">
        <v>0</v>
      </c>
      <c r="R375" s="31" t="n">
        <v>0</v>
      </c>
      <c r="S375" s="31" t="n">
        <v>0</v>
      </c>
      <c r="T375" s="31" t="n">
        <v>0</v>
      </c>
      <c r="U375" s="31" t="n">
        <v>0</v>
      </c>
      <c r="V375" s="31" t="n">
        <v>0</v>
      </c>
      <c r="W375" s="31" t="n">
        <v>0</v>
      </c>
      <c r="X375" s="31" t="n">
        <v>0</v>
      </c>
      <c r="Y375" s="32" t="n">
        <f aca="false">SUM(N375:X375)</f>
        <v>10</v>
      </c>
      <c r="Z375" s="32" t="n">
        <f aca="false">Y375*(1+Assumptions!$C$5)</f>
        <v>11.5</v>
      </c>
      <c r="AA375" s="27" t="s">
        <v>294</v>
      </c>
      <c r="AB375" s="27" t="s">
        <v>95</v>
      </c>
      <c r="AC375" s="27"/>
      <c r="AD375" s="33" t="n">
        <v>0</v>
      </c>
      <c r="AF375" s="21" t="n">
        <f aca="false">IF($J375=0,0,MAX(0,NETWORKDAYS(MAX($K375,AF$4),MIN($L375,EOMONTH(AF$4,0)),Assumptions!$F$4:$F$44))/NETWORKDAYS($K375,$L375,Assumptions!$F$4:$F$44))</f>
        <v>0</v>
      </c>
      <c r="AG375" s="21" t="n">
        <f aca="false">IF($J375=0,0,MAX(0,NETWORKDAYS(MAX($K375,AG$4),MIN($L375,EOMONTH(AG$4,0)),Assumptions!$F$4:$F$44))/NETWORKDAYS($K375,$L375,Assumptions!$F$4:$F$44))</f>
        <v>0</v>
      </c>
      <c r="AH375" s="21" t="n">
        <f aca="false">IF($J375=0,0,MAX(0,NETWORKDAYS(MAX($K375,AH$4),MIN($L375,EOMONTH(AH$4,0)),Assumptions!$F$4:$F$44))/NETWORKDAYS($K375,$L375,Assumptions!$F$4:$F$44))</f>
        <v>0</v>
      </c>
      <c r="AI375" s="21" t="n">
        <f aca="false">IF($J375=0,0,MAX(0,NETWORKDAYS(MAX($K375,AI$4),MIN($L375,EOMONTH(AI$4,0)),Assumptions!$F$4:$F$44))/NETWORKDAYS($K375,$L375,Assumptions!$F$4:$F$44))</f>
        <v>0</v>
      </c>
      <c r="AJ375" s="21" t="n">
        <f aca="false">IF($J375=0,0,MAX(0,NETWORKDAYS(MAX($K375,AJ$4),MIN($L375,EOMONTH(AJ$4,0)),Assumptions!$F$4:$F$44))/NETWORKDAYS($K375,$L375,Assumptions!$F$4:$F$44))</f>
        <v>0</v>
      </c>
      <c r="AK375" s="21" t="n">
        <f aca="false">IF($J375=0,0,MAX(0,NETWORKDAYS(MAX($K375,AK$4),MIN($L375,EOMONTH(AK$4,0)),Assumptions!$F$4:$F$44))/NETWORKDAYS($K375,$L375,Assumptions!$F$4:$F$44))</f>
        <v>0</v>
      </c>
      <c r="AL375" s="21" t="n">
        <f aca="false">IF($J375=0,0,MAX(0,NETWORKDAYS(MAX($K375,AL$4),MIN($L375,EOMONTH(AL$4,0)),Assumptions!$F$4:$F$44))/NETWORKDAYS($K375,$L375,Assumptions!$F$4:$F$44))</f>
        <v>0</v>
      </c>
      <c r="AM375" s="21" t="n">
        <f aca="false">IF($J375=0,0,MAX(0,NETWORKDAYS(MAX($K375,AM$4),MIN($L375,EOMONTH(AM$4,0)),Assumptions!$F$4:$F$44))/NETWORKDAYS($K375,$L375,Assumptions!$F$4:$F$44))</f>
        <v>0</v>
      </c>
      <c r="AN375" s="21" t="n">
        <f aca="false">IF($J375=0,0,MAX(0,NETWORKDAYS(MAX($K375,AN$4),MIN($L375,EOMONTH(AN$4,0)),Assumptions!$F$4:$F$44))/NETWORKDAYS($K375,$L375,Assumptions!$F$4:$F$44))</f>
        <v>1</v>
      </c>
      <c r="AO375" s="21" t="n">
        <f aca="false">IF($J375=0,0,MAX(0,NETWORKDAYS(MAX($K375,AO$4),MIN($L375,EOMONTH(AO$4,0)),Assumptions!$F$4:$F$44))/NETWORKDAYS($K375,$L375,Assumptions!$F$4:$F$44))</f>
        <v>0</v>
      </c>
      <c r="AP375" s="21" t="n">
        <f aca="false">IF($J375=0,0,MAX(0,NETWORKDAYS(MAX($K375,AP$4),MIN($L375,EOMONTH(AP$4,0)),Assumptions!$F$4:$F$44))/NETWORKDAYS($K375,$L375,Assumptions!$F$4:$F$44))</f>
        <v>0</v>
      </c>
      <c r="AQ375" s="21" t="n">
        <f aca="false">IF($J375=0,0,MAX(0,NETWORKDAYS(MAX($K375,AQ$4),MIN($L375,EOMONTH(AQ$4,0)),Assumptions!$F$4:$F$44))/NETWORKDAYS($K375,$L375,Assumptions!$F$4:$F$44))</f>
        <v>0</v>
      </c>
      <c r="AR375" s="21" t="n">
        <f aca="false">IF($J375=0,0,MAX(0,NETWORKDAYS(MAX($K375,AR$4),MIN($L375,EOMONTH(AR$4,0)),Assumptions!$F$4:$F$44))/NETWORKDAYS($K375,$L375,Assumptions!$F$4:$F$44))</f>
        <v>0</v>
      </c>
      <c r="AS375" s="21" t="n">
        <f aca="false">IF($J375=0,0,MAX(0,NETWORKDAYS(MAX($K375,AS$4),MIN($L375,EOMONTH(AS$4,0)),Assumptions!$F$4:$F$44))/NETWORKDAYS($K375,$L375,Assumptions!$F$4:$F$44))</f>
        <v>0</v>
      </c>
      <c r="AT375" s="21" t="n">
        <f aca="false">IF($J375=0,0,MAX(0,NETWORKDAYS(MAX($K375,AT$4),MIN($L375,EOMONTH(AT$4,0)),Assumptions!$F$4:$F$44))/NETWORKDAYS($K375,$L375,Assumptions!$F$4:$F$44))</f>
        <v>0</v>
      </c>
      <c r="AU375" s="21" t="n">
        <f aca="false">IF($J375=0,0,MAX(0,NETWORKDAYS(MAX($K375,AU$4),MIN($L375,EOMONTH(AU$4,0)),Assumptions!$F$4:$F$44))/NETWORKDAYS($K375,$L375,Assumptions!$F$4:$F$44))</f>
        <v>0</v>
      </c>
      <c r="AV375" s="21" t="n">
        <f aca="false">IF($J375=0,0,MAX(0,NETWORKDAYS(MAX($K375,AV$4),MIN($L375,EOMONTH(AV$4,0)),Assumptions!$F$4:$F$44))/NETWORKDAYS($K375,$L375,Assumptions!$F$4:$F$44))</f>
        <v>0</v>
      </c>
      <c r="AW375" s="21" t="n">
        <f aca="false">IF($J375=0,0,MAX(0,NETWORKDAYS(MAX($K375,AW$4),MIN($L375,EOMONTH(AW$4,0)),Assumptions!$F$4:$F$44))/NETWORKDAYS($K375,$L375,Assumptions!$F$4:$F$44))</f>
        <v>0</v>
      </c>
      <c r="AX375" s="21" t="n">
        <f aca="false">IF($J375=0,0,MAX(0,NETWORKDAYS(MAX($K375,AX$4),MIN($L375,EOMONTH(AX$4,0)),Assumptions!$F$4:$F$44))/NETWORKDAYS($K375,$L375,Assumptions!$F$4:$F$44))</f>
        <v>0</v>
      </c>
      <c r="AY375" s="21" t="n">
        <f aca="false">IF($J375=0,0,MAX(0,NETWORKDAYS(MAX($K375,AY$4),MIN($L375,EOMONTH(AY$4,0)),Assumptions!$F$4:$F$44))/NETWORKDAYS($K375,$L375,Assumptions!$F$4:$F$44))</f>
        <v>0</v>
      </c>
      <c r="AZ375" s="21" t="n">
        <f aca="false">IF($J375=0,0,MAX(0,NETWORKDAYS(MAX($K375,AZ$4),MIN($L375,EOMONTH(AZ$4,0)),Assumptions!$F$4:$F$44))/NETWORKDAYS($K375,$L375,Assumptions!$F$4:$F$44))</f>
        <v>0</v>
      </c>
      <c r="BA375" s="21" t="n">
        <f aca="false">IF($J375=0,0,MAX(0,NETWORKDAYS(MAX($K375,BA$4),MIN($L375,EOMONTH(BA$4,0)),Assumptions!$F$4:$F$44))/NETWORKDAYS($K375,$L375,Assumptions!$F$4:$F$44))</f>
        <v>0</v>
      </c>
      <c r="BB375" s="21" t="n">
        <f aca="false">IF($J375=0,0,MAX(0,NETWORKDAYS(MAX($K375,BB$4),MIN($L375,EOMONTH(BB$4,0)),Assumptions!$F$4:$F$44))/NETWORKDAYS($K375,$L375,Assumptions!$F$4:$F$44))</f>
        <v>0</v>
      </c>
      <c r="BC375" s="21" t="n">
        <f aca="false">IF($J375=0,0,MAX(0,NETWORKDAYS(MAX($K375,BC$4),MIN($L375,EOMONTH(BC$4,0)),Assumptions!$F$4:$F$44))/NETWORKDAYS($K375,$L375,Assumptions!$F$4:$F$44))</f>
        <v>0</v>
      </c>
    </row>
    <row r="376" customFormat="false" ht="15" hidden="false" customHeight="false" outlineLevel="2" collapsed="false">
      <c r="A376" s="27" t="n">
        <v>372</v>
      </c>
      <c r="B376" s="27" t="s">
        <v>804</v>
      </c>
      <c r="C376" s="27" t="n">
        <v>3</v>
      </c>
      <c r="D376" s="27" t="s">
        <v>92</v>
      </c>
      <c r="E376" s="28" t="s">
        <v>296</v>
      </c>
      <c r="F376" s="27" t="s">
        <v>681</v>
      </c>
      <c r="G376" s="27" t="s">
        <v>801</v>
      </c>
      <c r="H376" s="27" t="s">
        <v>45</v>
      </c>
      <c r="I376" s="29" t="n">
        <v>187</v>
      </c>
      <c r="J376" s="29" t="n">
        <v>16</v>
      </c>
      <c r="K376" s="30" t="n">
        <f aca="false">WORKDAY(Assumptions!$C$4,I376,Assumptions!$F$4:$F$44)</f>
        <v>46589</v>
      </c>
      <c r="L376" s="30" t="n">
        <f aca="false">IF(J376=0,K376,WORKDAY(K376,J376-1,Assumptions!$F$4:$F$44))</f>
        <v>46610</v>
      </c>
      <c r="M376" s="29" t="s">
        <v>805</v>
      </c>
      <c r="N376" s="31" t="n">
        <v>0</v>
      </c>
      <c r="O376" s="31" t="n">
        <v>0</v>
      </c>
      <c r="P376" s="31" t="n">
        <v>4</v>
      </c>
      <c r="Q376" s="31" t="n">
        <v>4</v>
      </c>
      <c r="R376" s="31" t="n">
        <v>0</v>
      </c>
      <c r="S376" s="31" t="n">
        <v>0</v>
      </c>
      <c r="T376" s="31" t="n">
        <v>0</v>
      </c>
      <c r="U376" s="31" t="n">
        <v>0</v>
      </c>
      <c r="V376" s="31" t="n">
        <v>0</v>
      </c>
      <c r="W376" s="31" t="n">
        <v>0</v>
      </c>
      <c r="X376" s="31" t="n">
        <v>0</v>
      </c>
      <c r="Y376" s="32" t="n">
        <f aca="false">SUM(N376:X376)</f>
        <v>8</v>
      </c>
      <c r="Z376" s="32" t="n">
        <f aca="false">Y376*(1+Assumptions!$C$5)</f>
        <v>9.2</v>
      </c>
      <c r="AA376" s="27" t="s">
        <v>298</v>
      </c>
      <c r="AB376" s="27" t="s">
        <v>95</v>
      </c>
      <c r="AC376" s="27"/>
      <c r="AD376" s="33" t="n">
        <v>0</v>
      </c>
      <c r="AF376" s="21" t="n">
        <f aca="false">IF($J376=0,0,MAX(0,NETWORKDAYS(MAX($K376,AF$4),MIN($L376,EOMONTH(AF$4,0)),Assumptions!$F$4:$F$44))/NETWORKDAYS($K376,$L376,Assumptions!$F$4:$F$44))</f>
        <v>0</v>
      </c>
      <c r="AG376" s="21" t="n">
        <f aca="false">IF($J376=0,0,MAX(0,NETWORKDAYS(MAX($K376,AG$4),MIN($L376,EOMONTH(AG$4,0)),Assumptions!$F$4:$F$44))/NETWORKDAYS($K376,$L376,Assumptions!$F$4:$F$44))</f>
        <v>0</v>
      </c>
      <c r="AH376" s="21" t="n">
        <f aca="false">IF($J376=0,0,MAX(0,NETWORKDAYS(MAX($K376,AH$4),MIN($L376,EOMONTH(AH$4,0)),Assumptions!$F$4:$F$44))/NETWORKDAYS($K376,$L376,Assumptions!$F$4:$F$44))</f>
        <v>0</v>
      </c>
      <c r="AI376" s="21" t="n">
        <f aca="false">IF($J376=0,0,MAX(0,NETWORKDAYS(MAX($K376,AI$4),MIN($L376,EOMONTH(AI$4,0)),Assumptions!$F$4:$F$44))/NETWORKDAYS($K376,$L376,Assumptions!$F$4:$F$44))</f>
        <v>0</v>
      </c>
      <c r="AJ376" s="21" t="n">
        <f aca="false">IF($J376=0,0,MAX(0,NETWORKDAYS(MAX($K376,AJ$4),MIN($L376,EOMONTH(AJ$4,0)),Assumptions!$F$4:$F$44))/NETWORKDAYS($K376,$L376,Assumptions!$F$4:$F$44))</f>
        <v>0</v>
      </c>
      <c r="AK376" s="21" t="n">
        <f aca="false">IF($J376=0,0,MAX(0,NETWORKDAYS(MAX($K376,AK$4),MIN($L376,EOMONTH(AK$4,0)),Assumptions!$F$4:$F$44))/NETWORKDAYS($K376,$L376,Assumptions!$F$4:$F$44))</f>
        <v>0</v>
      </c>
      <c r="AL376" s="21" t="n">
        <f aca="false">IF($J376=0,0,MAX(0,NETWORKDAYS(MAX($K376,AL$4),MIN($L376,EOMONTH(AL$4,0)),Assumptions!$F$4:$F$44))/NETWORKDAYS($K376,$L376,Assumptions!$F$4:$F$44))</f>
        <v>0</v>
      </c>
      <c r="AM376" s="21" t="n">
        <f aca="false">IF($J376=0,0,MAX(0,NETWORKDAYS(MAX($K376,AM$4),MIN($L376,EOMONTH(AM$4,0)),Assumptions!$F$4:$F$44))/NETWORKDAYS($K376,$L376,Assumptions!$F$4:$F$44))</f>
        <v>0</v>
      </c>
      <c r="AN376" s="21" t="n">
        <f aca="false">IF($J376=0,0,MAX(0,NETWORKDAYS(MAX($K376,AN$4),MIN($L376,EOMONTH(AN$4,0)),Assumptions!$F$4:$F$44))/NETWORKDAYS($K376,$L376,Assumptions!$F$4:$F$44))</f>
        <v>0.5</v>
      </c>
      <c r="AO376" s="21" t="n">
        <f aca="false">IF($J376=0,0,MAX(0,NETWORKDAYS(MAX($K376,AO$4),MIN($L376,EOMONTH(AO$4,0)),Assumptions!$F$4:$F$44))/NETWORKDAYS($K376,$L376,Assumptions!$F$4:$F$44))</f>
        <v>0.5</v>
      </c>
      <c r="AP376" s="21" t="n">
        <f aca="false">IF($J376=0,0,MAX(0,NETWORKDAYS(MAX($K376,AP$4),MIN($L376,EOMONTH(AP$4,0)),Assumptions!$F$4:$F$44))/NETWORKDAYS($K376,$L376,Assumptions!$F$4:$F$44))</f>
        <v>0</v>
      </c>
      <c r="AQ376" s="21" t="n">
        <f aca="false">IF($J376=0,0,MAX(0,NETWORKDAYS(MAX($K376,AQ$4),MIN($L376,EOMONTH(AQ$4,0)),Assumptions!$F$4:$F$44))/NETWORKDAYS($K376,$L376,Assumptions!$F$4:$F$44))</f>
        <v>0</v>
      </c>
      <c r="AR376" s="21" t="n">
        <f aca="false">IF($J376=0,0,MAX(0,NETWORKDAYS(MAX($K376,AR$4),MIN($L376,EOMONTH(AR$4,0)),Assumptions!$F$4:$F$44))/NETWORKDAYS($K376,$L376,Assumptions!$F$4:$F$44))</f>
        <v>0</v>
      </c>
      <c r="AS376" s="21" t="n">
        <f aca="false">IF($J376=0,0,MAX(0,NETWORKDAYS(MAX($K376,AS$4),MIN($L376,EOMONTH(AS$4,0)),Assumptions!$F$4:$F$44))/NETWORKDAYS($K376,$L376,Assumptions!$F$4:$F$44))</f>
        <v>0</v>
      </c>
      <c r="AT376" s="21" t="n">
        <f aca="false">IF($J376=0,0,MAX(0,NETWORKDAYS(MAX($K376,AT$4),MIN($L376,EOMONTH(AT$4,0)),Assumptions!$F$4:$F$44))/NETWORKDAYS($K376,$L376,Assumptions!$F$4:$F$44))</f>
        <v>0</v>
      </c>
      <c r="AU376" s="21" t="n">
        <f aca="false">IF($J376=0,0,MAX(0,NETWORKDAYS(MAX($K376,AU$4),MIN($L376,EOMONTH(AU$4,0)),Assumptions!$F$4:$F$44))/NETWORKDAYS($K376,$L376,Assumptions!$F$4:$F$44))</f>
        <v>0</v>
      </c>
      <c r="AV376" s="21" t="n">
        <f aca="false">IF($J376=0,0,MAX(0,NETWORKDAYS(MAX($K376,AV$4),MIN($L376,EOMONTH(AV$4,0)),Assumptions!$F$4:$F$44))/NETWORKDAYS($K376,$L376,Assumptions!$F$4:$F$44))</f>
        <v>0</v>
      </c>
      <c r="AW376" s="21" t="n">
        <f aca="false">IF($J376=0,0,MAX(0,NETWORKDAYS(MAX($K376,AW$4),MIN($L376,EOMONTH(AW$4,0)),Assumptions!$F$4:$F$44))/NETWORKDAYS($K376,$L376,Assumptions!$F$4:$F$44))</f>
        <v>0</v>
      </c>
      <c r="AX376" s="21" t="n">
        <f aca="false">IF($J376=0,0,MAX(0,NETWORKDAYS(MAX($K376,AX$4),MIN($L376,EOMONTH(AX$4,0)),Assumptions!$F$4:$F$44))/NETWORKDAYS($K376,$L376,Assumptions!$F$4:$F$44))</f>
        <v>0</v>
      </c>
      <c r="AY376" s="21" t="n">
        <f aca="false">IF($J376=0,0,MAX(0,NETWORKDAYS(MAX($K376,AY$4),MIN($L376,EOMONTH(AY$4,0)),Assumptions!$F$4:$F$44))/NETWORKDAYS($K376,$L376,Assumptions!$F$4:$F$44))</f>
        <v>0</v>
      </c>
      <c r="AZ376" s="21" t="n">
        <f aca="false">IF($J376=0,0,MAX(0,NETWORKDAYS(MAX($K376,AZ$4),MIN($L376,EOMONTH(AZ$4,0)),Assumptions!$F$4:$F$44))/NETWORKDAYS($K376,$L376,Assumptions!$F$4:$F$44))</f>
        <v>0</v>
      </c>
      <c r="BA376" s="21" t="n">
        <f aca="false">IF($J376=0,0,MAX(0,NETWORKDAYS(MAX($K376,BA$4),MIN($L376,EOMONTH(BA$4,0)),Assumptions!$F$4:$F$44))/NETWORKDAYS($K376,$L376,Assumptions!$F$4:$F$44))</f>
        <v>0</v>
      </c>
      <c r="BB376" s="21" t="n">
        <f aca="false">IF($J376=0,0,MAX(0,NETWORKDAYS(MAX($K376,BB$4),MIN($L376,EOMONTH(BB$4,0)),Assumptions!$F$4:$F$44))/NETWORKDAYS($K376,$L376,Assumptions!$F$4:$F$44))</f>
        <v>0</v>
      </c>
      <c r="BC376" s="21" t="n">
        <f aca="false">IF($J376=0,0,MAX(0,NETWORKDAYS(MAX($K376,BC$4),MIN($L376,EOMONTH(BC$4,0)),Assumptions!$F$4:$F$44))/NETWORKDAYS($K376,$L376,Assumptions!$F$4:$F$44))</f>
        <v>0</v>
      </c>
    </row>
    <row r="377" customFormat="false" ht="15" hidden="false" customHeight="false" outlineLevel="2" collapsed="false">
      <c r="A377" s="27" t="n">
        <v>373</v>
      </c>
      <c r="B377" s="27" t="s">
        <v>806</v>
      </c>
      <c r="C377" s="27" t="n">
        <v>3</v>
      </c>
      <c r="D377" s="27" t="s">
        <v>92</v>
      </c>
      <c r="E377" s="28" t="s">
        <v>300</v>
      </c>
      <c r="F377" s="27" t="s">
        <v>681</v>
      </c>
      <c r="G377" s="27" t="s">
        <v>801</v>
      </c>
      <c r="H377" s="27" t="s">
        <v>49</v>
      </c>
      <c r="I377" s="29" t="n">
        <v>187</v>
      </c>
      <c r="J377" s="29" t="n">
        <v>16</v>
      </c>
      <c r="K377" s="30" t="n">
        <f aca="false">WORKDAY(Assumptions!$C$4,I377,Assumptions!$F$4:$F$44)</f>
        <v>46589</v>
      </c>
      <c r="L377" s="30" t="n">
        <f aca="false">IF(J377=0,K377,WORKDAY(K377,J377-1,Assumptions!$F$4:$F$44))</f>
        <v>46610</v>
      </c>
      <c r="M377" s="29" t="s">
        <v>805</v>
      </c>
      <c r="N377" s="31" t="n">
        <v>0</v>
      </c>
      <c r="O377" s="31" t="n">
        <v>2</v>
      </c>
      <c r="P377" s="31" t="n">
        <v>0</v>
      </c>
      <c r="Q377" s="31" t="n">
        <v>0</v>
      </c>
      <c r="R377" s="31" t="n">
        <v>5</v>
      </c>
      <c r="S377" s="31" t="n">
        <v>0</v>
      </c>
      <c r="T377" s="31" t="n">
        <v>0</v>
      </c>
      <c r="U377" s="31" t="n">
        <v>0</v>
      </c>
      <c r="V377" s="31" t="n">
        <v>0</v>
      </c>
      <c r="W377" s="31" t="n">
        <v>0</v>
      </c>
      <c r="X377" s="31" t="n">
        <v>0</v>
      </c>
      <c r="Y377" s="32" t="n">
        <f aca="false">SUM(N377:X377)</f>
        <v>7</v>
      </c>
      <c r="Z377" s="32" t="n">
        <f aca="false">Y377*(1+Assumptions!$C$5)</f>
        <v>8.05</v>
      </c>
      <c r="AA377" s="27" t="s">
        <v>301</v>
      </c>
      <c r="AB377" s="27" t="s">
        <v>95</v>
      </c>
      <c r="AC377" s="27"/>
      <c r="AD377" s="33" t="n">
        <v>0</v>
      </c>
      <c r="AF377" s="21" t="n">
        <f aca="false">IF($J377=0,0,MAX(0,NETWORKDAYS(MAX($K377,AF$4),MIN($L377,EOMONTH(AF$4,0)),Assumptions!$F$4:$F$44))/NETWORKDAYS($K377,$L377,Assumptions!$F$4:$F$44))</f>
        <v>0</v>
      </c>
      <c r="AG377" s="21" t="n">
        <f aca="false">IF($J377=0,0,MAX(0,NETWORKDAYS(MAX($K377,AG$4),MIN($L377,EOMONTH(AG$4,0)),Assumptions!$F$4:$F$44))/NETWORKDAYS($K377,$L377,Assumptions!$F$4:$F$44))</f>
        <v>0</v>
      </c>
      <c r="AH377" s="21" t="n">
        <f aca="false">IF($J377=0,0,MAX(0,NETWORKDAYS(MAX($K377,AH$4),MIN($L377,EOMONTH(AH$4,0)),Assumptions!$F$4:$F$44))/NETWORKDAYS($K377,$L377,Assumptions!$F$4:$F$44))</f>
        <v>0</v>
      </c>
      <c r="AI377" s="21" t="n">
        <f aca="false">IF($J377=0,0,MAX(0,NETWORKDAYS(MAX($K377,AI$4),MIN($L377,EOMONTH(AI$4,0)),Assumptions!$F$4:$F$44))/NETWORKDAYS($K377,$L377,Assumptions!$F$4:$F$44))</f>
        <v>0</v>
      </c>
      <c r="AJ377" s="21" t="n">
        <f aca="false">IF($J377=0,0,MAX(0,NETWORKDAYS(MAX($K377,AJ$4),MIN($L377,EOMONTH(AJ$4,0)),Assumptions!$F$4:$F$44))/NETWORKDAYS($K377,$L377,Assumptions!$F$4:$F$44))</f>
        <v>0</v>
      </c>
      <c r="AK377" s="21" t="n">
        <f aca="false">IF($J377=0,0,MAX(0,NETWORKDAYS(MAX($K377,AK$4),MIN($L377,EOMONTH(AK$4,0)),Assumptions!$F$4:$F$44))/NETWORKDAYS($K377,$L377,Assumptions!$F$4:$F$44))</f>
        <v>0</v>
      </c>
      <c r="AL377" s="21" t="n">
        <f aca="false">IF($J377=0,0,MAX(0,NETWORKDAYS(MAX($K377,AL$4),MIN($L377,EOMONTH(AL$4,0)),Assumptions!$F$4:$F$44))/NETWORKDAYS($K377,$L377,Assumptions!$F$4:$F$44))</f>
        <v>0</v>
      </c>
      <c r="AM377" s="21" t="n">
        <f aca="false">IF($J377=0,0,MAX(0,NETWORKDAYS(MAX($K377,AM$4),MIN($L377,EOMONTH(AM$4,0)),Assumptions!$F$4:$F$44))/NETWORKDAYS($K377,$L377,Assumptions!$F$4:$F$44))</f>
        <v>0</v>
      </c>
      <c r="AN377" s="21" t="n">
        <f aca="false">IF($J377=0,0,MAX(0,NETWORKDAYS(MAX($K377,AN$4),MIN($L377,EOMONTH(AN$4,0)),Assumptions!$F$4:$F$44))/NETWORKDAYS($K377,$L377,Assumptions!$F$4:$F$44))</f>
        <v>0.5</v>
      </c>
      <c r="AO377" s="21" t="n">
        <f aca="false">IF($J377=0,0,MAX(0,NETWORKDAYS(MAX($K377,AO$4),MIN($L377,EOMONTH(AO$4,0)),Assumptions!$F$4:$F$44))/NETWORKDAYS($K377,$L377,Assumptions!$F$4:$F$44))</f>
        <v>0.5</v>
      </c>
      <c r="AP377" s="21" t="n">
        <f aca="false">IF($J377=0,0,MAX(0,NETWORKDAYS(MAX($K377,AP$4),MIN($L377,EOMONTH(AP$4,0)),Assumptions!$F$4:$F$44))/NETWORKDAYS($K377,$L377,Assumptions!$F$4:$F$44))</f>
        <v>0</v>
      </c>
      <c r="AQ377" s="21" t="n">
        <f aca="false">IF($J377=0,0,MAX(0,NETWORKDAYS(MAX($K377,AQ$4),MIN($L377,EOMONTH(AQ$4,0)),Assumptions!$F$4:$F$44))/NETWORKDAYS($K377,$L377,Assumptions!$F$4:$F$44))</f>
        <v>0</v>
      </c>
      <c r="AR377" s="21" t="n">
        <f aca="false">IF($J377=0,0,MAX(0,NETWORKDAYS(MAX($K377,AR$4),MIN($L377,EOMONTH(AR$4,0)),Assumptions!$F$4:$F$44))/NETWORKDAYS($K377,$L377,Assumptions!$F$4:$F$44))</f>
        <v>0</v>
      </c>
      <c r="AS377" s="21" t="n">
        <f aca="false">IF($J377=0,0,MAX(0,NETWORKDAYS(MAX($K377,AS$4),MIN($L377,EOMONTH(AS$4,0)),Assumptions!$F$4:$F$44))/NETWORKDAYS($K377,$L377,Assumptions!$F$4:$F$44))</f>
        <v>0</v>
      </c>
      <c r="AT377" s="21" t="n">
        <f aca="false">IF($J377=0,0,MAX(0,NETWORKDAYS(MAX($K377,AT$4),MIN($L377,EOMONTH(AT$4,0)),Assumptions!$F$4:$F$44))/NETWORKDAYS($K377,$L377,Assumptions!$F$4:$F$44))</f>
        <v>0</v>
      </c>
      <c r="AU377" s="21" t="n">
        <f aca="false">IF($J377=0,0,MAX(0,NETWORKDAYS(MAX($K377,AU$4),MIN($L377,EOMONTH(AU$4,0)),Assumptions!$F$4:$F$44))/NETWORKDAYS($K377,$L377,Assumptions!$F$4:$F$44))</f>
        <v>0</v>
      </c>
      <c r="AV377" s="21" t="n">
        <f aca="false">IF($J377=0,0,MAX(0,NETWORKDAYS(MAX($K377,AV$4),MIN($L377,EOMONTH(AV$4,0)),Assumptions!$F$4:$F$44))/NETWORKDAYS($K377,$L377,Assumptions!$F$4:$F$44))</f>
        <v>0</v>
      </c>
      <c r="AW377" s="21" t="n">
        <f aca="false">IF($J377=0,0,MAX(0,NETWORKDAYS(MAX($K377,AW$4),MIN($L377,EOMONTH(AW$4,0)),Assumptions!$F$4:$F$44))/NETWORKDAYS($K377,$L377,Assumptions!$F$4:$F$44))</f>
        <v>0</v>
      </c>
      <c r="AX377" s="21" t="n">
        <f aca="false">IF($J377=0,0,MAX(0,NETWORKDAYS(MAX($K377,AX$4),MIN($L377,EOMONTH(AX$4,0)),Assumptions!$F$4:$F$44))/NETWORKDAYS($K377,$L377,Assumptions!$F$4:$F$44))</f>
        <v>0</v>
      </c>
      <c r="AY377" s="21" t="n">
        <f aca="false">IF($J377=0,0,MAX(0,NETWORKDAYS(MAX($K377,AY$4),MIN($L377,EOMONTH(AY$4,0)),Assumptions!$F$4:$F$44))/NETWORKDAYS($K377,$L377,Assumptions!$F$4:$F$44))</f>
        <v>0</v>
      </c>
      <c r="AZ377" s="21" t="n">
        <f aca="false">IF($J377=0,0,MAX(0,NETWORKDAYS(MAX($K377,AZ$4),MIN($L377,EOMONTH(AZ$4,0)),Assumptions!$F$4:$F$44))/NETWORKDAYS($K377,$L377,Assumptions!$F$4:$F$44))</f>
        <v>0</v>
      </c>
      <c r="BA377" s="21" t="n">
        <f aca="false">IF($J377=0,0,MAX(0,NETWORKDAYS(MAX($K377,BA$4),MIN($L377,EOMONTH(BA$4,0)),Assumptions!$F$4:$F$44))/NETWORKDAYS($K377,$L377,Assumptions!$F$4:$F$44))</f>
        <v>0</v>
      </c>
      <c r="BB377" s="21" t="n">
        <f aca="false">IF($J377=0,0,MAX(0,NETWORKDAYS(MAX($K377,BB$4),MIN($L377,EOMONTH(BB$4,0)),Assumptions!$F$4:$F$44))/NETWORKDAYS($K377,$L377,Assumptions!$F$4:$F$44))</f>
        <v>0</v>
      </c>
      <c r="BC377" s="21" t="n">
        <f aca="false">IF($J377=0,0,MAX(0,NETWORKDAYS(MAX($K377,BC$4),MIN($L377,EOMONTH(BC$4,0)),Assumptions!$F$4:$F$44))/NETWORKDAYS($K377,$L377,Assumptions!$F$4:$F$44))</f>
        <v>0</v>
      </c>
    </row>
    <row r="378" customFormat="false" ht="15" hidden="false" customHeight="false" outlineLevel="2" collapsed="false">
      <c r="A378" s="27" t="n">
        <v>374</v>
      </c>
      <c r="B378" s="27" t="s">
        <v>807</v>
      </c>
      <c r="C378" s="27" t="n">
        <v>3</v>
      </c>
      <c r="D378" s="27" t="s">
        <v>92</v>
      </c>
      <c r="E378" s="28" t="s">
        <v>303</v>
      </c>
      <c r="F378" s="27" t="s">
        <v>681</v>
      </c>
      <c r="G378" s="27" t="s">
        <v>801</v>
      </c>
      <c r="H378" s="27" t="s">
        <v>47</v>
      </c>
      <c r="I378" s="29" t="n">
        <v>200</v>
      </c>
      <c r="J378" s="29" t="n">
        <v>55</v>
      </c>
      <c r="K378" s="30" t="n">
        <f aca="false">WORKDAY(Assumptions!$C$4,I378,Assumptions!$F$4:$F$44)</f>
        <v>46608</v>
      </c>
      <c r="L378" s="30" t="n">
        <f aca="false">IF(J378=0,K378,WORKDAY(K378,J378-1,Assumptions!$F$4:$F$44))</f>
        <v>46682</v>
      </c>
      <c r="M378" s="29" t="s">
        <v>808</v>
      </c>
      <c r="N378" s="31" t="n">
        <v>0</v>
      </c>
      <c r="O378" s="31" t="n">
        <v>0</v>
      </c>
      <c r="P378" s="31" t="n">
        <v>0</v>
      </c>
      <c r="Q378" s="31" t="n">
        <v>26</v>
      </c>
      <c r="R378" s="31" t="n">
        <v>0</v>
      </c>
      <c r="S378" s="31" t="n">
        <v>0</v>
      </c>
      <c r="T378" s="31" t="n">
        <v>0</v>
      </c>
      <c r="U378" s="31" t="n">
        <v>0</v>
      </c>
      <c r="V378" s="31" t="n">
        <v>0</v>
      </c>
      <c r="W378" s="31" t="n">
        <v>0</v>
      </c>
      <c r="X378" s="31" t="n">
        <v>0</v>
      </c>
      <c r="Y378" s="32" t="n">
        <f aca="false">SUM(N378:X378)</f>
        <v>26</v>
      </c>
      <c r="Z378" s="32" t="n">
        <f aca="false">Y378*(1+Assumptions!$C$5)</f>
        <v>29.9</v>
      </c>
      <c r="AA378" s="27" t="s">
        <v>305</v>
      </c>
      <c r="AB378" s="27" t="s">
        <v>95</v>
      </c>
      <c r="AC378" s="27"/>
      <c r="AD378" s="33" t="n">
        <v>0</v>
      </c>
      <c r="AF378" s="21" t="n">
        <f aca="false">IF($J378=0,0,MAX(0,NETWORKDAYS(MAX($K378,AF$4),MIN($L378,EOMONTH(AF$4,0)),Assumptions!$F$4:$F$44))/NETWORKDAYS($K378,$L378,Assumptions!$F$4:$F$44))</f>
        <v>0</v>
      </c>
      <c r="AG378" s="21" t="n">
        <f aca="false">IF($J378=0,0,MAX(0,NETWORKDAYS(MAX($K378,AG$4),MIN($L378,EOMONTH(AG$4,0)),Assumptions!$F$4:$F$44))/NETWORKDAYS($K378,$L378,Assumptions!$F$4:$F$44))</f>
        <v>0</v>
      </c>
      <c r="AH378" s="21" t="n">
        <f aca="false">IF($J378=0,0,MAX(0,NETWORKDAYS(MAX($K378,AH$4),MIN($L378,EOMONTH(AH$4,0)),Assumptions!$F$4:$F$44))/NETWORKDAYS($K378,$L378,Assumptions!$F$4:$F$44))</f>
        <v>0</v>
      </c>
      <c r="AI378" s="21" t="n">
        <f aca="false">IF($J378=0,0,MAX(0,NETWORKDAYS(MAX($K378,AI$4),MIN($L378,EOMONTH(AI$4,0)),Assumptions!$F$4:$F$44))/NETWORKDAYS($K378,$L378,Assumptions!$F$4:$F$44))</f>
        <v>0</v>
      </c>
      <c r="AJ378" s="21" t="n">
        <f aca="false">IF($J378=0,0,MAX(0,NETWORKDAYS(MAX($K378,AJ$4),MIN($L378,EOMONTH(AJ$4,0)),Assumptions!$F$4:$F$44))/NETWORKDAYS($K378,$L378,Assumptions!$F$4:$F$44))</f>
        <v>0</v>
      </c>
      <c r="AK378" s="21" t="n">
        <f aca="false">IF($J378=0,0,MAX(0,NETWORKDAYS(MAX($K378,AK$4),MIN($L378,EOMONTH(AK$4,0)),Assumptions!$F$4:$F$44))/NETWORKDAYS($K378,$L378,Assumptions!$F$4:$F$44))</f>
        <v>0</v>
      </c>
      <c r="AL378" s="21" t="n">
        <f aca="false">IF($J378=0,0,MAX(0,NETWORKDAYS(MAX($K378,AL$4),MIN($L378,EOMONTH(AL$4,0)),Assumptions!$F$4:$F$44))/NETWORKDAYS($K378,$L378,Assumptions!$F$4:$F$44))</f>
        <v>0</v>
      </c>
      <c r="AM378" s="21" t="n">
        <f aca="false">IF($J378=0,0,MAX(0,NETWORKDAYS(MAX($K378,AM$4),MIN($L378,EOMONTH(AM$4,0)),Assumptions!$F$4:$F$44))/NETWORKDAYS($K378,$L378,Assumptions!$F$4:$F$44))</f>
        <v>0</v>
      </c>
      <c r="AN378" s="21" t="n">
        <f aca="false">IF($J378=0,0,MAX(0,NETWORKDAYS(MAX($K378,AN$4),MIN($L378,EOMONTH(AN$4,0)),Assumptions!$F$4:$F$44))/NETWORKDAYS($K378,$L378,Assumptions!$F$4:$F$44))</f>
        <v>0</v>
      </c>
      <c r="AO378" s="21" t="n">
        <f aca="false">IF($J378=0,0,MAX(0,NETWORKDAYS(MAX($K378,AO$4),MIN($L378,EOMONTH(AO$4,0)),Assumptions!$F$4:$F$44))/NETWORKDAYS($K378,$L378,Assumptions!$F$4:$F$44))</f>
        <v>0.309090909090909</v>
      </c>
      <c r="AP378" s="21" t="n">
        <f aca="false">IF($J378=0,0,MAX(0,NETWORKDAYS(MAX($K378,AP$4),MIN($L378,EOMONTH(AP$4,0)),Assumptions!$F$4:$F$44))/NETWORKDAYS($K378,$L378,Assumptions!$F$4:$F$44))</f>
        <v>0.4</v>
      </c>
      <c r="AQ378" s="21" t="n">
        <f aca="false">IF($J378=0,0,MAX(0,NETWORKDAYS(MAX($K378,AQ$4),MIN($L378,EOMONTH(AQ$4,0)),Assumptions!$F$4:$F$44))/NETWORKDAYS($K378,$L378,Assumptions!$F$4:$F$44))</f>
        <v>0.290909090909091</v>
      </c>
      <c r="AR378" s="21" t="n">
        <f aca="false">IF($J378=0,0,MAX(0,NETWORKDAYS(MAX($K378,AR$4),MIN($L378,EOMONTH(AR$4,0)),Assumptions!$F$4:$F$44))/NETWORKDAYS($K378,$L378,Assumptions!$F$4:$F$44))</f>
        <v>0</v>
      </c>
      <c r="AS378" s="21" t="n">
        <f aca="false">IF($J378=0,0,MAX(0,NETWORKDAYS(MAX($K378,AS$4),MIN($L378,EOMONTH(AS$4,0)),Assumptions!$F$4:$F$44))/NETWORKDAYS($K378,$L378,Assumptions!$F$4:$F$44))</f>
        <v>0</v>
      </c>
      <c r="AT378" s="21" t="n">
        <f aca="false">IF($J378=0,0,MAX(0,NETWORKDAYS(MAX($K378,AT$4),MIN($L378,EOMONTH(AT$4,0)),Assumptions!$F$4:$F$44))/NETWORKDAYS($K378,$L378,Assumptions!$F$4:$F$44))</f>
        <v>0</v>
      </c>
      <c r="AU378" s="21" t="n">
        <f aca="false">IF($J378=0,0,MAX(0,NETWORKDAYS(MAX($K378,AU$4),MIN($L378,EOMONTH(AU$4,0)),Assumptions!$F$4:$F$44))/NETWORKDAYS($K378,$L378,Assumptions!$F$4:$F$44))</f>
        <v>0</v>
      </c>
      <c r="AV378" s="21" t="n">
        <f aca="false">IF($J378=0,0,MAX(0,NETWORKDAYS(MAX($K378,AV$4),MIN($L378,EOMONTH(AV$4,0)),Assumptions!$F$4:$F$44))/NETWORKDAYS($K378,$L378,Assumptions!$F$4:$F$44))</f>
        <v>0</v>
      </c>
      <c r="AW378" s="21" t="n">
        <f aca="false">IF($J378=0,0,MAX(0,NETWORKDAYS(MAX($K378,AW$4),MIN($L378,EOMONTH(AW$4,0)),Assumptions!$F$4:$F$44))/NETWORKDAYS($K378,$L378,Assumptions!$F$4:$F$44))</f>
        <v>0</v>
      </c>
      <c r="AX378" s="21" t="n">
        <f aca="false">IF($J378=0,0,MAX(0,NETWORKDAYS(MAX($K378,AX$4),MIN($L378,EOMONTH(AX$4,0)),Assumptions!$F$4:$F$44))/NETWORKDAYS($K378,$L378,Assumptions!$F$4:$F$44))</f>
        <v>0</v>
      </c>
      <c r="AY378" s="21" t="n">
        <f aca="false">IF($J378=0,0,MAX(0,NETWORKDAYS(MAX($K378,AY$4),MIN($L378,EOMONTH(AY$4,0)),Assumptions!$F$4:$F$44))/NETWORKDAYS($K378,$L378,Assumptions!$F$4:$F$44))</f>
        <v>0</v>
      </c>
      <c r="AZ378" s="21" t="n">
        <f aca="false">IF($J378=0,0,MAX(0,NETWORKDAYS(MAX($K378,AZ$4),MIN($L378,EOMONTH(AZ$4,0)),Assumptions!$F$4:$F$44))/NETWORKDAYS($K378,$L378,Assumptions!$F$4:$F$44))</f>
        <v>0</v>
      </c>
      <c r="BA378" s="21" t="n">
        <f aca="false">IF($J378=0,0,MAX(0,NETWORKDAYS(MAX($K378,BA$4),MIN($L378,EOMONTH(BA$4,0)),Assumptions!$F$4:$F$44))/NETWORKDAYS($K378,$L378,Assumptions!$F$4:$F$44))</f>
        <v>0</v>
      </c>
      <c r="BB378" s="21" t="n">
        <f aca="false">IF($J378=0,0,MAX(0,NETWORKDAYS(MAX($K378,BB$4),MIN($L378,EOMONTH(BB$4,0)),Assumptions!$F$4:$F$44))/NETWORKDAYS($K378,$L378,Assumptions!$F$4:$F$44))</f>
        <v>0</v>
      </c>
      <c r="BC378" s="21" t="n">
        <f aca="false">IF($J378=0,0,MAX(0,NETWORKDAYS(MAX($K378,BC$4),MIN($L378,EOMONTH(BC$4,0)),Assumptions!$F$4:$F$44))/NETWORKDAYS($K378,$L378,Assumptions!$F$4:$F$44))</f>
        <v>0</v>
      </c>
    </row>
    <row r="379" customFormat="false" ht="15" hidden="false" customHeight="false" outlineLevel="2" collapsed="false">
      <c r="A379" s="27" t="n">
        <v>375</v>
      </c>
      <c r="B379" s="27" t="s">
        <v>809</v>
      </c>
      <c r="C379" s="27" t="n">
        <v>3</v>
      </c>
      <c r="D379" s="27" t="s">
        <v>92</v>
      </c>
      <c r="E379" s="28" t="s">
        <v>307</v>
      </c>
      <c r="F379" s="27" t="s">
        <v>681</v>
      </c>
      <c r="G379" s="27" t="s">
        <v>801</v>
      </c>
      <c r="H379" s="27" t="s">
        <v>47</v>
      </c>
      <c r="I379" s="29" t="n">
        <v>216</v>
      </c>
      <c r="J379" s="29" t="n">
        <v>40</v>
      </c>
      <c r="K379" s="30" t="n">
        <f aca="false">WORKDAY(Assumptions!$C$4,I379,Assumptions!$F$4:$F$44)</f>
        <v>46630</v>
      </c>
      <c r="L379" s="30" t="n">
        <f aca="false">IF(J379=0,K379,WORKDAY(K379,J379-1,Assumptions!$F$4:$F$44))</f>
        <v>46685</v>
      </c>
      <c r="M379" s="29" t="s">
        <v>808</v>
      </c>
      <c r="N379" s="31" t="n">
        <v>0</v>
      </c>
      <c r="O379" s="31" t="n">
        <v>3</v>
      </c>
      <c r="P379" s="31" t="n">
        <v>0</v>
      </c>
      <c r="Q379" s="31" t="n">
        <v>8</v>
      </c>
      <c r="R379" s="31" t="n">
        <v>0</v>
      </c>
      <c r="S379" s="31" t="n">
        <v>0</v>
      </c>
      <c r="T379" s="31" t="n">
        <v>0</v>
      </c>
      <c r="U379" s="31" t="n">
        <v>0</v>
      </c>
      <c r="V379" s="31" t="n">
        <v>0</v>
      </c>
      <c r="W379" s="31" t="n">
        <v>0</v>
      </c>
      <c r="X379" s="31" t="n">
        <v>0</v>
      </c>
      <c r="Y379" s="32" t="n">
        <f aca="false">SUM(N379:X379)</f>
        <v>11</v>
      </c>
      <c r="Z379" s="32" t="n">
        <f aca="false">Y379*(1+Assumptions!$C$5)</f>
        <v>12.65</v>
      </c>
      <c r="AA379" s="27" t="s">
        <v>308</v>
      </c>
      <c r="AB379" s="27" t="s">
        <v>95</v>
      </c>
      <c r="AC379" s="27"/>
      <c r="AD379" s="33" t="n">
        <v>0</v>
      </c>
      <c r="AF379" s="21" t="n">
        <f aca="false">IF($J379=0,0,MAX(0,NETWORKDAYS(MAX($K379,AF$4),MIN($L379,EOMONTH(AF$4,0)),Assumptions!$F$4:$F$44))/NETWORKDAYS($K379,$L379,Assumptions!$F$4:$F$44))</f>
        <v>0</v>
      </c>
      <c r="AG379" s="21" t="n">
        <f aca="false">IF($J379=0,0,MAX(0,NETWORKDAYS(MAX($K379,AG$4),MIN($L379,EOMONTH(AG$4,0)),Assumptions!$F$4:$F$44))/NETWORKDAYS($K379,$L379,Assumptions!$F$4:$F$44))</f>
        <v>0</v>
      </c>
      <c r="AH379" s="21" t="n">
        <f aca="false">IF($J379=0,0,MAX(0,NETWORKDAYS(MAX($K379,AH$4),MIN($L379,EOMONTH(AH$4,0)),Assumptions!$F$4:$F$44))/NETWORKDAYS($K379,$L379,Assumptions!$F$4:$F$44))</f>
        <v>0</v>
      </c>
      <c r="AI379" s="21" t="n">
        <f aca="false">IF($J379=0,0,MAX(0,NETWORKDAYS(MAX($K379,AI$4),MIN($L379,EOMONTH(AI$4,0)),Assumptions!$F$4:$F$44))/NETWORKDAYS($K379,$L379,Assumptions!$F$4:$F$44))</f>
        <v>0</v>
      </c>
      <c r="AJ379" s="21" t="n">
        <f aca="false">IF($J379=0,0,MAX(0,NETWORKDAYS(MAX($K379,AJ$4),MIN($L379,EOMONTH(AJ$4,0)),Assumptions!$F$4:$F$44))/NETWORKDAYS($K379,$L379,Assumptions!$F$4:$F$44))</f>
        <v>0</v>
      </c>
      <c r="AK379" s="21" t="n">
        <f aca="false">IF($J379=0,0,MAX(0,NETWORKDAYS(MAX($K379,AK$4),MIN($L379,EOMONTH(AK$4,0)),Assumptions!$F$4:$F$44))/NETWORKDAYS($K379,$L379,Assumptions!$F$4:$F$44))</f>
        <v>0</v>
      </c>
      <c r="AL379" s="21" t="n">
        <f aca="false">IF($J379=0,0,MAX(0,NETWORKDAYS(MAX($K379,AL$4),MIN($L379,EOMONTH(AL$4,0)),Assumptions!$F$4:$F$44))/NETWORKDAYS($K379,$L379,Assumptions!$F$4:$F$44))</f>
        <v>0</v>
      </c>
      <c r="AM379" s="21" t="n">
        <f aca="false">IF($J379=0,0,MAX(0,NETWORKDAYS(MAX($K379,AM$4),MIN($L379,EOMONTH(AM$4,0)),Assumptions!$F$4:$F$44))/NETWORKDAYS($K379,$L379,Assumptions!$F$4:$F$44))</f>
        <v>0</v>
      </c>
      <c r="AN379" s="21" t="n">
        <f aca="false">IF($J379=0,0,MAX(0,NETWORKDAYS(MAX($K379,AN$4),MIN($L379,EOMONTH(AN$4,0)),Assumptions!$F$4:$F$44))/NETWORKDAYS($K379,$L379,Assumptions!$F$4:$F$44))</f>
        <v>0</v>
      </c>
      <c r="AO379" s="21" t="n">
        <f aca="false">IF($J379=0,0,MAX(0,NETWORKDAYS(MAX($K379,AO$4),MIN($L379,EOMONTH(AO$4,0)),Assumptions!$F$4:$F$44))/NETWORKDAYS($K379,$L379,Assumptions!$F$4:$F$44))</f>
        <v>0.025</v>
      </c>
      <c r="AP379" s="21" t="n">
        <f aca="false">IF($J379=0,0,MAX(0,NETWORKDAYS(MAX($K379,AP$4),MIN($L379,EOMONTH(AP$4,0)),Assumptions!$F$4:$F$44))/NETWORKDAYS($K379,$L379,Assumptions!$F$4:$F$44))</f>
        <v>0.55</v>
      </c>
      <c r="AQ379" s="21" t="n">
        <f aca="false">IF($J379=0,0,MAX(0,NETWORKDAYS(MAX($K379,AQ$4),MIN($L379,EOMONTH(AQ$4,0)),Assumptions!$F$4:$F$44))/NETWORKDAYS($K379,$L379,Assumptions!$F$4:$F$44))</f>
        <v>0.425</v>
      </c>
      <c r="AR379" s="21" t="n">
        <f aca="false">IF($J379=0,0,MAX(0,NETWORKDAYS(MAX($K379,AR$4),MIN($L379,EOMONTH(AR$4,0)),Assumptions!$F$4:$F$44))/NETWORKDAYS($K379,$L379,Assumptions!$F$4:$F$44))</f>
        <v>0</v>
      </c>
      <c r="AS379" s="21" t="n">
        <f aca="false">IF($J379=0,0,MAX(0,NETWORKDAYS(MAX($K379,AS$4),MIN($L379,EOMONTH(AS$4,0)),Assumptions!$F$4:$F$44))/NETWORKDAYS($K379,$L379,Assumptions!$F$4:$F$44))</f>
        <v>0</v>
      </c>
      <c r="AT379" s="21" t="n">
        <f aca="false">IF($J379=0,0,MAX(0,NETWORKDAYS(MAX($K379,AT$4),MIN($L379,EOMONTH(AT$4,0)),Assumptions!$F$4:$F$44))/NETWORKDAYS($K379,$L379,Assumptions!$F$4:$F$44))</f>
        <v>0</v>
      </c>
      <c r="AU379" s="21" t="n">
        <f aca="false">IF($J379=0,0,MAX(0,NETWORKDAYS(MAX($K379,AU$4),MIN($L379,EOMONTH(AU$4,0)),Assumptions!$F$4:$F$44))/NETWORKDAYS($K379,$L379,Assumptions!$F$4:$F$44))</f>
        <v>0</v>
      </c>
      <c r="AV379" s="21" t="n">
        <f aca="false">IF($J379=0,0,MAX(0,NETWORKDAYS(MAX($K379,AV$4),MIN($L379,EOMONTH(AV$4,0)),Assumptions!$F$4:$F$44))/NETWORKDAYS($K379,$L379,Assumptions!$F$4:$F$44))</f>
        <v>0</v>
      </c>
      <c r="AW379" s="21" t="n">
        <f aca="false">IF($J379=0,0,MAX(0,NETWORKDAYS(MAX($K379,AW$4),MIN($L379,EOMONTH(AW$4,0)),Assumptions!$F$4:$F$44))/NETWORKDAYS($K379,$L379,Assumptions!$F$4:$F$44))</f>
        <v>0</v>
      </c>
      <c r="AX379" s="21" t="n">
        <f aca="false">IF($J379=0,0,MAX(0,NETWORKDAYS(MAX($K379,AX$4),MIN($L379,EOMONTH(AX$4,0)),Assumptions!$F$4:$F$44))/NETWORKDAYS($K379,$L379,Assumptions!$F$4:$F$44))</f>
        <v>0</v>
      </c>
      <c r="AY379" s="21" t="n">
        <f aca="false">IF($J379=0,0,MAX(0,NETWORKDAYS(MAX($K379,AY$4),MIN($L379,EOMONTH(AY$4,0)),Assumptions!$F$4:$F$44))/NETWORKDAYS($K379,$L379,Assumptions!$F$4:$F$44))</f>
        <v>0</v>
      </c>
      <c r="AZ379" s="21" t="n">
        <f aca="false">IF($J379=0,0,MAX(0,NETWORKDAYS(MAX($K379,AZ$4),MIN($L379,EOMONTH(AZ$4,0)),Assumptions!$F$4:$F$44))/NETWORKDAYS($K379,$L379,Assumptions!$F$4:$F$44))</f>
        <v>0</v>
      </c>
      <c r="BA379" s="21" t="n">
        <f aca="false">IF($J379=0,0,MAX(0,NETWORKDAYS(MAX($K379,BA$4),MIN($L379,EOMONTH(BA$4,0)),Assumptions!$F$4:$F$44))/NETWORKDAYS($K379,$L379,Assumptions!$F$4:$F$44))</f>
        <v>0</v>
      </c>
      <c r="BB379" s="21" t="n">
        <f aca="false">IF($J379=0,0,MAX(0,NETWORKDAYS(MAX($K379,BB$4),MIN($L379,EOMONTH(BB$4,0)),Assumptions!$F$4:$F$44))/NETWORKDAYS($K379,$L379,Assumptions!$F$4:$F$44))</f>
        <v>0</v>
      </c>
      <c r="BC379" s="21" t="n">
        <f aca="false">IF($J379=0,0,MAX(0,NETWORKDAYS(MAX($K379,BC$4),MIN($L379,EOMONTH(BC$4,0)),Assumptions!$F$4:$F$44))/NETWORKDAYS($K379,$L379,Assumptions!$F$4:$F$44))</f>
        <v>0</v>
      </c>
    </row>
    <row r="380" customFormat="false" ht="15" hidden="false" customHeight="false" outlineLevel="2" collapsed="false">
      <c r="A380" s="27" t="n">
        <v>376</v>
      </c>
      <c r="B380" s="27" t="s">
        <v>810</v>
      </c>
      <c r="C380" s="27" t="n">
        <v>3</v>
      </c>
      <c r="D380" s="27" t="s">
        <v>92</v>
      </c>
      <c r="E380" s="28" t="s">
        <v>310</v>
      </c>
      <c r="F380" s="27" t="s">
        <v>681</v>
      </c>
      <c r="G380" s="27" t="s">
        <v>801</v>
      </c>
      <c r="H380" s="27" t="s">
        <v>49</v>
      </c>
      <c r="I380" s="29" t="n">
        <v>209</v>
      </c>
      <c r="J380" s="29" t="n">
        <v>53</v>
      </c>
      <c r="K380" s="30" t="n">
        <f aca="false">WORKDAY(Assumptions!$C$4,I380,Assumptions!$F$4:$F$44)</f>
        <v>46619</v>
      </c>
      <c r="L380" s="30" t="n">
        <f aca="false">IF(J380=0,K380,WORKDAY(K380,J380-1,Assumptions!$F$4:$F$44))</f>
        <v>46693</v>
      </c>
      <c r="M380" s="29" t="s">
        <v>811</v>
      </c>
      <c r="N380" s="31" t="n">
        <v>0</v>
      </c>
      <c r="O380" s="31" t="n">
        <v>0</v>
      </c>
      <c r="P380" s="31" t="n">
        <v>0</v>
      </c>
      <c r="Q380" s="31" t="n">
        <v>0</v>
      </c>
      <c r="R380" s="31" t="n">
        <v>21</v>
      </c>
      <c r="S380" s="31" t="n">
        <v>0</v>
      </c>
      <c r="T380" s="31" t="n">
        <v>0</v>
      </c>
      <c r="U380" s="31" t="n">
        <v>0</v>
      </c>
      <c r="V380" s="31" t="n">
        <v>0</v>
      </c>
      <c r="W380" s="31" t="n">
        <v>0</v>
      </c>
      <c r="X380" s="31" t="n">
        <v>0</v>
      </c>
      <c r="Y380" s="32" t="n">
        <f aca="false">SUM(N380:X380)</f>
        <v>21</v>
      </c>
      <c r="Z380" s="32" t="n">
        <f aca="false">Y380*(1+Assumptions!$C$5)</f>
        <v>24.15</v>
      </c>
      <c r="AA380" s="27" t="s">
        <v>312</v>
      </c>
      <c r="AB380" s="27" t="s">
        <v>95</v>
      </c>
      <c r="AC380" s="27"/>
      <c r="AD380" s="33" t="n">
        <v>0</v>
      </c>
      <c r="AF380" s="21" t="n">
        <f aca="false">IF($J380=0,0,MAX(0,NETWORKDAYS(MAX($K380,AF$4),MIN($L380,EOMONTH(AF$4,0)),Assumptions!$F$4:$F$44))/NETWORKDAYS($K380,$L380,Assumptions!$F$4:$F$44))</f>
        <v>0</v>
      </c>
      <c r="AG380" s="21" t="n">
        <f aca="false">IF($J380=0,0,MAX(0,NETWORKDAYS(MAX($K380,AG$4),MIN($L380,EOMONTH(AG$4,0)),Assumptions!$F$4:$F$44))/NETWORKDAYS($K380,$L380,Assumptions!$F$4:$F$44))</f>
        <v>0</v>
      </c>
      <c r="AH380" s="21" t="n">
        <f aca="false">IF($J380=0,0,MAX(0,NETWORKDAYS(MAX($K380,AH$4),MIN($L380,EOMONTH(AH$4,0)),Assumptions!$F$4:$F$44))/NETWORKDAYS($K380,$L380,Assumptions!$F$4:$F$44))</f>
        <v>0</v>
      </c>
      <c r="AI380" s="21" t="n">
        <f aca="false">IF($J380=0,0,MAX(0,NETWORKDAYS(MAX($K380,AI$4),MIN($L380,EOMONTH(AI$4,0)),Assumptions!$F$4:$F$44))/NETWORKDAYS($K380,$L380,Assumptions!$F$4:$F$44))</f>
        <v>0</v>
      </c>
      <c r="AJ380" s="21" t="n">
        <f aca="false">IF($J380=0,0,MAX(0,NETWORKDAYS(MAX($K380,AJ$4),MIN($L380,EOMONTH(AJ$4,0)),Assumptions!$F$4:$F$44))/NETWORKDAYS($K380,$L380,Assumptions!$F$4:$F$44))</f>
        <v>0</v>
      </c>
      <c r="AK380" s="21" t="n">
        <f aca="false">IF($J380=0,0,MAX(0,NETWORKDAYS(MAX($K380,AK$4),MIN($L380,EOMONTH(AK$4,0)),Assumptions!$F$4:$F$44))/NETWORKDAYS($K380,$L380,Assumptions!$F$4:$F$44))</f>
        <v>0</v>
      </c>
      <c r="AL380" s="21" t="n">
        <f aca="false">IF($J380=0,0,MAX(0,NETWORKDAYS(MAX($K380,AL$4),MIN($L380,EOMONTH(AL$4,0)),Assumptions!$F$4:$F$44))/NETWORKDAYS($K380,$L380,Assumptions!$F$4:$F$44))</f>
        <v>0</v>
      </c>
      <c r="AM380" s="21" t="n">
        <f aca="false">IF($J380=0,0,MAX(0,NETWORKDAYS(MAX($K380,AM$4),MIN($L380,EOMONTH(AM$4,0)),Assumptions!$F$4:$F$44))/NETWORKDAYS($K380,$L380,Assumptions!$F$4:$F$44))</f>
        <v>0</v>
      </c>
      <c r="AN380" s="21" t="n">
        <f aca="false">IF($J380=0,0,MAX(0,NETWORKDAYS(MAX($K380,AN$4),MIN($L380,EOMONTH(AN$4,0)),Assumptions!$F$4:$F$44))/NETWORKDAYS($K380,$L380,Assumptions!$F$4:$F$44))</f>
        <v>0</v>
      </c>
      <c r="AO380" s="21" t="n">
        <f aca="false">IF($J380=0,0,MAX(0,NETWORKDAYS(MAX($K380,AO$4),MIN($L380,EOMONTH(AO$4,0)),Assumptions!$F$4:$F$44))/NETWORKDAYS($K380,$L380,Assumptions!$F$4:$F$44))</f>
        <v>0.150943396226415</v>
      </c>
      <c r="AP380" s="21" t="n">
        <f aca="false">IF($J380=0,0,MAX(0,NETWORKDAYS(MAX($K380,AP$4),MIN($L380,EOMONTH(AP$4,0)),Assumptions!$F$4:$F$44))/NETWORKDAYS($K380,$L380,Assumptions!$F$4:$F$44))</f>
        <v>0.415094339622642</v>
      </c>
      <c r="AQ380" s="21" t="n">
        <f aca="false">IF($J380=0,0,MAX(0,NETWORKDAYS(MAX($K380,AQ$4),MIN($L380,EOMONTH(AQ$4,0)),Assumptions!$F$4:$F$44))/NETWORKDAYS($K380,$L380,Assumptions!$F$4:$F$44))</f>
        <v>0.39622641509434</v>
      </c>
      <c r="AR380" s="21" t="n">
        <f aca="false">IF($J380=0,0,MAX(0,NETWORKDAYS(MAX($K380,AR$4),MIN($L380,EOMONTH(AR$4,0)),Assumptions!$F$4:$F$44))/NETWORKDAYS($K380,$L380,Assumptions!$F$4:$F$44))</f>
        <v>0.0377358490566038</v>
      </c>
      <c r="AS380" s="21" t="n">
        <f aca="false">IF($J380=0,0,MAX(0,NETWORKDAYS(MAX($K380,AS$4),MIN($L380,EOMONTH(AS$4,0)),Assumptions!$F$4:$F$44))/NETWORKDAYS($K380,$L380,Assumptions!$F$4:$F$44))</f>
        <v>0</v>
      </c>
      <c r="AT380" s="21" t="n">
        <f aca="false">IF($J380=0,0,MAX(0,NETWORKDAYS(MAX($K380,AT$4),MIN($L380,EOMONTH(AT$4,0)),Assumptions!$F$4:$F$44))/NETWORKDAYS($K380,$L380,Assumptions!$F$4:$F$44))</f>
        <v>0</v>
      </c>
      <c r="AU380" s="21" t="n">
        <f aca="false">IF($J380=0,0,MAX(0,NETWORKDAYS(MAX($K380,AU$4),MIN($L380,EOMONTH(AU$4,0)),Assumptions!$F$4:$F$44))/NETWORKDAYS($K380,$L380,Assumptions!$F$4:$F$44))</f>
        <v>0</v>
      </c>
      <c r="AV380" s="21" t="n">
        <f aca="false">IF($J380=0,0,MAX(0,NETWORKDAYS(MAX($K380,AV$4),MIN($L380,EOMONTH(AV$4,0)),Assumptions!$F$4:$F$44))/NETWORKDAYS($K380,$L380,Assumptions!$F$4:$F$44))</f>
        <v>0</v>
      </c>
      <c r="AW380" s="21" t="n">
        <f aca="false">IF($J380=0,0,MAX(0,NETWORKDAYS(MAX($K380,AW$4),MIN($L380,EOMONTH(AW$4,0)),Assumptions!$F$4:$F$44))/NETWORKDAYS($K380,$L380,Assumptions!$F$4:$F$44))</f>
        <v>0</v>
      </c>
      <c r="AX380" s="21" t="n">
        <f aca="false">IF($J380=0,0,MAX(0,NETWORKDAYS(MAX($K380,AX$4),MIN($L380,EOMONTH(AX$4,0)),Assumptions!$F$4:$F$44))/NETWORKDAYS($K380,$L380,Assumptions!$F$4:$F$44))</f>
        <v>0</v>
      </c>
      <c r="AY380" s="21" t="n">
        <f aca="false">IF($J380=0,0,MAX(0,NETWORKDAYS(MAX($K380,AY$4),MIN($L380,EOMONTH(AY$4,0)),Assumptions!$F$4:$F$44))/NETWORKDAYS($K380,$L380,Assumptions!$F$4:$F$44))</f>
        <v>0</v>
      </c>
      <c r="AZ380" s="21" t="n">
        <f aca="false">IF($J380=0,0,MAX(0,NETWORKDAYS(MAX($K380,AZ$4),MIN($L380,EOMONTH(AZ$4,0)),Assumptions!$F$4:$F$44))/NETWORKDAYS($K380,$L380,Assumptions!$F$4:$F$44))</f>
        <v>0</v>
      </c>
      <c r="BA380" s="21" t="n">
        <f aca="false">IF($J380=0,0,MAX(0,NETWORKDAYS(MAX($K380,BA$4),MIN($L380,EOMONTH(BA$4,0)),Assumptions!$F$4:$F$44))/NETWORKDAYS($K380,$L380,Assumptions!$F$4:$F$44))</f>
        <v>0</v>
      </c>
      <c r="BB380" s="21" t="n">
        <f aca="false">IF($J380=0,0,MAX(0,NETWORKDAYS(MAX($K380,BB$4),MIN($L380,EOMONTH(BB$4,0)),Assumptions!$F$4:$F$44))/NETWORKDAYS($K380,$L380,Assumptions!$F$4:$F$44))</f>
        <v>0</v>
      </c>
      <c r="BC380" s="21" t="n">
        <f aca="false">IF($J380=0,0,MAX(0,NETWORKDAYS(MAX($K380,BC$4),MIN($L380,EOMONTH(BC$4,0)),Assumptions!$F$4:$F$44))/NETWORKDAYS($K380,$L380,Assumptions!$F$4:$F$44))</f>
        <v>0</v>
      </c>
    </row>
    <row r="381" customFormat="false" ht="15" hidden="false" customHeight="false" outlineLevel="2" collapsed="false">
      <c r="A381" s="27" t="n">
        <v>377</v>
      </c>
      <c r="B381" s="27" t="s">
        <v>812</v>
      </c>
      <c r="C381" s="27" t="n">
        <v>3</v>
      </c>
      <c r="D381" s="27" t="s">
        <v>92</v>
      </c>
      <c r="E381" s="28" t="s">
        <v>452</v>
      </c>
      <c r="F381" s="27" t="s">
        <v>681</v>
      </c>
      <c r="G381" s="27" t="s">
        <v>801</v>
      </c>
      <c r="H381" s="27" t="s">
        <v>47</v>
      </c>
      <c r="I381" s="29" t="n">
        <v>229</v>
      </c>
      <c r="J381" s="29" t="n">
        <v>37</v>
      </c>
      <c r="K381" s="30" t="n">
        <f aca="false">WORKDAY(Assumptions!$C$4,I381,Assumptions!$F$4:$F$44)</f>
        <v>46647</v>
      </c>
      <c r="L381" s="30" t="n">
        <f aca="false">IF(J381=0,K381,WORKDAY(K381,J381-1,Assumptions!$F$4:$F$44))</f>
        <v>46699</v>
      </c>
      <c r="M381" s="29" t="s">
        <v>813</v>
      </c>
      <c r="N381" s="31" t="n">
        <v>0</v>
      </c>
      <c r="O381" s="31" t="n">
        <v>0</v>
      </c>
      <c r="P381" s="31" t="n">
        <v>0</v>
      </c>
      <c r="Q381" s="31" t="n">
        <v>4</v>
      </c>
      <c r="R381" s="31" t="n">
        <v>0</v>
      </c>
      <c r="S381" s="31" t="n">
        <v>0</v>
      </c>
      <c r="T381" s="31" t="n">
        <v>0</v>
      </c>
      <c r="U381" s="31" t="n">
        <v>0</v>
      </c>
      <c r="V381" s="31" t="n">
        <v>0</v>
      </c>
      <c r="W381" s="31" t="n">
        <v>0</v>
      </c>
      <c r="X381" s="31" t="n">
        <v>0</v>
      </c>
      <c r="Y381" s="32" t="n">
        <f aca="false">SUM(N381:X381)</f>
        <v>4</v>
      </c>
      <c r="Z381" s="32" t="n">
        <f aca="false">Y381*(1+Assumptions!$C$5)</f>
        <v>4.6</v>
      </c>
      <c r="AA381" s="27" t="s">
        <v>325</v>
      </c>
      <c r="AB381" s="27" t="s">
        <v>95</v>
      </c>
      <c r="AC381" s="27"/>
      <c r="AD381" s="33" t="n">
        <v>0</v>
      </c>
      <c r="AF381" s="21" t="n">
        <f aca="false">IF($J381=0,0,MAX(0,NETWORKDAYS(MAX($K381,AF$4),MIN($L381,EOMONTH(AF$4,0)),Assumptions!$F$4:$F$44))/NETWORKDAYS($K381,$L381,Assumptions!$F$4:$F$44))</f>
        <v>0</v>
      </c>
      <c r="AG381" s="21" t="n">
        <f aca="false">IF($J381=0,0,MAX(0,NETWORKDAYS(MAX($K381,AG$4),MIN($L381,EOMONTH(AG$4,0)),Assumptions!$F$4:$F$44))/NETWORKDAYS($K381,$L381,Assumptions!$F$4:$F$44))</f>
        <v>0</v>
      </c>
      <c r="AH381" s="21" t="n">
        <f aca="false">IF($J381=0,0,MAX(0,NETWORKDAYS(MAX($K381,AH$4),MIN($L381,EOMONTH(AH$4,0)),Assumptions!$F$4:$F$44))/NETWORKDAYS($K381,$L381,Assumptions!$F$4:$F$44))</f>
        <v>0</v>
      </c>
      <c r="AI381" s="21" t="n">
        <f aca="false">IF($J381=0,0,MAX(0,NETWORKDAYS(MAX($K381,AI$4),MIN($L381,EOMONTH(AI$4,0)),Assumptions!$F$4:$F$44))/NETWORKDAYS($K381,$L381,Assumptions!$F$4:$F$44))</f>
        <v>0</v>
      </c>
      <c r="AJ381" s="21" t="n">
        <f aca="false">IF($J381=0,0,MAX(0,NETWORKDAYS(MAX($K381,AJ$4),MIN($L381,EOMONTH(AJ$4,0)),Assumptions!$F$4:$F$44))/NETWORKDAYS($K381,$L381,Assumptions!$F$4:$F$44))</f>
        <v>0</v>
      </c>
      <c r="AK381" s="21" t="n">
        <f aca="false">IF($J381=0,0,MAX(0,NETWORKDAYS(MAX($K381,AK$4),MIN($L381,EOMONTH(AK$4,0)),Assumptions!$F$4:$F$44))/NETWORKDAYS($K381,$L381,Assumptions!$F$4:$F$44))</f>
        <v>0</v>
      </c>
      <c r="AL381" s="21" t="n">
        <f aca="false">IF($J381=0,0,MAX(0,NETWORKDAYS(MAX($K381,AL$4),MIN($L381,EOMONTH(AL$4,0)),Assumptions!$F$4:$F$44))/NETWORKDAYS($K381,$L381,Assumptions!$F$4:$F$44))</f>
        <v>0</v>
      </c>
      <c r="AM381" s="21" t="n">
        <f aca="false">IF($J381=0,0,MAX(0,NETWORKDAYS(MAX($K381,AM$4),MIN($L381,EOMONTH(AM$4,0)),Assumptions!$F$4:$F$44))/NETWORKDAYS($K381,$L381,Assumptions!$F$4:$F$44))</f>
        <v>0</v>
      </c>
      <c r="AN381" s="21" t="n">
        <f aca="false">IF($J381=0,0,MAX(0,NETWORKDAYS(MAX($K381,AN$4),MIN($L381,EOMONTH(AN$4,0)),Assumptions!$F$4:$F$44))/NETWORKDAYS($K381,$L381,Assumptions!$F$4:$F$44))</f>
        <v>0</v>
      </c>
      <c r="AO381" s="21" t="n">
        <f aca="false">IF($J381=0,0,MAX(0,NETWORKDAYS(MAX($K381,AO$4),MIN($L381,EOMONTH(AO$4,0)),Assumptions!$F$4:$F$44))/NETWORKDAYS($K381,$L381,Assumptions!$F$4:$F$44))</f>
        <v>0</v>
      </c>
      <c r="AP381" s="21" t="n">
        <f aca="false">IF($J381=0,0,MAX(0,NETWORKDAYS(MAX($K381,AP$4),MIN($L381,EOMONTH(AP$4,0)),Assumptions!$F$4:$F$44))/NETWORKDAYS($K381,$L381,Assumptions!$F$4:$F$44))</f>
        <v>0.27027027027027</v>
      </c>
      <c r="AQ381" s="21" t="n">
        <f aca="false">IF($J381=0,0,MAX(0,NETWORKDAYS(MAX($K381,AQ$4),MIN($L381,EOMONTH(AQ$4,0)),Assumptions!$F$4:$F$44))/NETWORKDAYS($K381,$L381,Assumptions!$F$4:$F$44))</f>
        <v>0.567567567567568</v>
      </c>
      <c r="AR381" s="21" t="n">
        <f aca="false">IF($J381=0,0,MAX(0,NETWORKDAYS(MAX($K381,AR$4),MIN($L381,EOMONTH(AR$4,0)),Assumptions!$F$4:$F$44))/NETWORKDAYS($K381,$L381,Assumptions!$F$4:$F$44))</f>
        <v>0.162162162162162</v>
      </c>
      <c r="AS381" s="21" t="n">
        <f aca="false">IF($J381=0,0,MAX(0,NETWORKDAYS(MAX($K381,AS$4),MIN($L381,EOMONTH(AS$4,0)),Assumptions!$F$4:$F$44))/NETWORKDAYS($K381,$L381,Assumptions!$F$4:$F$44))</f>
        <v>0</v>
      </c>
      <c r="AT381" s="21" t="n">
        <f aca="false">IF($J381=0,0,MAX(0,NETWORKDAYS(MAX($K381,AT$4),MIN($L381,EOMONTH(AT$4,0)),Assumptions!$F$4:$F$44))/NETWORKDAYS($K381,$L381,Assumptions!$F$4:$F$44))</f>
        <v>0</v>
      </c>
      <c r="AU381" s="21" t="n">
        <f aca="false">IF($J381=0,0,MAX(0,NETWORKDAYS(MAX($K381,AU$4),MIN($L381,EOMONTH(AU$4,0)),Assumptions!$F$4:$F$44))/NETWORKDAYS($K381,$L381,Assumptions!$F$4:$F$44))</f>
        <v>0</v>
      </c>
      <c r="AV381" s="21" t="n">
        <f aca="false">IF($J381=0,0,MAX(0,NETWORKDAYS(MAX($K381,AV$4),MIN($L381,EOMONTH(AV$4,0)),Assumptions!$F$4:$F$44))/NETWORKDAYS($K381,$L381,Assumptions!$F$4:$F$44))</f>
        <v>0</v>
      </c>
      <c r="AW381" s="21" t="n">
        <f aca="false">IF($J381=0,0,MAX(0,NETWORKDAYS(MAX($K381,AW$4),MIN($L381,EOMONTH(AW$4,0)),Assumptions!$F$4:$F$44))/NETWORKDAYS($K381,$L381,Assumptions!$F$4:$F$44))</f>
        <v>0</v>
      </c>
      <c r="AX381" s="21" t="n">
        <f aca="false">IF($J381=0,0,MAX(0,NETWORKDAYS(MAX($K381,AX$4),MIN($L381,EOMONTH(AX$4,0)),Assumptions!$F$4:$F$44))/NETWORKDAYS($K381,$L381,Assumptions!$F$4:$F$44))</f>
        <v>0</v>
      </c>
      <c r="AY381" s="21" t="n">
        <f aca="false">IF($J381=0,0,MAX(0,NETWORKDAYS(MAX($K381,AY$4),MIN($L381,EOMONTH(AY$4,0)),Assumptions!$F$4:$F$44))/NETWORKDAYS($K381,$L381,Assumptions!$F$4:$F$44))</f>
        <v>0</v>
      </c>
      <c r="AZ381" s="21" t="n">
        <f aca="false">IF($J381=0,0,MAX(0,NETWORKDAYS(MAX($K381,AZ$4),MIN($L381,EOMONTH(AZ$4,0)),Assumptions!$F$4:$F$44))/NETWORKDAYS($K381,$L381,Assumptions!$F$4:$F$44))</f>
        <v>0</v>
      </c>
      <c r="BA381" s="21" t="n">
        <f aca="false">IF($J381=0,0,MAX(0,NETWORKDAYS(MAX($K381,BA$4),MIN($L381,EOMONTH(BA$4,0)),Assumptions!$F$4:$F$44))/NETWORKDAYS($K381,$L381,Assumptions!$F$4:$F$44))</f>
        <v>0</v>
      </c>
      <c r="BB381" s="21" t="n">
        <f aca="false">IF($J381=0,0,MAX(0,NETWORKDAYS(MAX($K381,BB$4),MIN($L381,EOMONTH(BB$4,0)),Assumptions!$F$4:$F$44))/NETWORKDAYS($K381,$L381,Assumptions!$F$4:$F$44))</f>
        <v>0</v>
      </c>
      <c r="BC381" s="21" t="n">
        <f aca="false">IF($J381=0,0,MAX(0,NETWORKDAYS(MAX($K381,BC$4),MIN($L381,EOMONTH(BC$4,0)),Assumptions!$F$4:$F$44))/NETWORKDAYS($K381,$L381,Assumptions!$F$4:$F$44))</f>
        <v>0</v>
      </c>
    </row>
    <row r="382" customFormat="false" ht="15" hidden="false" customHeight="false" outlineLevel="2" collapsed="false">
      <c r="A382" s="27" t="n">
        <v>378</v>
      </c>
      <c r="B382" s="27" t="s">
        <v>814</v>
      </c>
      <c r="C382" s="27" t="n">
        <v>3</v>
      </c>
      <c r="D382" s="27" t="s">
        <v>92</v>
      </c>
      <c r="E382" s="28" t="s">
        <v>815</v>
      </c>
      <c r="F382" s="27" t="s">
        <v>681</v>
      </c>
      <c r="G382" s="27" t="s">
        <v>801</v>
      </c>
      <c r="H382" s="27" t="s">
        <v>47</v>
      </c>
      <c r="I382" s="29" t="n">
        <v>222</v>
      </c>
      <c r="J382" s="29" t="n">
        <v>44</v>
      </c>
      <c r="K382" s="30" t="n">
        <f aca="false">WORKDAY(Assumptions!$C$4,I382,Assumptions!$F$4:$F$44)</f>
        <v>46638</v>
      </c>
      <c r="L382" s="30" t="n">
        <f aca="false">IF(J382=0,K382,WORKDAY(K382,J382-1,Assumptions!$F$4:$F$44))</f>
        <v>46699</v>
      </c>
      <c r="M382" s="29" t="s">
        <v>808</v>
      </c>
      <c r="N382" s="31" t="n">
        <v>0</v>
      </c>
      <c r="O382" s="31" t="n">
        <v>0</v>
      </c>
      <c r="P382" s="31" t="n">
        <v>0</v>
      </c>
      <c r="Q382" s="31" t="n">
        <v>5</v>
      </c>
      <c r="R382" s="31" t="n">
        <v>0</v>
      </c>
      <c r="S382" s="31" t="n">
        <v>0</v>
      </c>
      <c r="T382" s="31" t="n">
        <v>0</v>
      </c>
      <c r="U382" s="31" t="n">
        <v>0</v>
      </c>
      <c r="V382" s="31" t="n">
        <v>1</v>
      </c>
      <c r="W382" s="31" t="n">
        <v>0</v>
      </c>
      <c r="X382" s="31" t="n">
        <v>0</v>
      </c>
      <c r="Y382" s="32" t="n">
        <f aca="false">SUM(N382:X382)</f>
        <v>6</v>
      </c>
      <c r="Z382" s="32" t="n">
        <f aca="false">Y382*(1+Assumptions!$C$5)</f>
        <v>6.9</v>
      </c>
      <c r="AA382" s="27" t="s">
        <v>328</v>
      </c>
      <c r="AB382" s="27" t="s">
        <v>95</v>
      </c>
      <c r="AC382" s="27"/>
      <c r="AD382" s="33" t="n">
        <v>0</v>
      </c>
      <c r="AF382" s="21" t="n">
        <f aca="false">IF($J382=0,0,MAX(0,NETWORKDAYS(MAX($K382,AF$4),MIN($L382,EOMONTH(AF$4,0)),Assumptions!$F$4:$F$44))/NETWORKDAYS($K382,$L382,Assumptions!$F$4:$F$44))</f>
        <v>0</v>
      </c>
      <c r="AG382" s="21" t="n">
        <f aca="false">IF($J382=0,0,MAX(0,NETWORKDAYS(MAX($K382,AG$4),MIN($L382,EOMONTH(AG$4,0)),Assumptions!$F$4:$F$44))/NETWORKDAYS($K382,$L382,Assumptions!$F$4:$F$44))</f>
        <v>0</v>
      </c>
      <c r="AH382" s="21" t="n">
        <f aca="false">IF($J382=0,0,MAX(0,NETWORKDAYS(MAX($K382,AH$4),MIN($L382,EOMONTH(AH$4,0)),Assumptions!$F$4:$F$44))/NETWORKDAYS($K382,$L382,Assumptions!$F$4:$F$44))</f>
        <v>0</v>
      </c>
      <c r="AI382" s="21" t="n">
        <f aca="false">IF($J382=0,0,MAX(0,NETWORKDAYS(MAX($K382,AI$4),MIN($L382,EOMONTH(AI$4,0)),Assumptions!$F$4:$F$44))/NETWORKDAYS($K382,$L382,Assumptions!$F$4:$F$44))</f>
        <v>0</v>
      </c>
      <c r="AJ382" s="21" t="n">
        <f aca="false">IF($J382=0,0,MAX(0,NETWORKDAYS(MAX($K382,AJ$4),MIN($L382,EOMONTH(AJ$4,0)),Assumptions!$F$4:$F$44))/NETWORKDAYS($K382,$L382,Assumptions!$F$4:$F$44))</f>
        <v>0</v>
      </c>
      <c r="AK382" s="21" t="n">
        <f aca="false">IF($J382=0,0,MAX(0,NETWORKDAYS(MAX($K382,AK$4),MIN($L382,EOMONTH(AK$4,0)),Assumptions!$F$4:$F$44))/NETWORKDAYS($K382,$L382,Assumptions!$F$4:$F$44))</f>
        <v>0</v>
      </c>
      <c r="AL382" s="21" t="n">
        <f aca="false">IF($J382=0,0,MAX(0,NETWORKDAYS(MAX($K382,AL$4),MIN($L382,EOMONTH(AL$4,0)),Assumptions!$F$4:$F$44))/NETWORKDAYS($K382,$L382,Assumptions!$F$4:$F$44))</f>
        <v>0</v>
      </c>
      <c r="AM382" s="21" t="n">
        <f aca="false">IF($J382=0,0,MAX(0,NETWORKDAYS(MAX($K382,AM$4),MIN($L382,EOMONTH(AM$4,0)),Assumptions!$F$4:$F$44))/NETWORKDAYS($K382,$L382,Assumptions!$F$4:$F$44))</f>
        <v>0</v>
      </c>
      <c r="AN382" s="21" t="n">
        <f aca="false">IF($J382=0,0,MAX(0,NETWORKDAYS(MAX($K382,AN$4),MIN($L382,EOMONTH(AN$4,0)),Assumptions!$F$4:$F$44))/NETWORKDAYS($K382,$L382,Assumptions!$F$4:$F$44))</f>
        <v>0</v>
      </c>
      <c r="AO382" s="21" t="n">
        <f aca="false">IF($J382=0,0,MAX(0,NETWORKDAYS(MAX($K382,AO$4),MIN($L382,EOMONTH(AO$4,0)),Assumptions!$F$4:$F$44))/NETWORKDAYS($K382,$L382,Assumptions!$F$4:$F$44))</f>
        <v>0</v>
      </c>
      <c r="AP382" s="21" t="n">
        <f aca="false">IF($J382=0,0,MAX(0,NETWORKDAYS(MAX($K382,AP$4),MIN($L382,EOMONTH(AP$4,0)),Assumptions!$F$4:$F$44))/NETWORKDAYS($K382,$L382,Assumptions!$F$4:$F$44))</f>
        <v>0.386363636363636</v>
      </c>
      <c r="AQ382" s="21" t="n">
        <f aca="false">IF($J382=0,0,MAX(0,NETWORKDAYS(MAX($K382,AQ$4),MIN($L382,EOMONTH(AQ$4,0)),Assumptions!$F$4:$F$44))/NETWORKDAYS($K382,$L382,Assumptions!$F$4:$F$44))</f>
        <v>0.477272727272727</v>
      </c>
      <c r="AR382" s="21" t="n">
        <f aca="false">IF($J382=0,0,MAX(0,NETWORKDAYS(MAX($K382,AR$4),MIN($L382,EOMONTH(AR$4,0)),Assumptions!$F$4:$F$44))/NETWORKDAYS($K382,$L382,Assumptions!$F$4:$F$44))</f>
        <v>0.136363636363636</v>
      </c>
      <c r="AS382" s="21" t="n">
        <f aca="false">IF($J382=0,0,MAX(0,NETWORKDAYS(MAX($K382,AS$4),MIN($L382,EOMONTH(AS$4,0)),Assumptions!$F$4:$F$44))/NETWORKDAYS($K382,$L382,Assumptions!$F$4:$F$44))</f>
        <v>0</v>
      </c>
      <c r="AT382" s="21" t="n">
        <f aca="false">IF($J382=0,0,MAX(0,NETWORKDAYS(MAX($K382,AT$4),MIN($L382,EOMONTH(AT$4,0)),Assumptions!$F$4:$F$44))/NETWORKDAYS($K382,$L382,Assumptions!$F$4:$F$44))</f>
        <v>0</v>
      </c>
      <c r="AU382" s="21" t="n">
        <f aca="false">IF($J382=0,0,MAX(0,NETWORKDAYS(MAX($K382,AU$4),MIN($L382,EOMONTH(AU$4,0)),Assumptions!$F$4:$F$44))/NETWORKDAYS($K382,$L382,Assumptions!$F$4:$F$44))</f>
        <v>0</v>
      </c>
      <c r="AV382" s="21" t="n">
        <f aca="false">IF($J382=0,0,MAX(0,NETWORKDAYS(MAX($K382,AV$4),MIN($L382,EOMONTH(AV$4,0)),Assumptions!$F$4:$F$44))/NETWORKDAYS($K382,$L382,Assumptions!$F$4:$F$44))</f>
        <v>0</v>
      </c>
      <c r="AW382" s="21" t="n">
        <f aca="false">IF($J382=0,0,MAX(0,NETWORKDAYS(MAX($K382,AW$4),MIN($L382,EOMONTH(AW$4,0)),Assumptions!$F$4:$F$44))/NETWORKDAYS($K382,$L382,Assumptions!$F$4:$F$44))</f>
        <v>0</v>
      </c>
      <c r="AX382" s="21" t="n">
        <f aca="false">IF($J382=0,0,MAX(0,NETWORKDAYS(MAX($K382,AX$4),MIN($L382,EOMONTH(AX$4,0)),Assumptions!$F$4:$F$44))/NETWORKDAYS($K382,$L382,Assumptions!$F$4:$F$44))</f>
        <v>0</v>
      </c>
      <c r="AY382" s="21" t="n">
        <f aca="false">IF($J382=0,0,MAX(0,NETWORKDAYS(MAX($K382,AY$4),MIN($L382,EOMONTH(AY$4,0)),Assumptions!$F$4:$F$44))/NETWORKDAYS($K382,$L382,Assumptions!$F$4:$F$44))</f>
        <v>0</v>
      </c>
      <c r="AZ382" s="21" t="n">
        <f aca="false">IF($J382=0,0,MAX(0,NETWORKDAYS(MAX($K382,AZ$4),MIN($L382,EOMONTH(AZ$4,0)),Assumptions!$F$4:$F$44))/NETWORKDAYS($K382,$L382,Assumptions!$F$4:$F$44))</f>
        <v>0</v>
      </c>
      <c r="BA382" s="21" t="n">
        <f aca="false">IF($J382=0,0,MAX(0,NETWORKDAYS(MAX($K382,BA$4),MIN($L382,EOMONTH(BA$4,0)),Assumptions!$F$4:$F$44))/NETWORKDAYS($K382,$L382,Assumptions!$F$4:$F$44))</f>
        <v>0</v>
      </c>
      <c r="BB382" s="21" t="n">
        <f aca="false">IF($J382=0,0,MAX(0,NETWORKDAYS(MAX($K382,BB$4),MIN($L382,EOMONTH(BB$4,0)),Assumptions!$F$4:$F$44))/NETWORKDAYS($K382,$L382,Assumptions!$F$4:$F$44))</f>
        <v>0</v>
      </c>
      <c r="BC382" s="21" t="n">
        <f aca="false">IF($J382=0,0,MAX(0,NETWORKDAYS(MAX($K382,BC$4),MIN($L382,EOMONTH(BC$4,0)),Assumptions!$F$4:$F$44))/NETWORKDAYS($K382,$L382,Assumptions!$F$4:$F$44))</f>
        <v>0</v>
      </c>
    </row>
    <row r="383" customFormat="false" ht="15" hidden="false" customHeight="false" outlineLevel="2" collapsed="false">
      <c r="A383" s="27" t="n">
        <v>379</v>
      </c>
      <c r="B383" s="27" t="s">
        <v>816</v>
      </c>
      <c r="C383" s="27" t="n">
        <v>3</v>
      </c>
      <c r="D383" s="27" t="s">
        <v>92</v>
      </c>
      <c r="E383" s="28" t="s">
        <v>330</v>
      </c>
      <c r="F383" s="27" t="s">
        <v>681</v>
      </c>
      <c r="G383" s="27" t="s">
        <v>801</v>
      </c>
      <c r="H383" s="27" t="s">
        <v>47</v>
      </c>
      <c r="I383" s="29" t="n">
        <v>242</v>
      </c>
      <c r="J383" s="29" t="n">
        <v>26</v>
      </c>
      <c r="K383" s="30" t="n">
        <f aca="false">WORKDAY(Assumptions!$C$4,I383,Assumptions!$F$4:$F$44)</f>
        <v>46666</v>
      </c>
      <c r="L383" s="30" t="n">
        <f aca="false">IF(J383=0,K383,WORKDAY(K383,J383-1,Assumptions!$F$4:$F$44))</f>
        <v>46701</v>
      </c>
      <c r="M383" s="29" t="s">
        <v>813</v>
      </c>
      <c r="N383" s="31" t="n">
        <v>0</v>
      </c>
      <c r="O383" s="31" t="n">
        <v>2</v>
      </c>
      <c r="P383" s="31" t="n">
        <v>0</v>
      </c>
      <c r="Q383" s="31" t="n">
        <v>3</v>
      </c>
      <c r="R383" s="31" t="n">
        <v>3</v>
      </c>
      <c r="S383" s="31" t="n">
        <v>0</v>
      </c>
      <c r="T383" s="31" t="n">
        <v>0</v>
      </c>
      <c r="U383" s="31" t="n">
        <v>0</v>
      </c>
      <c r="V383" s="31" t="n">
        <v>0</v>
      </c>
      <c r="W383" s="31" t="n">
        <v>0</v>
      </c>
      <c r="X383" s="31" t="n">
        <v>0</v>
      </c>
      <c r="Y383" s="32" t="n">
        <f aca="false">SUM(N383:X383)</f>
        <v>8</v>
      </c>
      <c r="Z383" s="32" t="n">
        <f aca="false">Y383*(1+Assumptions!$C$5)</f>
        <v>9.2</v>
      </c>
      <c r="AA383" s="27" t="s">
        <v>331</v>
      </c>
      <c r="AB383" s="27" t="s">
        <v>95</v>
      </c>
      <c r="AC383" s="27"/>
      <c r="AD383" s="33" t="n">
        <v>0</v>
      </c>
      <c r="AF383" s="21" t="n">
        <f aca="false">IF($J383=0,0,MAX(0,NETWORKDAYS(MAX($K383,AF$4),MIN($L383,EOMONTH(AF$4,0)),Assumptions!$F$4:$F$44))/NETWORKDAYS($K383,$L383,Assumptions!$F$4:$F$44))</f>
        <v>0</v>
      </c>
      <c r="AG383" s="21" t="n">
        <f aca="false">IF($J383=0,0,MAX(0,NETWORKDAYS(MAX($K383,AG$4),MIN($L383,EOMONTH(AG$4,0)),Assumptions!$F$4:$F$44))/NETWORKDAYS($K383,$L383,Assumptions!$F$4:$F$44))</f>
        <v>0</v>
      </c>
      <c r="AH383" s="21" t="n">
        <f aca="false">IF($J383=0,0,MAX(0,NETWORKDAYS(MAX($K383,AH$4),MIN($L383,EOMONTH(AH$4,0)),Assumptions!$F$4:$F$44))/NETWORKDAYS($K383,$L383,Assumptions!$F$4:$F$44))</f>
        <v>0</v>
      </c>
      <c r="AI383" s="21" t="n">
        <f aca="false">IF($J383=0,0,MAX(0,NETWORKDAYS(MAX($K383,AI$4),MIN($L383,EOMONTH(AI$4,0)),Assumptions!$F$4:$F$44))/NETWORKDAYS($K383,$L383,Assumptions!$F$4:$F$44))</f>
        <v>0</v>
      </c>
      <c r="AJ383" s="21" t="n">
        <f aca="false">IF($J383=0,0,MAX(0,NETWORKDAYS(MAX($K383,AJ$4),MIN($L383,EOMONTH(AJ$4,0)),Assumptions!$F$4:$F$44))/NETWORKDAYS($K383,$L383,Assumptions!$F$4:$F$44))</f>
        <v>0</v>
      </c>
      <c r="AK383" s="21" t="n">
        <f aca="false">IF($J383=0,0,MAX(0,NETWORKDAYS(MAX($K383,AK$4),MIN($L383,EOMONTH(AK$4,0)),Assumptions!$F$4:$F$44))/NETWORKDAYS($K383,$L383,Assumptions!$F$4:$F$44))</f>
        <v>0</v>
      </c>
      <c r="AL383" s="21" t="n">
        <f aca="false">IF($J383=0,0,MAX(0,NETWORKDAYS(MAX($K383,AL$4),MIN($L383,EOMONTH(AL$4,0)),Assumptions!$F$4:$F$44))/NETWORKDAYS($K383,$L383,Assumptions!$F$4:$F$44))</f>
        <v>0</v>
      </c>
      <c r="AM383" s="21" t="n">
        <f aca="false">IF($J383=0,0,MAX(0,NETWORKDAYS(MAX($K383,AM$4),MIN($L383,EOMONTH(AM$4,0)),Assumptions!$F$4:$F$44))/NETWORKDAYS($K383,$L383,Assumptions!$F$4:$F$44))</f>
        <v>0</v>
      </c>
      <c r="AN383" s="21" t="n">
        <f aca="false">IF($J383=0,0,MAX(0,NETWORKDAYS(MAX($K383,AN$4),MIN($L383,EOMONTH(AN$4,0)),Assumptions!$F$4:$F$44))/NETWORKDAYS($K383,$L383,Assumptions!$F$4:$F$44))</f>
        <v>0</v>
      </c>
      <c r="AO383" s="21" t="n">
        <f aca="false">IF($J383=0,0,MAX(0,NETWORKDAYS(MAX($K383,AO$4),MIN($L383,EOMONTH(AO$4,0)),Assumptions!$F$4:$F$44))/NETWORKDAYS($K383,$L383,Assumptions!$F$4:$F$44))</f>
        <v>0</v>
      </c>
      <c r="AP383" s="21" t="n">
        <f aca="false">IF($J383=0,0,MAX(0,NETWORKDAYS(MAX($K383,AP$4),MIN($L383,EOMONTH(AP$4,0)),Assumptions!$F$4:$F$44))/NETWORKDAYS($K383,$L383,Assumptions!$F$4:$F$44))</f>
        <v>0</v>
      </c>
      <c r="AQ383" s="21" t="n">
        <f aca="false">IF($J383=0,0,MAX(0,NETWORKDAYS(MAX($K383,AQ$4),MIN($L383,EOMONTH(AQ$4,0)),Assumptions!$F$4:$F$44))/NETWORKDAYS($K383,$L383,Assumptions!$F$4:$F$44))</f>
        <v>0.692307692307692</v>
      </c>
      <c r="AR383" s="21" t="n">
        <f aca="false">IF($J383=0,0,MAX(0,NETWORKDAYS(MAX($K383,AR$4),MIN($L383,EOMONTH(AR$4,0)),Assumptions!$F$4:$F$44))/NETWORKDAYS($K383,$L383,Assumptions!$F$4:$F$44))</f>
        <v>0.307692307692308</v>
      </c>
      <c r="AS383" s="21" t="n">
        <f aca="false">IF($J383=0,0,MAX(0,NETWORKDAYS(MAX($K383,AS$4),MIN($L383,EOMONTH(AS$4,0)),Assumptions!$F$4:$F$44))/NETWORKDAYS($K383,$L383,Assumptions!$F$4:$F$44))</f>
        <v>0</v>
      </c>
      <c r="AT383" s="21" t="n">
        <f aca="false">IF($J383=0,0,MAX(0,NETWORKDAYS(MAX($K383,AT$4),MIN($L383,EOMONTH(AT$4,0)),Assumptions!$F$4:$F$44))/NETWORKDAYS($K383,$L383,Assumptions!$F$4:$F$44))</f>
        <v>0</v>
      </c>
      <c r="AU383" s="21" t="n">
        <f aca="false">IF($J383=0,0,MAX(0,NETWORKDAYS(MAX($K383,AU$4),MIN($L383,EOMONTH(AU$4,0)),Assumptions!$F$4:$F$44))/NETWORKDAYS($K383,$L383,Assumptions!$F$4:$F$44))</f>
        <v>0</v>
      </c>
      <c r="AV383" s="21" t="n">
        <f aca="false">IF($J383=0,0,MAX(0,NETWORKDAYS(MAX($K383,AV$4),MIN($L383,EOMONTH(AV$4,0)),Assumptions!$F$4:$F$44))/NETWORKDAYS($K383,$L383,Assumptions!$F$4:$F$44))</f>
        <v>0</v>
      </c>
      <c r="AW383" s="21" t="n">
        <f aca="false">IF($J383=0,0,MAX(0,NETWORKDAYS(MAX($K383,AW$4),MIN($L383,EOMONTH(AW$4,0)),Assumptions!$F$4:$F$44))/NETWORKDAYS($K383,$L383,Assumptions!$F$4:$F$44))</f>
        <v>0</v>
      </c>
      <c r="AX383" s="21" t="n">
        <f aca="false">IF($J383=0,0,MAX(0,NETWORKDAYS(MAX($K383,AX$4),MIN($L383,EOMONTH(AX$4,0)),Assumptions!$F$4:$F$44))/NETWORKDAYS($K383,$L383,Assumptions!$F$4:$F$44))</f>
        <v>0</v>
      </c>
      <c r="AY383" s="21" t="n">
        <f aca="false">IF($J383=0,0,MAX(0,NETWORKDAYS(MAX($K383,AY$4),MIN($L383,EOMONTH(AY$4,0)),Assumptions!$F$4:$F$44))/NETWORKDAYS($K383,$L383,Assumptions!$F$4:$F$44))</f>
        <v>0</v>
      </c>
      <c r="AZ383" s="21" t="n">
        <f aca="false">IF($J383=0,0,MAX(0,NETWORKDAYS(MAX($K383,AZ$4),MIN($L383,EOMONTH(AZ$4,0)),Assumptions!$F$4:$F$44))/NETWORKDAYS($K383,$L383,Assumptions!$F$4:$F$44))</f>
        <v>0</v>
      </c>
      <c r="BA383" s="21" t="n">
        <f aca="false">IF($J383=0,0,MAX(0,NETWORKDAYS(MAX($K383,BA$4),MIN($L383,EOMONTH(BA$4,0)),Assumptions!$F$4:$F$44))/NETWORKDAYS($K383,$L383,Assumptions!$F$4:$F$44))</f>
        <v>0</v>
      </c>
      <c r="BB383" s="21" t="n">
        <f aca="false">IF($J383=0,0,MAX(0,NETWORKDAYS(MAX($K383,BB$4),MIN($L383,EOMONTH(BB$4,0)),Assumptions!$F$4:$F$44))/NETWORKDAYS($K383,$L383,Assumptions!$F$4:$F$44))</f>
        <v>0</v>
      </c>
      <c r="BC383" s="21" t="n">
        <f aca="false">IF($J383=0,0,MAX(0,NETWORKDAYS(MAX($K383,BC$4),MIN($L383,EOMONTH(BC$4,0)),Assumptions!$F$4:$F$44))/NETWORKDAYS($K383,$L383,Assumptions!$F$4:$F$44))</f>
        <v>0</v>
      </c>
    </row>
    <row r="384" customFormat="false" ht="15" hidden="false" customHeight="false" outlineLevel="2" collapsed="false">
      <c r="A384" s="27" t="n">
        <v>380</v>
      </c>
      <c r="B384" s="27" t="s">
        <v>817</v>
      </c>
      <c r="C384" s="27" t="n">
        <v>3</v>
      </c>
      <c r="D384" s="27" t="s">
        <v>92</v>
      </c>
      <c r="E384" s="28" t="s">
        <v>336</v>
      </c>
      <c r="F384" s="27" t="s">
        <v>681</v>
      </c>
      <c r="G384" s="27" t="s">
        <v>801</v>
      </c>
      <c r="H384" s="27" t="s">
        <v>57</v>
      </c>
      <c r="I384" s="29" t="n">
        <v>258</v>
      </c>
      <c r="J384" s="29" t="n">
        <v>21</v>
      </c>
      <c r="K384" s="30" t="n">
        <f aca="false">WORKDAY(Assumptions!$C$4,I384,Assumptions!$F$4:$F$44)</f>
        <v>46688</v>
      </c>
      <c r="L384" s="30" t="n">
        <f aca="false">IF(J384=0,K384,WORKDAY(K384,J384-1,Assumptions!$F$4:$F$44))</f>
        <v>46716</v>
      </c>
      <c r="M384" s="29" t="s">
        <v>818</v>
      </c>
      <c r="N384" s="31" t="n">
        <v>0</v>
      </c>
      <c r="O384" s="31" t="n">
        <v>0</v>
      </c>
      <c r="P384" s="31" t="n">
        <v>0</v>
      </c>
      <c r="Q384" s="31" t="n">
        <v>0</v>
      </c>
      <c r="R384" s="31" t="n">
        <v>0</v>
      </c>
      <c r="S384" s="31" t="n">
        <v>0</v>
      </c>
      <c r="T384" s="31" t="n">
        <v>0</v>
      </c>
      <c r="U384" s="31" t="n">
        <v>0</v>
      </c>
      <c r="V384" s="31" t="n">
        <v>17</v>
      </c>
      <c r="W384" s="31" t="n">
        <v>0</v>
      </c>
      <c r="X384" s="31" t="n">
        <v>0</v>
      </c>
      <c r="Y384" s="32" t="n">
        <f aca="false">SUM(N384:X384)</f>
        <v>17</v>
      </c>
      <c r="Z384" s="32" t="n">
        <f aca="false">Y384*(1+Assumptions!$C$5)</f>
        <v>19.55</v>
      </c>
      <c r="AA384" s="27" t="s">
        <v>338</v>
      </c>
      <c r="AB384" s="27" t="s">
        <v>95</v>
      </c>
      <c r="AC384" s="27"/>
      <c r="AD384" s="33" t="n">
        <v>0</v>
      </c>
      <c r="AF384" s="21" t="n">
        <f aca="false">IF($J384=0,0,MAX(0,NETWORKDAYS(MAX($K384,AF$4),MIN($L384,EOMONTH(AF$4,0)),Assumptions!$F$4:$F$44))/NETWORKDAYS($K384,$L384,Assumptions!$F$4:$F$44))</f>
        <v>0</v>
      </c>
      <c r="AG384" s="21" t="n">
        <f aca="false">IF($J384=0,0,MAX(0,NETWORKDAYS(MAX($K384,AG$4),MIN($L384,EOMONTH(AG$4,0)),Assumptions!$F$4:$F$44))/NETWORKDAYS($K384,$L384,Assumptions!$F$4:$F$44))</f>
        <v>0</v>
      </c>
      <c r="AH384" s="21" t="n">
        <f aca="false">IF($J384=0,0,MAX(0,NETWORKDAYS(MAX($K384,AH$4),MIN($L384,EOMONTH(AH$4,0)),Assumptions!$F$4:$F$44))/NETWORKDAYS($K384,$L384,Assumptions!$F$4:$F$44))</f>
        <v>0</v>
      </c>
      <c r="AI384" s="21" t="n">
        <f aca="false">IF($J384=0,0,MAX(0,NETWORKDAYS(MAX($K384,AI$4),MIN($L384,EOMONTH(AI$4,0)),Assumptions!$F$4:$F$44))/NETWORKDAYS($K384,$L384,Assumptions!$F$4:$F$44))</f>
        <v>0</v>
      </c>
      <c r="AJ384" s="21" t="n">
        <f aca="false">IF($J384=0,0,MAX(0,NETWORKDAYS(MAX($K384,AJ$4),MIN($L384,EOMONTH(AJ$4,0)),Assumptions!$F$4:$F$44))/NETWORKDAYS($K384,$L384,Assumptions!$F$4:$F$44))</f>
        <v>0</v>
      </c>
      <c r="AK384" s="21" t="n">
        <f aca="false">IF($J384=0,0,MAX(0,NETWORKDAYS(MAX($K384,AK$4),MIN($L384,EOMONTH(AK$4,0)),Assumptions!$F$4:$F$44))/NETWORKDAYS($K384,$L384,Assumptions!$F$4:$F$44))</f>
        <v>0</v>
      </c>
      <c r="AL384" s="21" t="n">
        <f aca="false">IF($J384=0,0,MAX(0,NETWORKDAYS(MAX($K384,AL$4),MIN($L384,EOMONTH(AL$4,0)),Assumptions!$F$4:$F$44))/NETWORKDAYS($K384,$L384,Assumptions!$F$4:$F$44))</f>
        <v>0</v>
      </c>
      <c r="AM384" s="21" t="n">
        <f aca="false">IF($J384=0,0,MAX(0,NETWORKDAYS(MAX($K384,AM$4),MIN($L384,EOMONTH(AM$4,0)),Assumptions!$F$4:$F$44))/NETWORKDAYS($K384,$L384,Assumptions!$F$4:$F$44))</f>
        <v>0</v>
      </c>
      <c r="AN384" s="21" t="n">
        <f aca="false">IF($J384=0,0,MAX(0,NETWORKDAYS(MAX($K384,AN$4),MIN($L384,EOMONTH(AN$4,0)),Assumptions!$F$4:$F$44))/NETWORKDAYS($K384,$L384,Assumptions!$F$4:$F$44))</f>
        <v>0</v>
      </c>
      <c r="AO384" s="21" t="n">
        <f aca="false">IF($J384=0,0,MAX(0,NETWORKDAYS(MAX($K384,AO$4),MIN($L384,EOMONTH(AO$4,0)),Assumptions!$F$4:$F$44))/NETWORKDAYS($K384,$L384,Assumptions!$F$4:$F$44))</f>
        <v>0</v>
      </c>
      <c r="AP384" s="21" t="n">
        <f aca="false">IF($J384=0,0,MAX(0,NETWORKDAYS(MAX($K384,AP$4),MIN($L384,EOMONTH(AP$4,0)),Assumptions!$F$4:$F$44))/NETWORKDAYS($K384,$L384,Assumptions!$F$4:$F$44))</f>
        <v>0</v>
      </c>
      <c r="AQ384" s="21" t="n">
        <f aca="false">IF($J384=0,0,MAX(0,NETWORKDAYS(MAX($K384,AQ$4),MIN($L384,EOMONTH(AQ$4,0)),Assumptions!$F$4:$F$44))/NETWORKDAYS($K384,$L384,Assumptions!$F$4:$F$44))</f>
        <v>0.0952380952380952</v>
      </c>
      <c r="AR384" s="21" t="n">
        <f aca="false">IF($J384=0,0,MAX(0,NETWORKDAYS(MAX($K384,AR$4),MIN($L384,EOMONTH(AR$4,0)),Assumptions!$F$4:$F$44))/NETWORKDAYS($K384,$L384,Assumptions!$F$4:$F$44))</f>
        <v>0.904761904761905</v>
      </c>
      <c r="AS384" s="21" t="n">
        <f aca="false">IF($J384=0,0,MAX(0,NETWORKDAYS(MAX($K384,AS$4),MIN($L384,EOMONTH(AS$4,0)),Assumptions!$F$4:$F$44))/NETWORKDAYS($K384,$L384,Assumptions!$F$4:$F$44))</f>
        <v>0</v>
      </c>
      <c r="AT384" s="21" t="n">
        <f aca="false">IF($J384=0,0,MAX(0,NETWORKDAYS(MAX($K384,AT$4),MIN($L384,EOMONTH(AT$4,0)),Assumptions!$F$4:$F$44))/NETWORKDAYS($K384,$L384,Assumptions!$F$4:$F$44))</f>
        <v>0</v>
      </c>
      <c r="AU384" s="21" t="n">
        <f aca="false">IF($J384=0,0,MAX(0,NETWORKDAYS(MAX($K384,AU$4),MIN($L384,EOMONTH(AU$4,0)),Assumptions!$F$4:$F$44))/NETWORKDAYS($K384,$L384,Assumptions!$F$4:$F$44))</f>
        <v>0</v>
      </c>
      <c r="AV384" s="21" t="n">
        <f aca="false">IF($J384=0,0,MAX(0,NETWORKDAYS(MAX($K384,AV$4),MIN($L384,EOMONTH(AV$4,0)),Assumptions!$F$4:$F$44))/NETWORKDAYS($K384,$L384,Assumptions!$F$4:$F$44))</f>
        <v>0</v>
      </c>
      <c r="AW384" s="21" t="n">
        <f aca="false">IF($J384=0,0,MAX(0,NETWORKDAYS(MAX($K384,AW$4),MIN($L384,EOMONTH(AW$4,0)),Assumptions!$F$4:$F$44))/NETWORKDAYS($K384,$L384,Assumptions!$F$4:$F$44))</f>
        <v>0</v>
      </c>
      <c r="AX384" s="21" t="n">
        <f aca="false">IF($J384=0,0,MAX(0,NETWORKDAYS(MAX($K384,AX$4),MIN($L384,EOMONTH(AX$4,0)),Assumptions!$F$4:$F$44))/NETWORKDAYS($K384,$L384,Assumptions!$F$4:$F$44))</f>
        <v>0</v>
      </c>
      <c r="AY384" s="21" t="n">
        <f aca="false">IF($J384=0,0,MAX(0,NETWORKDAYS(MAX($K384,AY$4),MIN($L384,EOMONTH(AY$4,0)),Assumptions!$F$4:$F$44))/NETWORKDAYS($K384,$L384,Assumptions!$F$4:$F$44))</f>
        <v>0</v>
      </c>
      <c r="AZ384" s="21" t="n">
        <f aca="false">IF($J384=0,0,MAX(0,NETWORKDAYS(MAX($K384,AZ$4),MIN($L384,EOMONTH(AZ$4,0)),Assumptions!$F$4:$F$44))/NETWORKDAYS($K384,$L384,Assumptions!$F$4:$F$44))</f>
        <v>0</v>
      </c>
      <c r="BA384" s="21" t="n">
        <f aca="false">IF($J384=0,0,MAX(0,NETWORKDAYS(MAX($K384,BA$4),MIN($L384,EOMONTH(BA$4,0)),Assumptions!$F$4:$F$44))/NETWORKDAYS($K384,$L384,Assumptions!$F$4:$F$44))</f>
        <v>0</v>
      </c>
      <c r="BB384" s="21" t="n">
        <f aca="false">IF($J384=0,0,MAX(0,NETWORKDAYS(MAX($K384,BB$4),MIN($L384,EOMONTH(BB$4,0)),Assumptions!$F$4:$F$44))/NETWORKDAYS($K384,$L384,Assumptions!$F$4:$F$44))</f>
        <v>0</v>
      </c>
      <c r="BC384" s="21" t="n">
        <f aca="false">IF($J384=0,0,MAX(0,NETWORKDAYS(MAX($K384,BC$4),MIN($L384,EOMONTH(BC$4,0)),Assumptions!$F$4:$F$44))/NETWORKDAYS($K384,$L384,Assumptions!$F$4:$F$44))</f>
        <v>0</v>
      </c>
    </row>
    <row r="385" customFormat="false" ht="15" hidden="false" customHeight="false" outlineLevel="2" collapsed="false">
      <c r="A385" s="27" t="n">
        <v>381</v>
      </c>
      <c r="B385" s="27" t="s">
        <v>819</v>
      </c>
      <c r="C385" s="27" t="n">
        <v>3</v>
      </c>
      <c r="D385" s="27" t="s">
        <v>92</v>
      </c>
      <c r="E385" s="28" t="s">
        <v>340</v>
      </c>
      <c r="F385" s="27" t="s">
        <v>681</v>
      </c>
      <c r="G385" s="27" t="s">
        <v>801</v>
      </c>
      <c r="H385" s="27" t="s">
        <v>47</v>
      </c>
      <c r="I385" s="29" t="n">
        <v>262</v>
      </c>
      <c r="J385" s="29" t="n">
        <v>26</v>
      </c>
      <c r="K385" s="30" t="n">
        <f aca="false">WORKDAY(Assumptions!$C$4,I385,Assumptions!$F$4:$F$44)</f>
        <v>46694</v>
      </c>
      <c r="L385" s="30" t="n">
        <f aca="false">IF(J385=0,K385,WORKDAY(K385,J385-1,Assumptions!$F$4:$F$44))</f>
        <v>46729</v>
      </c>
      <c r="M385" s="29" t="s">
        <v>820</v>
      </c>
      <c r="N385" s="31" t="n">
        <v>0</v>
      </c>
      <c r="O385" s="31" t="n">
        <v>0</v>
      </c>
      <c r="P385" s="31" t="n">
        <v>0</v>
      </c>
      <c r="Q385" s="31" t="n">
        <v>7</v>
      </c>
      <c r="R385" s="31" t="n">
        <v>4</v>
      </c>
      <c r="S385" s="31" t="n">
        <v>0</v>
      </c>
      <c r="T385" s="31" t="n">
        <v>0</v>
      </c>
      <c r="U385" s="31" t="n">
        <v>0</v>
      </c>
      <c r="V385" s="31" t="n">
        <v>3</v>
      </c>
      <c r="W385" s="31" t="n">
        <v>0</v>
      </c>
      <c r="X385" s="31" t="n">
        <v>0</v>
      </c>
      <c r="Y385" s="32" t="n">
        <f aca="false">SUM(N385:X385)</f>
        <v>14</v>
      </c>
      <c r="Z385" s="32" t="n">
        <f aca="false">Y385*(1+Assumptions!$C$5)</f>
        <v>16.1</v>
      </c>
      <c r="AA385" s="27" t="s">
        <v>342</v>
      </c>
      <c r="AB385" s="27" t="s">
        <v>95</v>
      </c>
      <c r="AC385" s="27"/>
      <c r="AD385" s="33" t="n">
        <v>0</v>
      </c>
      <c r="AF385" s="21" t="n">
        <f aca="false">IF($J385=0,0,MAX(0,NETWORKDAYS(MAX($K385,AF$4),MIN($L385,EOMONTH(AF$4,0)),Assumptions!$F$4:$F$44))/NETWORKDAYS($K385,$L385,Assumptions!$F$4:$F$44))</f>
        <v>0</v>
      </c>
      <c r="AG385" s="21" t="n">
        <f aca="false">IF($J385=0,0,MAX(0,NETWORKDAYS(MAX($K385,AG$4),MIN($L385,EOMONTH(AG$4,0)),Assumptions!$F$4:$F$44))/NETWORKDAYS($K385,$L385,Assumptions!$F$4:$F$44))</f>
        <v>0</v>
      </c>
      <c r="AH385" s="21" t="n">
        <f aca="false">IF($J385=0,0,MAX(0,NETWORKDAYS(MAX($K385,AH$4),MIN($L385,EOMONTH(AH$4,0)),Assumptions!$F$4:$F$44))/NETWORKDAYS($K385,$L385,Assumptions!$F$4:$F$44))</f>
        <v>0</v>
      </c>
      <c r="AI385" s="21" t="n">
        <f aca="false">IF($J385=0,0,MAX(0,NETWORKDAYS(MAX($K385,AI$4),MIN($L385,EOMONTH(AI$4,0)),Assumptions!$F$4:$F$44))/NETWORKDAYS($K385,$L385,Assumptions!$F$4:$F$44))</f>
        <v>0</v>
      </c>
      <c r="AJ385" s="21" t="n">
        <f aca="false">IF($J385=0,0,MAX(0,NETWORKDAYS(MAX($K385,AJ$4),MIN($L385,EOMONTH(AJ$4,0)),Assumptions!$F$4:$F$44))/NETWORKDAYS($K385,$L385,Assumptions!$F$4:$F$44))</f>
        <v>0</v>
      </c>
      <c r="AK385" s="21" t="n">
        <f aca="false">IF($J385=0,0,MAX(0,NETWORKDAYS(MAX($K385,AK$4),MIN($L385,EOMONTH(AK$4,0)),Assumptions!$F$4:$F$44))/NETWORKDAYS($K385,$L385,Assumptions!$F$4:$F$44))</f>
        <v>0</v>
      </c>
      <c r="AL385" s="21" t="n">
        <f aca="false">IF($J385=0,0,MAX(0,NETWORKDAYS(MAX($K385,AL$4),MIN($L385,EOMONTH(AL$4,0)),Assumptions!$F$4:$F$44))/NETWORKDAYS($K385,$L385,Assumptions!$F$4:$F$44))</f>
        <v>0</v>
      </c>
      <c r="AM385" s="21" t="n">
        <f aca="false">IF($J385=0,0,MAX(0,NETWORKDAYS(MAX($K385,AM$4),MIN($L385,EOMONTH(AM$4,0)),Assumptions!$F$4:$F$44))/NETWORKDAYS($K385,$L385,Assumptions!$F$4:$F$44))</f>
        <v>0</v>
      </c>
      <c r="AN385" s="21" t="n">
        <f aca="false">IF($J385=0,0,MAX(0,NETWORKDAYS(MAX($K385,AN$4),MIN($L385,EOMONTH(AN$4,0)),Assumptions!$F$4:$F$44))/NETWORKDAYS($K385,$L385,Assumptions!$F$4:$F$44))</f>
        <v>0</v>
      </c>
      <c r="AO385" s="21" t="n">
        <f aca="false">IF($J385=0,0,MAX(0,NETWORKDAYS(MAX($K385,AO$4),MIN($L385,EOMONTH(AO$4,0)),Assumptions!$F$4:$F$44))/NETWORKDAYS($K385,$L385,Assumptions!$F$4:$F$44))</f>
        <v>0</v>
      </c>
      <c r="AP385" s="21" t="n">
        <f aca="false">IF($J385=0,0,MAX(0,NETWORKDAYS(MAX($K385,AP$4),MIN($L385,EOMONTH(AP$4,0)),Assumptions!$F$4:$F$44))/NETWORKDAYS($K385,$L385,Assumptions!$F$4:$F$44))</f>
        <v>0</v>
      </c>
      <c r="AQ385" s="21" t="n">
        <f aca="false">IF($J385=0,0,MAX(0,NETWORKDAYS(MAX($K385,AQ$4),MIN($L385,EOMONTH(AQ$4,0)),Assumptions!$F$4:$F$44))/NETWORKDAYS($K385,$L385,Assumptions!$F$4:$F$44))</f>
        <v>0</v>
      </c>
      <c r="AR385" s="21" t="n">
        <f aca="false">IF($J385=0,0,MAX(0,NETWORKDAYS(MAX($K385,AR$4),MIN($L385,EOMONTH(AR$4,0)),Assumptions!$F$4:$F$44))/NETWORKDAYS($K385,$L385,Assumptions!$F$4:$F$44))</f>
        <v>0.769230769230769</v>
      </c>
      <c r="AS385" s="21" t="n">
        <f aca="false">IF($J385=0,0,MAX(0,NETWORKDAYS(MAX($K385,AS$4),MIN($L385,EOMONTH(AS$4,0)),Assumptions!$F$4:$F$44))/NETWORKDAYS($K385,$L385,Assumptions!$F$4:$F$44))</f>
        <v>0.230769230769231</v>
      </c>
      <c r="AT385" s="21" t="n">
        <f aca="false">IF($J385=0,0,MAX(0,NETWORKDAYS(MAX($K385,AT$4),MIN($L385,EOMONTH(AT$4,0)),Assumptions!$F$4:$F$44))/NETWORKDAYS($K385,$L385,Assumptions!$F$4:$F$44))</f>
        <v>0</v>
      </c>
      <c r="AU385" s="21" t="n">
        <f aca="false">IF($J385=0,0,MAX(0,NETWORKDAYS(MAX($K385,AU$4),MIN($L385,EOMONTH(AU$4,0)),Assumptions!$F$4:$F$44))/NETWORKDAYS($K385,$L385,Assumptions!$F$4:$F$44))</f>
        <v>0</v>
      </c>
      <c r="AV385" s="21" t="n">
        <f aca="false">IF($J385=0,0,MAX(0,NETWORKDAYS(MAX($K385,AV$4),MIN($L385,EOMONTH(AV$4,0)),Assumptions!$F$4:$F$44))/NETWORKDAYS($K385,$L385,Assumptions!$F$4:$F$44))</f>
        <v>0</v>
      </c>
      <c r="AW385" s="21" t="n">
        <f aca="false">IF($J385=0,0,MAX(0,NETWORKDAYS(MAX($K385,AW$4),MIN($L385,EOMONTH(AW$4,0)),Assumptions!$F$4:$F$44))/NETWORKDAYS($K385,$L385,Assumptions!$F$4:$F$44))</f>
        <v>0</v>
      </c>
      <c r="AX385" s="21" t="n">
        <f aca="false">IF($J385=0,0,MAX(0,NETWORKDAYS(MAX($K385,AX$4),MIN($L385,EOMONTH(AX$4,0)),Assumptions!$F$4:$F$44))/NETWORKDAYS($K385,$L385,Assumptions!$F$4:$F$44))</f>
        <v>0</v>
      </c>
      <c r="AY385" s="21" t="n">
        <f aca="false">IF($J385=0,0,MAX(0,NETWORKDAYS(MAX($K385,AY$4),MIN($L385,EOMONTH(AY$4,0)),Assumptions!$F$4:$F$44))/NETWORKDAYS($K385,$L385,Assumptions!$F$4:$F$44))</f>
        <v>0</v>
      </c>
      <c r="AZ385" s="21" t="n">
        <f aca="false">IF($J385=0,0,MAX(0,NETWORKDAYS(MAX($K385,AZ$4),MIN($L385,EOMONTH(AZ$4,0)),Assumptions!$F$4:$F$44))/NETWORKDAYS($K385,$L385,Assumptions!$F$4:$F$44))</f>
        <v>0</v>
      </c>
      <c r="BA385" s="21" t="n">
        <f aca="false">IF($J385=0,0,MAX(0,NETWORKDAYS(MAX($K385,BA$4),MIN($L385,EOMONTH(BA$4,0)),Assumptions!$F$4:$F$44))/NETWORKDAYS($K385,$L385,Assumptions!$F$4:$F$44))</f>
        <v>0</v>
      </c>
      <c r="BB385" s="21" t="n">
        <f aca="false">IF($J385=0,0,MAX(0,NETWORKDAYS(MAX($K385,BB$4),MIN($L385,EOMONTH(BB$4,0)),Assumptions!$F$4:$F$44))/NETWORKDAYS($K385,$L385,Assumptions!$F$4:$F$44))</f>
        <v>0</v>
      </c>
      <c r="BC385" s="21" t="n">
        <f aca="false">IF($J385=0,0,MAX(0,NETWORKDAYS(MAX($K385,BC$4),MIN($L385,EOMONTH(BC$4,0)),Assumptions!$F$4:$F$44))/NETWORKDAYS($K385,$L385,Assumptions!$F$4:$F$44))</f>
        <v>0</v>
      </c>
    </row>
    <row r="386" customFormat="false" ht="15" hidden="false" customHeight="false" outlineLevel="2" collapsed="false">
      <c r="A386" s="27" t="n">
        <v>382</v>
      </c>
      <c r="B386" s="27" t="s">
        <v>821</v>
      </c>
      <c r="C386" s="27" t="n">
        <v>3</v>
      </c>
      <c r="D386" s="27" t="s">
        <v>92</v>
      </c>
      <c r="E386" s="28" t="s">
        <v>344</v>
      </c>
      <c r="F386" s="27" t="s">
        <v>681</v>
      </c>
      <c r="G386" s="27" t="s">
        <v>801</v>
      </c>
      <c r="H386" s="27" t="s">
        <v>43</v>
      </c>
      <c r="I386" s="29" t="n">
        <v>279</v>
      </c>
      <c r="J386" s="29" t="n">
        <v>13</v>
      </c>
      <c r="K386" s="30" t="n">
        <f aca="false">WORKDAY(Assumptions!$C$4,I386,Assumptions!$F$4:$F$44)</f>
        <v>46717</v>
      </c>
      <c r="L386" s="30" t="n">
        <f aca="false">IF(J386=0,K386,WORKDAY(K386,J386-1,Assumptions!$F$4:$F$44))</f>
        <v>46735</v>
      </c>
      <c r="M386" s="29" t="s">
        <v>820</v>
      </c>
      <c r="N386" s="31" t="n">
        <v>0</v>
      </c>
      <c r="O386" s="31" t="n">
        <v>4</v>
      </c>
      <c r="P386" s="31" t="n">
        <v>0</v>
      </c>
      <c r="Q386" s="31" t="n">
        <v>0</v>
      </c>
      <c r="R386" s="31" t="n">
        <v>0</v>
      </c>
      <c r="S386" s="31" t="n">
        <v>0</v>
      </c>
      <c r="T386" s="31" t="n">
        <v>0</v>
      </c>
      <c r="U386" s="31" t="n">
        <v>0</v>
      </c>
      <c r="V386" s="31" t="n">
        <v>4</v>
      </c>
      <c r="W386" s="31" t="n">
        <v>0</v>
      </c>
      <c r="X386" s="31" t="n">
        <v>0</v>
      </c>
      <c r="Y386" s="32" t="n">
        <f aca="false">SUM(N386:X386)</f>
        <v>8</v>
      </c>
      <c r="Z386" s="32" t="n">
        <f aca="false">Y386*(1+Assumptions!$C$5)</f>
        <v>9.2</v>
      </c>
      <c r="AA386" s="27" t="s">
        <v>345</v>
      </c>
      <c r="AB386" s="27" t="s">
        <v>95</v>
      </c>
      <c r="AC386" s="27"/>
      <c r="AD386" s="33" t="n">
        <v>0</v>
      </c>
      <c r="AF386" s="21" t="n">
        <f aca="false">IF($J386=0,0,MAX(0,NETWORKDAYS(MAX($K386,AF$4),MIN($L386,EOMONTH(AF$4,0)),Assumptions!$F$4:$F$44))/NETWORKDAYS($K386,$L386,Assumptions!$F$4:$F$44))</f>
        <v>0</v>
      </c>
      <c r="AG386" s="21" t="n">
        <f aca="false">IF($J386=0,0,MAX(0,NETWORKDAYS(MAX($K386,AG$4),MIN($L386,EOMONTH(AG$4,0)),Assumptions!$F$4:$F$44))/NETWORKDAYS($K386,$L386,Assumptions!$F$4:$F$44))</f>
        <v>0</v>
      </c>
      <c r="AH386" s="21" t="n">
        <f aca="false">IF($J386=0,0,MAX(0,NETWORKDAYS(MAX($K386,AH$4),MIN($L386,EOMONTH(AH$4,0)),Assumptions!$F$4:$F$44))/NETWORKDAYS($K386,$L386,Assumptions!$F$4:$F$44))</f>
        <v>0</v>
      </c>
      <c r="AI386" s="21" t="n">
        <f aca="false">IF($J386=0,0,MAX(0,NETWORKDAYS(MAX($K386,AI$4),MIN($L386,EOMONTH(AI$4,0)),Assumptions!$F$4:$F$44))/NETWORKDAYS($K386,$L386,Assumptions!$F$4:$F$44))</f>
        <v>0</v>
      </c>
      <c r="AJ386" s="21" t="n">
        <f aca="false">IF($J386=0,0,MAX(0,NETWORKDAYS(MAX($K386,AJ$4),MIN($L386,EOMONTH(AJ$4,0)),Assumptions!$F$4:$F$44))/NETWORKDAYS($K386,$L386,Assumptions!$F$4:$F$44))</f>
        <v>0</v>
      </c>
      <c r="AK386" s="21" t="n">
        <f aca="false">IF($J386=0,0,MAX(0,NETWORKDAYS(MAX($K386,AK$4),MIN($L386,EOMONTH(AK$4,0)),Assumptions!$F$4:$F$44))/NETWORKDAYS($K386,$L386,Assumptions!$F$4:$F$44))</f>
        <v>0</v>
      </c>
      <c r="AL386" s="21" t="n">
        <f aca="false">IF($J386=0,0,MAX(0,NETWORKDAYS(MAX($K386,AL$4),MIN($L386,EOMONTH(AL$4,0)),Assumptions!$F$4:$F$44))/NETWORKDAYS($K386,$L386,Assumptions!$F$4:$F$44))</f>
        <v>0</v>
      </c>
      <c r="AM386" s="21" t="n">
        <f aca="false">IF($J386=0,0,MAX(0,NETWORKDAYS(MAX($K386,AM$4),MIN($L386,EOMONTH(AM$4,0)),Assumptions!$F$4:$F$44))/NETWORKDAYS($K386,$L386,Assumptions!$F$4:$F$44))</f>
        <v>0</v>
      </c>
      <c r="AN386" s="21" t="n">
        <f aca="false">IF($J386=0,0,MAX(0,NETWORKDAYS(MAX($K386,AN$4),MIN($L386,EOMONTH(AN$4,0)),Assumptions!$F$4:$F$44))/NETWORKDAYS($K386,$L386,Assumptions!$F$4:$F$44))</f>
        <v>0</v>
      </c>
      <c r="AO386" s="21" t="n">
        <f aca="false">IF($J386=0,0,MAX(0,NETWORKDAYS(MAX($K386,AO$4),MIN($L386,EOMONTH(AO$4,0)),Assumptions!$F$4:$F$44))/NETWORKDAYS($K386,$L386,Assumptions!$F$4:$F$44))</f>
        <v>0</v>
      </c>
      <c r="AP386" s="21" t="n">
        <f aca="false">IF($J386=0,0,MAX(0,NETWORKDAYS(MAX($K386,AP$4),MIN($L386,EOMONTH(AP$4,0)),Assumptions!$F$4:$F$44))/NETWORKDAYS($K386,$L386,Assumptions!$F$4:$F$44))</f>
        <v>0</v>
      </c>
      <c r="AQ386" s="21" t="n">
        <f aca="false">IF($J386=0,0,MAX(0,NETWORKDAYS(MAX($K386,AQ$4),MIN($L386,EOMONTH(AQ$4,0)),Assumptions!$F$4:$F$44))/NETWORKDAYS($K386,$L386,Assumptions!$F$4:$F$44))</f>
        <v>0</v>
      </c>
      <c r="AR386" s="21" t="n">
        <f aca="false">IF($J386=0,0,MAX(0,NETWORKDAYS(MAX($K386,AR$4),MIN($L386,EOMONTH(AR$4,0)),Assumptions!$F$4:$F$44))/NETWORKDAYS($K386,$L386,Assumptions!$F$4:$F$44))</f>
        <v>0.230769230769231</v>
      </c>
      <c r="AS386" s="21" t="n">
        <f aca="false">IF($J386=0,0,MAX(0,NETWORKDAYS(MAX($K386,AS$4),MIN($L386,EOMONTH(AS$4,0)),Assumptions!$F$4:$F$44))/NETWORKDAYS($K386,$L386,Assumptions!$F$4:$F$44))</f>
        <v>0.769230769230769</v>
      </c>
      <c r="AT386" s="21" t="n">
        <f aca="false">IF($J386=0,0,MAX(0,NETWORKDAYS(MAX($K386,AT$4),MIN($L386,EOMONTH(AT$4,0)),Assumptions!$F$4:$F$44))/NETWORKDAYS($K386,$L386,Assumptions!$F$4:$F$44))</f>
        <v>0</v>
      </c>
      <c r="AU386" s="21" t="n">
        <f aca="false">IF($J386=0,0,MAX(0,NETWORKDAYS(MAX($K386,AU$4),MIN($L386,EOMONTH(AU$4,0)),Assumptions!$F$4:$F$44))/NETWORKDAYS($K386,$L386,Assumptions!$F$4:$F$44))</f>
        <v>0</v>
      </c>
      <c r="AV386" s="21" t="n">
        <f aca="false">IF($J386=0,0,MAX(0,NETWORKDAYS(MAX($K386,AV$4),MIN($L386,EOMONTH(AV$4,0)),Assumptions!$F$4:$F$44))/NETWORKDAYS($K386,$L386,Assumptions!$F$4:$F$44))</f>
        <v>0</v>
      </c>
      <c r="AW386" s="21" t="n">
        <f aca="false">IF($J386=0,0,MAX(0,NETWORKDAYS(MAX($K386,AW$4),MIN($L386,EOMONTH(AW$4,0)),Assumptions!$F$4:$F$44))/NETWORKDAYS($K386,$L386,Assumptions!$F$4:$F$44))</f>
        <v>0</v>
      </c>
      <c r="AX386" s="21" t="n">
        <f aca="false">IF($J386=0,0,MAX(0,NETWORKDAYS(MAX($K386,AX$4),MIN($L386,EOMONTH(AX$4,0)),Assumptions!$F$4:$F$44))/NETWORKDAYS($K386,$L386,Assumptions!$F$4:$F$44))</f>
        <v>0</v>
      </c>
      <c r="AY386" s="21" t="n">
        <f aca="false">IF($J386=0,0,MAX(0,NETWORKDAYS(MAX($K386,AY$4),MIN($L386,EOMONTH(AY$4,0)),Assumptions!$F$4:$F$44))/NETWORKDAYS($K386,$L386,Assumptions!$F$4:$F$44))</f>
        <v>0</v>
      </c>
      <c r="AZ386" s="21" t="n">
        <f aca="false">IF($J386=0,0,MAX(0,NETWORKDAYS(MAX($K386,AZ$4),MIN($L386,EOMONTH(AZ$4,0)),Assumptions!$F$4:$F$44))/NETWORKDAYS($K386,$L386,Assumptions!$F$4:$F$44))</f>
        <v>0</v>
      </c>
      <c r="BA386" s="21" t="n">
        <f aca="false">IF($J386=0,0,MAX(0,NETWORKDAYS(MAX($K386,BA$4),MIN($L386,EOMONTH(BA$4,0)),Assumptions!$F$4:$F$44))/NETWORKDAYS($K386,$L386,Assumptions!$F$4:$F$44))</f>
        <v>0</v>
      </c>
      <c r="BB386" s="21" t="n">
        <f aca="false">IF($J386=0,0,MAX(0,NETWORKDAYS(MAX($K386,BB$4),MIN($L386,EOMONTH(BB$4,0)),Assumptions!$F$4:$F$44))/NETWORKDAYS($K386,$L386,Assumptions!$F$4:$F$44))</f>
        <v>0</v>
      </c>
      <c r="BC386" s="21" t="n">
        <f aca="false">IF($J386=0,0,MAX(0,NETWORKDAYS(MAX($K386,BC$4),MIN($L386,EOMONTH(BC$4,0)),Assumptions!$F$4:$F$44))/NETWORKDAYS($K386,$L386,Assumptions!$F$4:$F$44))</f>
        <v>0</v>
      </c>
    </row>
    <row r="387" customFormat="false" ht="15" hidden="false" customHeight="false" outlineLevel="2" collapsed="false">
      <c r="A387" s="27" t="n">
        <v>383</v>
      </c>
      <c r="B387" s="27" t="s">
        <v>822</v>
      </c>
      <c r="C387" s="27" t="n">
        <v>3</v>
      </c>
      <c r="D387" s="27" t="s">
        <v>92</v>
      </c>
      <c r="E387" s="28" t="s">
        <v>347</v>
      </c>
      <c r="F387" s="27" t="s">
        <v>681</v>
      </c>
      <c r="G387" s="27" t="s">
        <v>801</v>
      </c>
      <c r="H387" s="27" t="s">
        <v>61</v>
      </c>
      <c r="I387" s="29" t="n">
        <v>282</v>
      </c>
      <c r="J387" s="29" t="n">
        <v>13</v>
      </c>
      <c r="K387" s="30" t="n">
        <f aca="false">WORKDAY(Assumptions!$C$4,I387,Assumptions!$F$4:$F$44)</f>
        <v>46722</v>
      </c>
      <c r="L387" s="30" t="n">
        <f aca="false">IF(J387=0,K387,WORKDAY(K387,J387-1,Assumptions!$F$4:$F$44))</f>
        <v>46738</v>
      </c>
      <c r="M387" s="29" t="s">
        <v>823</v>
      </c>
      <c r="N387" s="31" t="n">
        <v>0</v>
      </c>
      <c r="O387" s="31" t="n">
        <v>2</v>
      </c>
      <c r="P387" s="31" t="n">
        <v>0</v>
      </c>
      <c r="Q387" s="31" t="n">
        <v>0</v>
      </c>
      <c r="R387" s="31" t="n">
        <v>0</v>
      </c>
      <c r="S387" s="31" t="n">
        <v>0</v>
      </c>
      <c r="T387" s="31" t="n">
        <v>0</v>
      </c>
      <c r="U387" s="31" t="n">
        <v>0</v>
      </c>
      <c r="V387" s="31" t="n">
        <v>0</v>
      </c>
      <c r="W387" s="31" t="n">
        <v>0</v>
      </c>
      <c r="X387" s="31" t="n">
        <v>5</v>
      </c>
      <c r="Y387" s="32" t="n">
        <f aca="false">SUM(N387:X387)</f>
        <v>7</v>
      </c>
      <c r="Z387" s="32" t="n">
        <f aca="false">Y387*(1+Assumptions!$C$5)</f>
        <v>8.05</v>
      </c>
      <c r="AA387" s="27" t="s">
        <v>349</v>
      </c>
      <c r="AB387" s="27" t="s">
        <v>95</v>
      </c>
      <c r="AC387" s="27"/>
      <c r="AD387" s="33" t="n">
        <v>0</v>
      </c>
      <c r="AF387" s="21" t="n">
        <f aca="false">IF($J387=0,0,MAX(0,NETWORKDAYS(MAX($K387,AF$4),MIN($L387,EOMONTH(AF$4,0)),Assumptions!$F$4:$F$44))/NETWORKDAYS($K387,$L387,Assumptions!$F$4:$F$44))</f>
        <v>0</v>
      </c>
      <c r="AG387" s="21" t="n">
        <f aca="false">IF($J387=0,0,MAX(0,NETWORKDAYS(MAX($K387,AG$4),MIN($L387,EOMONTH(AG$4,0)),Assumptions!$F$4:$F$44))/NETWORKDAYS($K387,$L387,Assumptions!$F$4:$F$44))</f>
        <v>0</v>
      </c>
      <c r="AH387" s="21" t="n">
        <f aca="false">IF($J387=0,0,MAX(0,NETWORKDAYS(MAX($K387,AH$4),MIN($L387,EOMONTH(AH$4,0)),Assumptions!$F$4:$F$44))/NETWORKDAYS($K387,$L387,Assumptions!$F$4:$F$44))</f>
        <v>0</v>
      </c>
      <c r="AI387" s="21" t="n">
        <f aca="false">IF($J387=0,0,MAX(0,NETWORKDAYS(MAX($K387,AI$4),MIN($L387,EOMONTH(AI$4,0)),Assumptions!$F$4:$F$44))/NETWORKDAYS($K387,$L387,Assumptions!$F$4:$F$44))</f>
        <v>0</v>
      </c>
      <c r="AJ387" s="21" t="n">
        <f aca="false">IF($J387=0,0,MAX(0,NETWORKDAYS(MAX($K387,AJ$4),MIN($L387,EOMONTH(AJ$4,0)),Assumptions!$F$4:$F$44))/NETWORKDAYS($K387,$L387,Assumptions!$F$4:$F$44))</f>
        <v>0</v>
      </c>
      <c r="AK387" s="21" t="n">
        <f aca="false">IF($J387=0,0,MAX(0,NETWORKDAYS(MAX($K387,AK$4),MIN($L387,EOMONTH(AK$4,0)),Assumptions!$F$4:$F$44))/NETWORKDAYS($K387,$L387,Assumptions!$F$4:$F$44))</f>
        <v>0</v>
      </c>
      <c r="AL387" s="21" t="n">
        <f aca="false">IF($J387=0,0,MAX(0,NETWORKDAYS(MAX($K387,AL$4),MIN($L387,EOMONTH(AL$4,0)),Assumptions!$F$4:$F$44))/NETWORKDAYS($K387,$L387,Assumptions!$F$4:$F$44))</f>
        <v>0</v>
      </c>
      <c r="AM387" s="21" t="n">
        <f aca="false">IF($J387=0,0,MAX(0,NETWORKDAYS(MAX($K387,AM$4),MIN($L387,EOMONTH(AM$4,0)),Assumptions!$F$4:$F$44))/NETWORKDAYS($K387,$L387,Assumptions!$F$4:$F$44))</f>
        <v>0</v>
      </c>
      <c r="AN387" s="21" t="n">
        <f aca="false">IF($J387=0,0,MAX(0,NETWORKDAYS(MAX($K387,AN$4),MIN($L387,EOMONTH(AN$4,0)),Assumptions!$F$4:$F$44))/NETWORKDAYS($K387,$L387,Assumptions!$F$4:$F$44))</f>
        <v>0</v>
      </c>
      <c r="AO387" s="21" t="n">
        <f aca="false">IF($J387=0,0,MAX(0,NETWORKDAYS(MAX($K387,AO$4),MIN($L387,EOMONTH(AO$4,0)),Assumptions!$F$4:$F$44))/NETWORKDAYS($K387,$L387,Assumptions!$F$4:$F$44))</f>
        <v>0</v>
      </c>
      <c r="AP387" s="21" t="n">
        <f aca="false">IF($J387=0,0,MAX(0,NETWORKDAYS(MAX($K387,AP$4),MIN($L387,EOMONTH(AP$4,0)),Assumptions!$F$4:$F$44))/NETWORKDAYS($K387,$L387,Assumptions!$F$4:$F$44))</f>
        <v>0</v>
      </c>
      <c r="AQ387" s="21" t="n">
        <f aca="false">IF($J387=0,0,MAX(0,NETWORKDAYS(MAX($K387,AQ$4),MIN($L387,EOMONTH(AQ$4,0)),Assumptions!$F$4:$F$44))/NETWORKDAYS($K387,$L387,Assumptions!$F$4:$F$44))</f>
        <v>0</v>
      </c>
      <c r="AR387" s="21" t="n">
        <f aca="false">IF($J387=0,0,MAX(0,NETWORKDAYS(MAX($K387,AR$4),MIN($L387,EOMONTH(AR$4,0)),Assumptions!$F$4:$F$44))/NETWORKDAYS($K387,$L387,Assumptions!$F$4:$F$44))</f>
        <v>0</v>
      </c>
      <c r="AS387" s="21" t="n">
        <f aca="false">IF($J387=0,0,MAX(0,NETWORKDAYS(MAX($K387,AS$4),MIN($L387,EOMONTH(AS$4,0)),Assumptions!$F$4:$F$44))/NETWORKDAYS($K387,$L387,Assumptions!$F$4:$F$44))</f>
        <v>1</v>
      </c>
      <c r="AT387" s="21" t="n">
        <f aca="false">IF($J387=0,0,MAX(0,NETWORKDAYS(MAX($K387,AT$4),MIN($L387,EOMONTH(AT$4,0)),Assumptions!$F$4:$F$44))/NETWORKDAYS($K387,$L387,Assumptions!$F$4:$F$44))</f>
        <v>0</v>
      </c>
      <c r="AU387" s="21" t="n">
        <f aca="false">IF($J387=0,0,MAX(0,NETWORKDAYS(MAX($K387,AU$4),MIN($L387,EOMONTH(AU$4,0)),Assumptions!$F$4:$F$44))/NETWORKDAYS($K387,$L387,Assumptions!$F$4:$F$44))</f>
        <v>0</v>
      </c>
      <c r="AV387" s="21" t="n">
        <f aca="false">IF($J387=0,0,MAX(0,NETWORKDAYS(MAX($K387,AV$4),MIN($L387,EOMONTH(AV$4,0)),Assumptions!$F$4:$F$44))/NETWORKDAYS($K387,$L387,Assumptions!$F$4:$F$44))</f>
        <v>0</v>
      </c>
      <c r="AW387" s="21" t="n">
        <f aca="false">IF($J387=0,0,MAX(0,NETWORKDAYS(MAX($K387,AW$4),MIN($L387,EOMONTH(AW$4,0)),Assumptions!$F$4:$F$44))/NETWORKDAYS($K387,$L387,Assumptions!$F$4:$F$44))</f>
        <v>0</v>
      </c>
      <c r="AX387" s="21" t="n">
        <f aca="false">IF($J387=0,0,MAX(0,NETWORKDAYS(MAX($K387,AX$4),MIN($L387,EOMONTH(AX$4,0)),Assumptions!$F$4:$F$44))/NETWORKDAYS($K387,$L387,Assumptions!$F$4:$F$44))</f>
        <v>0</v>
      </c>
      <c r="AY387" s="21" t="n">
        <f aca="false">IF($J387=0,0,MAX(0,NETWORKDAYS(MAX($K387,AY$4),MIN($L387,EOMONTH(AY$4,0)),Assumptions!$F$4:$F$44))/NETWORKDAYS($K387,$L387,Assumptions!$F$4:$F$44))</f>
        <v>0</v>
      </c>
      <c r="AZ387" s="21" t="n">
        <f aca="false">IF($J387=0,0,MAX(0,NETWORKDAYS(MAX($K387,AZ$4),MIN($L387,EOMONTH(AZ$4,0)),Assumptions!$F$4:$F$44))/NETWORKDAYS($K387,$L387,Assumptions!$F$4:$F$44))</f>
        <v>0</v>
      </c>
      <c r="BA387" s="21" t="n">
        <f aca="false">IF($J387=0,0,MAX(0,NETWORKDAYS(MAX($K387,BA$4),MIN($L387,EOMONTH(BA$4,0)),Assumptions!$F$4:$F$44))/NETWORKDAYS($K387,$L387,Assumptions!$F$4:$F$44))</f>
        <v>0</v>
      </c>
      <c r="BB387" s="21" t="n">
        <f aca="false">IF($J387=0,0,MAX(0,NETWORKDAYS(MAX($K387,BB$4),MIN($L387,EOMONTH(BB$4,0)),Assumptions!$F$4:$F$44))/NETWORKDAYS($K387,$L387,Assumptions!$F$4:$F$44))</f>
        <v>0</v>
      </c>
      <c r="BC387" s="21" t="n">
        <f aca="false">IF($J387=0,0,MAX(0,NETWORKDAYS(MAX($K387,BC$4),MIN($L387,EOMONTH(BC$4,0)),Assumptions!$F$4:$F$44))/NETWORKDAYS($K387,$L387,Assumptions!$F$4:$F$44))</f>
        <v>0</v>
      </c>
    </row>
    <row r="388" customFormat="false" ht="15" hidden="false" customHeight="false" outlineLevel="1" collapsed="false">
      <c r="A388" s="22" t="n">
        <v>384</v>
      </c>
      <c r="B388" s="22" t="s">
        <v>824</v>
      </c>
      <c r="C388" s="22" t="n">
        <v>2</v>
      </c>
      <c r="D388" s="22" t="s">
        <v>89</v>
      </c>
      <c r="E388" s="23" t="s">
        <v>825</v>
      </c>
      <c r="F388" s="22" t="s">
        <v>681</v>
      </c>
      <c r="G388" s="22" t="s">
        <v>467</v>
      </c>
      <c r="H388" s="22"/>
      <c r="I388" s="22"/>
      <c r="J388" s="22" t="n">
        <f aca="false">NETWORKDAYS(K388,L388,Assumptions!$F$4:$F$44)</f>
        <v>27</v>
      </c>
      <c r="K388" s="24" t="n">
        <f aca="false">MIN(K389:K394)</f>
        <v>46707</v>
      </c>
      <c r="L388" s="24" t="n">
        <f aca="false">MAX(L389:L394)</f>
        <v>46743</v>
      </c>
      <c r="M388" s="22"/>
      <c r="N388" s="25" t="n">
        <f aca="false">SUMPRODUCT(($C$389:$C$394=3)*(N389:N394))</f>
        <v>0</v>
      </c>
      <c r="O388" s="25" t="n">
        <f aca="false">SUMPRODUCT(($C$389:$C$394=3)*(O389:O394))</f>
        <v>11</v>
      </c>
      <c r="P388" s="25" t="n">
        <f aca="false">SUMPRODUCT(($C$389:$C$394=3)*(P389:P394))</f>
        <v>3</v>
      </c>
      <c r="Q388" s="25" t="n">
        <f aca="false">SUMPRODUCT(($C$389:$C$394=3)*(Q389:Q394))</f>
        <v>24</v>
      </c>
      <c r="R388" s="25" t="n">
        <f aca="false">SUMPRODUCT(($C$389:$C$394=3)*(R389:R394))</f>
        <v>0</v>
      </c>
      <c r="S388" s="25" t="n">
        <f aca="false">SUMPRODUCT(($C$389:$C$394=3)*(S389:S394))</f>
        <v>0</v>
      </c>
      <c r="T388" s="25" t="n">
        <f aca="false">SUMPRODUCT(($C$389:$C$394=3)*(T389:T394))</f>
        <v>0</v>
      </c>
      <c r="U388" s="25" t="n">
        <f aca="false">SUMPRODUCT(($C$389:$C$394=3)*(U389:U394))</f>
        <v>16</v>
      </c>
      <c r="V388" s="25" t="n">
        <f aca="false">SUMPRODUCT(($C$389:$C$394=3)*(V389:V394))</f>
        <v>35</v>
      </c>
      <c r="W388" s="25" t="n">
        <f aca="false">SUMPRODUCT(($C$389:$C$394=3)*(W389:W394))</f>
        <v>12</v>
      </c>
      <c r="X388" s="25" t="n">
        <f aca="false">SUMPRODUCT(($C$389:$C$394=3)*(X389:X394))</f>
        <v>15</v>
      </c>
      <c r="Y388" s="25" t="n">
        <f aca="false">SUM(N388:X388)</f>
        <v>116</v>
      </c>
      <c r="Z388" s="25" t="n">
        <f aca="false">Y388*(1+Assumptions!$C$5)</f>
        <v>133.4</v>
      </c>
      <c r="AA388" s="22"/>
      <c r="AB388" s="22"/>
      <c r="AC388" s="22"/>
      <c r="AD388" s="26"/>
      <c r="AF388" s="21" t="n">
        <v>0</v>
      </c>
      <c r="AG388" s="21" t="n">
        <v>0</v>
      </c>
      <c r="AH388" s="21" t="n">
        <v>0</v>
      </c>
      <c r="AI388" s="21" t="n">
        <v>0</v>
      </c>
      <c r="AJ388" s="21" t="n">
        <v>0</v>
      </c>
      <c r="AK388" s="21" t="n">
        <v>0</v>
      </c>
      <c r="AL388" s="21" t="n">
        <v>0</v>
      </c>
      <c r="AM388" s="21" t="n">
        <v>0</v>
      </c>
      <c r="AN388" s="21" t="n">
        <v>0</v>
      </c>
      <c r="AO388" s="21" t="n">
        <v>0</v>
      </c>
      <c r="AP388" s="21" t="n">
        <v>0</v>
      </c>
      <c r="AQ388" s="21" t="n">
        <v>0</v>
      </c>
      <c r="AR388" s="21" t="n">
        <v>0</v>
      </c>
      <c r="AS388" s="21" t="n">
        <v>0</v>
      </c>
      <c r="AT388" s="21" t="n">
        <v>0</v>
      </c>
      <c r="AU388" s="21" t="n">
        <v>0</v>
      </c>
      <c r="AV388" s="21" t="n">
        <v>0</v>
      </c>
      <c r="AW388" s="21" t="n">
        <v>0</v>
      </c>
      <c r="AX388" s="21" t="n">
        <v>0</v>
      </c>
      <c r="AY388" s="21" t="n">
        <v>0</v>
      </c>
      <c r="AZ388" s="21" t="n">
        <v>0</v>
      </c>
      <c r="BA388" s="21" t="n">
        <v>0</v>
      </c>
      <c r="BB388" s="21" t="n">
        <v>0</v>
      </c>
      <c r="BC388" s="21" t="n">
        <v>0</v>
      </c>
    </row>
    <row r="389" customFormat="false" ht="15" hidden="false" customHeight="false" outlineLevel="2" collapsed="false">
      <c r="A389" s="27" t="n">
        <v>385</v>
      </c>
      <c r="B389" s="27" t="s">
        <v>826</v>
      </c>
      <c r="C389" s="27" t="n">
        <v>3</v>
      </c>
      <c r="D389" s="27" t="s">
        <v>92</v>
      </c>
      <c r="E389" s="28" t="s">
        <v>469</v>
      </c>
      <c r="F389" s="27" t="s">
        <v>681</v>
      </c>
      <c r="G389" s="27" t="s">
        <v>467</v>
      </c>
      <c r="H389" s="27" t="s">
        <v>57</v>
      </c>
      <c r="I389" s="29" t="n">
        <v>271</v>
      </c>
      <c r="J389" s="29" t="n">
        <v>13</v>
      </c>
      <c r="K389" s="30" t="n">
        <f aca="false">WORKDAY(Assumptions!$C$4,I389,Assumptions!$F$4:$F$44)</f>
        <v>46707</v>
      </c>
      <c r="L389" s="30" t="n">
        <f aca="false">IF(J389=0,K389,WORKDAY(K389,J389-1,Assumptions!$F$4:$F$44))</f>
        <v>46723</v>
      </c>
      <c r="M389" s="29" t="s">
        <v>827</v>
      </c>
      <c r="N389" s="31" t="n">
        <v>0</v>
      </c>
      <c r="O389" s="31" t="n">
        <v>4</v>
      </c>
      <c r="P389" s="31" t="n">
        <v>0</v>
      </c>
      <c r="Q389" s="31" t="n">
        <v>6</v>
      </c>
      <c r="R389" s="31" t="n">
        <v>0</v>
      </c>
      <c r="S389" s="31" t="n">
        <v>0</v>
      </c>
      <c r="T389" s="31" t="n">
        <v>0</v>
      </c>
      <c r="U389" s="31" t="n">
        <v>0</v>
      </c>
      <c r="V389" s="31" t="n">
        <v>20</v>
      </c>
      <c r="W389" s="31" t="n">
        <v>0</v>
      </c>
      <c r="X389" s="31" t="n">
        <v>0</v>
      </c>
      <c r="Y389" s="32" t="n">
        <f aca="false">SUM(N389:X389)</f>
        <v>30</v>
      </c>
      <c r="Z389" s="32" t="n">
        <f aca="false">Y389*(1+Assumptions!$C$5)</f>
        <v>34.5</v>
      </c>
      <c r="AA389" s="27" t="s">
        <v>471</v>
      </c>
      <c r="AB389" s="27" t="s">
        <v>95</v>
      </c>
      <c r="AC389" s="27"/>
      <c r="AD389" s="33" t="n">
        <v>0</v>
      </c>
      <c r="AF389" s="21" t="n">
        <f aca="false">IF($J389=0,0,MAX(0,NETWORKDAYS(MAX($K389,AF$4),MIN($L389,EOMONTH(AF$4,0)),Assumptions!$F$4:$F$44))/NETWORKDAYS($K389,$L389,Assumptions!$F$4:$F$44))</f>
        <v>0</v>
      </c>
      <c r="AG389" s="21" t="n">
        <f aca="false">IF($J389=0,0,MAX(0,NETWORKDAYS(MAX($K389,AG$4),MIN($L389,EOMONTH(AG$4,0)),Assumptions!$F$4:$F$44))/NETWORKDAYS($K389,$L389,Assumptions!$F$4:$F$44))</f>
        <v>0</v>
      </c>
      <c r="AH389" s="21" t="n">
        <f aca="false">IF($J389=0,0,MAX(0,NETWORKDAYS(MAX($K389,AH$4),MIN($L389,EOMONTH(AH$4,0)),Assumptions!$F$4:$F$44))/NETWORKDAYS($K389,$L389,Assumptions!$F$4:$F$44))</f>
        <v>0</v>
      </c>
      <c r="AI389" s="21" t="n">
        <f aca="false">IF($J389=0,0,MAX(0,NETWORKDAYS(MAX($K389,AI$4),MIN($L389,EOMONTH(AI$4,0)),Assumptions!$F$4:$F$44))/NETWORKDAYS($K389,$L389,Assumptions!$F$4:$F$44))</f>
        <v>0</v>
      </c>
      <c r="AJ389" s="21" t="n">
        <f aca="false">IF($J389=0,0,MAX(0,NETWORKDAYS(MAX($K389,AJ$4),MIN($L389,EOMONTH(AJ$4,0)),Assumptions!$F$4:$F$44))/NETWORKDAYS($K389,$L389,Assumptions!$F$4:$F$44))</f>
        <v>0</v>
      </c>
      <c r="AK389" s="21" t="n">
        <f aca="false">IF($J389=0,0,MAX(0,NETWORKDAYS(MAX($K389,AK$4),MIN($L389,EOMONTH(AK$4,0)),Assumptions!$F$4:$F$44))/NETWORKDAYS($K389,$L389,Assumptions!$F$4:$F$44))</f>
        <v>0</v>
      </c>
      <c r="AL389" s="21" t="n">
        <f aca="false">IF($J389=0,0,MAX(0,NETWORKDAYS(MAX($K389,AL$4),MIN($L389,EOMONTH(AL$4,0)),Assumptions!$F$4:$F$44))/NETWORKDAYS($K389,$L389,Assumptions!$F$4:$F$44))</f>
        <v>0</v>
      </c>
      <c r="AM389" s="21" t="n">
        <f aca="false">IF($J389=0,0,MAX(0,NETWORKDAYS(MAX($K389,AM$4),MIN($L389,EOMONTH(AM$4,0)),Assumptions!$F$4:$F$44))/NETWORKDAYS($K389,$L389,Assumptions!$F$4:$F$44))</f>
        <v>0</v>
      </c>
      <c r="AN389" s="21" t="n">
        <f aca="false">IF($J389=0,0,MAX(0,NETWORKDAYS(MAX($K389,AN$4),MIN($L389,EOMONTH(AN$4,0)),Assumptions!$F$4:$F$44))/NETWORKDAYS($K389,$L389,Assumptions!$F$4:$F$44))</f>
        <v>0</v>
      </c>
      <c r="AO389" s="21" t="n">
        <f aca="false">IF($J389=0,0,MAX(0,NETWORKDAYS(MAX($K389,AO$4),MIN($L389,EOMONTH(AO$4,0)),Assumptions!$F$4:$F$44))/NETWORKDAYS($K389,$L389,Assumptions!$F$4:$F$44))</f>
        <v>0</v>
      </c>
      <c r="AP389" s="21" t="n">
        <f aca="false">IF($J389=0,0,MAX(0,NETWORKDAYS(MAX($K389,AP$4),MIN($L389,EOMONTH(AP$4,0)),Assumptions!$F$4:$F$44))/NETWORKDAYS($K389,$L389,Assumptions!$F$4:$F$44))</f>
        <v>0</v>
      </c>
      <c r="AQ389" s="21" t="n">
        <f aca="false">IF($J389=0,0,MAX(0,NETWORKDAYS(MAX($K389,AQ$4),MIN($L389,EOMONTH(AQ$4,0)),Assumptions!$F$4:$F$44))/NETWORKDAYS($K389,$L389,Assumptions!$F$4:$F$44))</f>
        <v>0</v>
      </c>
      <c r="AR389" s="21" t="n">
        <f aca="false">IF($J389=0,0,MAX(0,NETWORKDAYS(MAX($K389,AR$4),MIN($L389,EOMONTH(AR$4,0)),Assumptions!$F$4:$F$44))/NETWORKDAYS($K389,$L389,Assumptions!$F$4:$F$44))</f>
        <v>0.846153846153846</v>
      </c>
      <c r="AS389" s="21" t="n">
        <f aca="false">IF($J389=0,0,MAX(0,NETWORKDAYS(MAX($K389,AS$4),MIN($L389,EOMONTH(AS$4,0)),Assumptions!$F$4:$F$44))/NETWORKDAYS($K389,$L389,Assumptions!$F$4:$F$44))</f>
        <v>0.153846153846154</v>
      </c>
      <c r="AT389" s="21" t="n">
        <f aca="false">IF($J389=0,0,MAX(0,NETWORKDAYS(MAX($K389,AT$4),MIN($L389,EOMONTH(AT$4,0)),Assumptions!$F$4:$F$44))/NETWORKDAYS($K389,$L389,Assumptions!$F$4:$F$44))</f>
        <v>0</v>
      </c>
      <c r="AU389" s="21" t="n">
        <f aca="false">IF($J389=0,0,MAX(0,NETWORKDAYS(MAX($K389,AU$4),MIN($L389,EOMONTH(AU$4,0)),Assumptions!$F$4:$F$44))/NETWORKDAYS($K389,$L389,Assumptions!$F$4:$F$44))</f>
        <v>0</v>
      </c>
      <c r="AV389" s="21" t="n">
        <f aca="false">IF($J389=0,0,MAX(0,NETWORKDAYS(MAX($K389,AV$4),MIN($L389,EOMONTH(AV$4,0)),Assumptions!$F$4:$F$44))/NETWORKDAYS($K389,$L389,Assumptions!$F$4:$F$44))</f>
        <v>0</v>
      </c>
      <c r="AW389" s="21" t="n">
        <f aca="false">IF($J389=0,0,MAX(0,NETWORKDAYS(MAX($K389,AW$4),MIN($L389,EOMONTH(AW$4,0)),Assumptions!$F$4:$F$44))/NETWORKDAYS($K389,$L389,Assumptions!$F$4:$F$44))</f>
        <v>0</v>
      </c>
      <c r="AX389" s="21" t="n">
        <f aca="false">IF($J389=0,0,MAX(0,NETWORKDAYS(MAX($K389,AX$4),MIN($L389,EOMONTH(AX$4,0)),Assumptions!$F$4:$F$44))/NETWORKDAYS($K389,$L389,Assumptions!$F$4:$F$44))</f>
        <v>0</v>
      </c>
      <c r="AY389" s="21" t="n">
        <f aca="false">IF($J389=0,0,MAX(0,NETWORKDAYS(MAX($K389,AY$4),MIN($L389,EOMONTH(AY$4,0)),Assumptions!$F$4:$F$44))/NETWORKDAYS($K389,$L389,Assumptions!$F$4:$F$44))</f>
        <v>0</v>
      </c>
      <c r="AZ389" s="21" t="n">
        <f aca="false">IF($J389=0,0,MAX(0,NETWORKDAYS(MAX($K389,AZ$4),MIN($L389,EOMONTH(AZ$4,0)),Assumptions!$F$4:$F$44))/NETWORKDAYS($K389,$L389,Assumptions!$F$4:$F$44))</f>
        <v>0</v>
      </c>
      <c r="BA389" s="21" t="n">
        <f aca="false">IF($J389=0,0,MAX(0,NETWORKDAYS(MAX($K389,BA$4),MIN($L389,EOMONTH(BA$4,0)),Assumptions!$F$4:$F$44))/NETWORKDAYS($K389,$L389,Assumptions!$F$4:$F$44))</f>
        <v>0</v>
      </c>
      <c r="BB389" s="21" t="n">
        <f aca="false">IF($J389=0,0,MAX(0,NETWORKDAYS(MAX($K389,BB$4),MIN($L389,EOMONTH(BB$4,0)),Assumptions!$F$4:$F$44))/NETWORKDAYS($K389,$L389,Assumptions!$F$4:$F$44))</f>
        <v>0</v>
      </c>
      <c r="BC389" s="21" t="n">
        <f aca="false">IF($J389=0,0,MAX(0,NETWORKDAYS(MAX($K389,BC$4),MIN($L389,EOMONTH(BC$4,0)),Assumptions!$F$4:$F$44))/NETWORKDAYS($K389,$L389,Assumptions!$F$4:$F$44))</f>
        <v>0</v>
      </c>
    </row>
    <row r="390" customFormat="false" ht="15" hidden="false" customHeight="false" outlineLevel="2" collapsed="false">
      <c r="A390" s="27" t="n">
        <v>386</v>
      </c>
      <c r="B390" s="27" t="s">
        <v>828</v>
      </c>
      <c r="C390" s="27" t="n">
        <v>3</v>
      </c>
      <c r="D390" s="27" t="s">
        <v>92</v>
      </c>
      <c r="E390" s="28" t="s">
        <v>473</v>
      </c>
      <c r="F390" s="27" t="s">
        <v>681</v>
      </c>
      <c r="G390" s="27" t="s">
        <v>467</v>
      </c>
      <c r="H390" s="27" t="s">
        <v>57</v>
      </c>
      <c r="I390" s="29" t="n">
        <v>275</v>
      </c>
      <c r="J390" s="29" t="n">
        <v>9</v>
      </c>
      <c r="K390" s="30" t="n">
        <f aca="false">WORKDAY(Assumptions!$C$4,I390,Assumptions!$F$4:$F$44)</f>
        <v>46713</v>
      </c>
      <c r="L390" s="30" t="n">
        <f aca="false">IF(J390=0,K390,WORKDAY(K390,J390-1,Assumptions!$F$4:$F$44))</f>
        <v>46723</v>
      </c>
      <c r="M390" s="29"/>
      <c r="N390" s="31" t="n">
        <v>0</v>
      </c>
      <c r="O390" s="31" t="n">
        <v>0</v>
      </c>
      <c r="P390" s="31" t="n">
        <v>0</v>
      </c>
      <c r="Q390" s="31" t="n">
        <v>4</v>
      </c>
      <c r="R390" s="31" t="n">
        <v>0</v>
      </c>
      <c r="S390" s="31" t="n">
        <v>0</v>
      </c>
      <c r="T390" s="31" t="n">
        <v>0</v>
      </c>
      <c r="U390" s="31" t="n">
        <v>4</v>
      </c>
      <c r="V390" s="31" t="n">
        <v>8</v>
      </c>
      <c r="W390" s="31" t="n">
        <v>0</v>
      </c>
      <c r="X390" s="31" t="n">
        <v>0</v>
      </c>
      <c r="Y390" s="32" t="n">
        <f aca="false">SUM(N390:X390)</f>
        <v>16</v>
      </c>
      <c r="Z390" s="32" t="n">
        <f aca="false">Y390*(1+Assumptions!$C$5)</f>
        <v>18.4</v>
      </c>
      <c r="AA390" s="27" t="s">
        <v>474</v>
      </c>
      <c r="AB390" s="27" t="s">
        <v>95</v>
      </c>
      <c r="AC390" s="27"/>
      <c r="AD390" s="33" t="n">
        <v>0</v>
      </c>
      <c r="AF390" s="21" t="n">
        <f aca="false">IF($J390=0,0,MAX(0,NETWORKDAYS(MAX($K390,AF$4),MIN($L390,EOMONTH(AF$4,0)),Assumptions!$F$4:$F$44))/NETWORKDAYS($K390,$L390,Assumptions!$F$4:$F$44))</f>
        <v>0</v>
      </c>
      <c r="AG390" s="21" t="n">
        <f aca="false">IF($J390=0,0,MAX(0,NETWORKDAYS(MAX($K390,AG$4),MIN($L390,EOMONTH(AG$4,0)),Assumptions!$F$4:$F$44))/NETWORKDAYS($K390,$L390,Assumptions!$F$4:$F$44))</f>
        <v>0</v>
      </c>
      <c r="AH390" s="21" t="n">
        <f aca="false">IF($J390=0,0,MAX(0,NETWORKDAYS(MAX($K390,AH$4),MIN($L390,EOMONTH(AH$4,0)),Assumptions!$F$4:$F$44))/NETWORKDAYS($K390,$L390,Assumptions!$F$4:$F$44))</f>
        <v>0</v>
      </c>
      <c r="AI390" s="21" t="n">
        <f aca="false">IF($J390=0,0,MAX(0,NETWORKDAYS(MAX($K390,AI$4),MIN($L390,EOMONTH(AI$4,0)),Assumptions!$F$4:$F$44))/NETWORKDAYS($K390,$L390,Assumptions!$F$4:$F$44))</f>
        <v>0</v>
      </c>
      <c r="AJ390" s="21" t="n">
        <f aca="false">IF($J390=0,0,MAX(0,NETWORKDAYS(MAX($K390,AJ$4),MIN($L390,EOMONTH(AJ$4,0)),Assumptions!$F$4:$F$44))/NETWORKDAYS($K390,$L390,Assumptions!$F$4:$F$44))</f>
        <v>0</v>
      </c>
      <c r="AK390" s="21" t="n">
        <f aca="false">IF($J390=0,0,MAX(0,NETWORKDAYS(MAX($K390,AK$4),MIN($L390,EOMONTH(AK$4,0)),Assumptions!$F$4:$F$44))/NETWORKDAYS($K390,$L390,Assumptions!$F$4:$F$44))</f>
        <v>0</v>
      </c>
      <c r="AL390" s="21" t="n">
        <f aca="false">IF($J390=0,0,MAX(0,NETWORKDAYS(MAX($K390,AL$4),MIN($L390,EOMONTH(AL$4,0)),Assumptions!$F$4:$F$44))/NETWORKDAYS($K390,$L390,Assumptions!$F$4:$F$44))</f>
        <v>0</v>
      </c>
      <c r="AM390" s="21" t="n">
        <f aca="false">IF($J390=0,0,MAX(0,NETWORKDAYS(MAX($K390,AM$4),MIN($L390,EOMONTH(AM$4,0)),Assumptions!$F$4:$F$44))/NETWORKDAYS($K390,$L390,Assumptions!$F$4:$F$44))</f>
        <v>0</v>
      </c>
      <c r="AN390" s="21" t="n">
        <f aca="false">IF($J390=0,0,MAX(0,NETWORKDAYS(MAX($K390,AN$4),MIN($L390,EOMONTH(AN$4,0)),Assumptions!$F$4:$F$44))/NETWORKDAYS($K390,$L390,Assumptions!$F$4:$F$44))</f>
        <v>0</v>
      </c>
      <c r="AO390" s="21" t="n">
        <f aca="false">IF($J390=0,0,MAX(0,NETWORKDAYS(MAX($K390,AO$4),MIN($L390,EOMONTH(AO$4,0)),Assumptions!$F$4:$F$44))/NETWORKDAYS($K390,$L390,Assumptions!$F$4:$F$44))</f>
        <v>0</v>
      </c>
      <c r="AP390" s="21" t="n">
        <f aca="false">IF($J390=0,0,MAX(0,NETWORKDAYS(MAX($K390,AP$4),MIN($L390,EOMONTH(AP$4,0)),Assumptions!$F$4:$F$44))/NETWORKDAYS($K390,$L390,Assumptions!$F$4:$F$44))</f>
        <v>0</v>
      </c>
      <c r="AQ390" s="21" t="n">
        <f aca="false">IF($J390=0,0,MAX(0,NETWORKDAYS(MAX($K390,AQ$4),MIN($L390,EOMONTH(AQ$4,0)),Assumptions!$F$4:$F$44))/NETWORKDAYS($K390,$L390,Assumptions!$F$4:$F$44))</f>
        <v>0</v>
      </c>
      <c r="AR390" s="21" t="n">
        <f aca="false">IF($J390=0,0,MAX(0,NETWORKDAYS(MAX($K390,AR$4),MIN($L390,EOMONTH(AR$4,0)),Assumptions!$F$4:$F$44))/NETWORKDAYS($K390,$L390,Assumptions!$F$4:$F$44))</f>
        <v>0.777777777777778</v>
      </c>
      <c r="AS390" s="21" t="n">
        <f aca="false">IF($J390=0,0,MAX(0,NETWORKDAYS(MAX($K390,AS$4),MIN($L390,EOMONTH(AS$4,0)),Assumptions!$F$4:$F$44))/NETWORKDAYS($K390,$L390,Assumptions!$F$4:$F$44))</f>
        <v>0.222222222222222</v>
      </c>
      <c r="AT390" s="21" t="n">
        <f aca="false">IF($J390=0,0,MAX(0,NETWORKDAYS(MAX($K390,AT$4),MIN($L390,EOMONTH(AT$4,0)),Assumptions!$F$4:$F$44))/NETWORKDAYS($K390,$L390,Assumptions!$F$4:$F$44))</f>
        <v>0</v>
      </c>
      <c r="AU390" s="21" t="n">
        <f aca="false">IF($J390=0,0,MAX(0,NETWORKDAYS(MAX($K390,AU$4),MIN($L390,EOMONTH(AU$4,0)),Assumptions!$F$4:$F$44))/NETWORKDAYS($K390,$L390,Assumptions!$F$4:$F$44))</f>
        <v>0</v>
      </c>
      <c r="AV390" s="21" t="n">
        <f aca="false">IF($J390=0,0,MAX(0,NETWORKDAYS(MAX($K390,AV$4),MIN($L390,EOMONTH(AV$4,0)),Assumptions!$F$4:$F$44))/NETWORKDAYS($K390,$L390,Assumptions!$F$4:$F$44))</f>
        <v>0</v>
      </c>
      <c r="AW390" s="21" t="n">
        <f aca="false">IF($J390=0,0,MAX(0,NETWORKDAYS(MAX($K390,AW$4),MIN($L390,EOMONTH(AW$4,0)),Assumptions!$F$4:$F$44))/NETWORKDAYS($K390,$L390,Assumptions!$F$4:$F$44))</f>
        <v>0</v>
      </c>
      <c r="AX390" s="21" t="n">
        <f aca="false">IF($J390=0,0,MAX(0,NETWORKDAYS(MAX($K390,AX$4),MIN($L390,EOMONTH(AX$4,0)),Assumptions!$F$4:$F$44))/NETWORKDAYS($K390,$L390,Assumptions!$F$4:$F$44))</f>
        <v>0</v>
      </c>
      <c r="AY390" s="21" t="n">
        <f aca="false">IF($J390=0,0,MAX(0,NETWORKDAYS(MAX($K390,AY$4),MIN($L390,EOMONTH(AY$4,0)),Assumptions!$F$4:$F$44))/NETWORKDAYS($K390,$L390,Assumptions!$F$4:$F$44))</f>
        <v>0</v>
      </c>
      <c r="AZ390" s="21" t="n">
        <f aca="false">IF($J390=0,0,MAX(0,NETWORKDAYS(MAX($K390,AZ$4),MIN($L390,EOMONTH(AZ$4,0)),Assumptions!$F$4:$F$44))/NETWORKDAYS($K390,$L390,Assumptions!$F$4:$F$44))</f>
        <v>0</v>
      </c>
      <c r="BA390" s="21" t="n">
        <f aca="false">IF($J390=0,0,MAX(0,NETWORKDAYS(MAX($K390,BA$4),MIN($L390,EOMONTH(BA$4,0)),Assumptions!$F$4:$F$44))/NETWORKDAYS($K390,$L390,Assumptions!$F$4:$F$44))</f>
        <v>0</v>
      </c>
      <c r="BB390" s="21" t="n">
        <f aca="false">IF($J390=0,0,MAX(0,NETWORKDAYS(MAX($K390,BB$4),MIN($L390,EOMONTH(BB$4,0)),Assumptions!$F$4:$F$44))/NETWORKDAYS($K390,$L390,Assumptions!$F$4:$F$44))</f>
        <v>0</v>
      </c>
      <c r="BC390" s="21" t="n">
        <f aca="false">IF($J390=0,0,MAX(0,NETWORKDAYS(MAX($K390,BC$4),MIN($L390,EOMONTH(BC$4,0)),Assumptions!$F$4:$F$44))/NETWORKDAYS($K390,$L390,Assumptions!$F$4:$F$44))</f>
        <v>0</v>
      </c>
    </row>
    <row r="391" customFormat="false" ht="15" hidden="false" customHeight="false" outlineLevel="2" collapsed="false">
      <c r="A391" s="27" t="n">
        <v>387</v>
      </c>
      <c r="B391" s="27" t="s">
        <v>829</v>
      </c>
      <c r="C391" s="27" t="n">
        <v>3</v>
      </c>
      <c r="D391" s="27" t="s">
        <v>92</v>
      </c>
      <c r="E391" s="28" t="s">
        <v>476</v>
      </c>
      <c r="F391" s="27" t="s">
        <v>681</v>
      </c>
      <c r="G391" s="27" t="s">
        <v>467</v>
      </c>
      <c r="H391" s="27" t="s">
        <v>57</v>
      </c>
      <c r="I391" s="29" t="n">
        <v>279</v>
      </c>
      <c r="J391" s="29" t="n">
        <v>13</v>
      </c>
      <c r="K391" s="30" t="n">
        <f aca="false">WORKDAY(Assumptions!$C$4,I391,Assumptions!$F$4:$F$44)</f>
        <v>46717</v>
      </c>
      <c r="L391" s="30" t="n">
        <f aca="false">IF(J391=0,K391,WORKDAY(K391,J391-1,Assumptions!$F$4:$F$44))</f>
        <v>46735</v>
      </c>
      <c r="M391" s="29"/>
      <c r="N391" s="31" t="n">
        <v>0</v>
      </c>
      <c r="O391" s="31" t="n">
        <v>0</v>
      </c>
      <c r="P391" s="31" t="n">
        <v>3</v>
      </c>
      <c r="Q391" s="31" t="n">
        <v>10</v>
      </c>
      <c r="R391" s="31" t="n">
        <v>0</v>
      </c>
      <c r="S391" s="31" t="n">
        <v>0</v>
      </c>
      <c r="T391" s="31" t="n">
        <v>0</v>
      </c>
      <c r="U391" s="31" t="n">
        <v>4</v>
      </c>
      <c r="V391" s="31" t="n">
        <v>4</v>
      </c>
      <c r="W391" s="31" t="n">
        <v>0</v>
      </c>
      <c r="X391" s="31" t="n">
        <v>0</v>
      </c>
      <c r="Y391" s="32" t="n">
        <f aca="false">SUM(N391:X391)</f>
        <v>21</v>
      </c>
      <c r="Z391" s="32" t="n">
        <f aca="false">Y391*(1+Assumptions!$C$5)</f>
        <v>24.15</v>
      </c>
      <c r="AA391" s="27" t="s">
        <v>477</v>
      </c>
      <c r="AB391" s="27" t="s">
        <v>95</v>
      </c>
      <c r="AC391" s="27"/>
      <c r="AD391" s="33" t="n">
        <v>0</v>
      </c>
      <c r="AF391" s="21" t="n">
        <f aca="false">IF($J391=0,0,MAX(0,NETWORKDAYS(MAX($K391,AF$4),MIN($L391,EOMONTH(AF$4,0)),Assumptions!$F$4:$F$44))/NETWORKDAYS($K391,$L391,Assumptions!$F$4:$F$44))</f>
        <v>0</v>
      </c>
      <c r="AG391" s="21" t="n">
        <f aca="false">IF($J391=0,0,MAX(0,NETWORKDAYS(MAX($K391,AG$4),MIN($L391,EOMONTH(AG$4,0)),Assumptions!$F$4:$F$44))/NETWORKDAYS($K391,$L391,Assumptions!$F$4:$F$44))</f>
        <v>0</v>
      </c>
      <c r="AH391" s="21" t="n">
        <f aca="false">IF($J391=0,0,MAX(0,NETWORKDAYS(MAX($K391,AH$4),MIN($L391,EOMONTH(AH$4,0)),Assumptions!$F$4:$F$44))/NETWORKDAYS($K391,$L391,Assumptions!$F$4:$F$44))</f>
        <v>0</v>
      </c>
      <c r="AI391" s="21" t="n">
        <f aca="false">IF($J391=0,0,MAX(0,NETWORKDAYS(MAX($K391,AI$4),MIN($L391,EOMONTH(AI$4,0)),Assumptions!$F$4:$F$44))/NETWORKDAYS($K391,$L391,Assumptions!$F$4:$F$44))</f>
        <v>0</v>
      </c>
      <c r="AJ391" s="21" t="n">
        <f aca="false">IF($J391=0,0,MAX(0,NETWORKDAYS(MAX($K391,AJ$4),MIN($L391,EOMONTH(AJ$4,0)),Assumptions!$F$4:$F$44))/NETWORKDAYS($K391,$L391,Assumptions!$F$4:$F$44))</f>
        <v>0</v>
      </c>
      <c r="AK391" s="21" t="n">
        <f aca="false">IF($J391=0,0,MAX(0,NETWORKDAYS(MAX($K391,AK$4),MIN($L391,EOMONTH(AK$4,0)),Assumptions!$F$4:$F$44))/NETWORKDAYS($K391,$L391,Assumptions!$F$4:$F$44))</f>
        <v>0</v>
      </c>
      <c r="AL391" s="21" t="n">
        <f aca="false">IF($J391=0,0,MAX(0,NETWORKDAYS(MAX($K391,AL$4),MIN($L391,EOMONTH(AL$4,0)),Assumptions!$F$4:$F$44))/NETWORKDAYS($K391,$L391,Assumptions!$F$4:$F$44))</f>
        <v>0</v>
      </c>
      <c r="AM391" s="21" t="n">
        <f aca="false">IF($J391=0,0,MAX(0,NETWORKDAYS(MAX($K391,AM$4),MIN($L391,EOMONTH(AM$4,0)),Assumptions!$F$4:$F$44))/NETWORKDAYS($K391,$L391,Assumptions!$F$4:$F$44))</f>
        <v>0</v>
      </c>
      <c r="AN391" s="21" t="n">
        <f aca="false">IF($J391=0,0,MAX(0,NETWORKDAYS(MAX($K391,AN$4),MIN($L391,EOMONTH(AN$4,0)),Assumptions!$F$4:$F$44))/NETWORKDAYS($K391,$L391,Assumptions!$F$4:$F$44))</f>
        <v>0</v>
      </c>
      <c r="AO391" s="21" t="n">
        <f aca="false">IF($J391=0,0,MAX(0,NETWORKDAYS(MAX($K391,AO$4),MIN($L391,EOMONTH(AO$4,0)),Assumptions!$F$4:$F$44))/NETWORKDAYS($K391,$L391,Assumptions!$F$4:$F$44))</f>
        <v>0</v>
      </c>
      <c r="AP391" s="21" t="n">
        <f aca="false">IF($J391=0,0,MAX(0,NETWORKDAYS(MAX($K391,AP$4),MIN($L391,EOMONTH(AP$4,0)),Assumptions!$F$4:$F$44))/NETWORKDAYS($K391,$L391,Assumptions!$F$4:$F$44))</f>
        <v>0</v>
      </c>
      <c r="AQ391" s="21" t="n">
        <f aca="false">IF($J391=0,0,MAX(0,NETWORKDAYS(MAX($K391,AQ$4),MIN($L391,EOMONTH(AQ$4,0)),Assumptions!$F$4:$F$44))/NETWORKDAYS($K391,$L391,Assumptions!$F$4:$F$44))</f>
        <v>0</v>
      </c>
      <c r="AR391" s="21" t="n">
        <f aca="false">IF($J391=0,0,MAX(0,NETWORKDAYS(MAX($K391,AR$4),MIN($L391,EOMONTH(AR$4,0)),Assumptions!$F$4:$F$44))/NETWORKDAYS($K391,$L391,Assumptions!$F$4:$F$44))</f>
        <v>0.230769230769231</v>
      </c>
      <c r="AS391" s="21" t="n">
        <f aca="false">IF($J391=0,0,MAX(0,NETWORKDAYS(MAX($K391,AS$4),MIN($L391,EOMONTH(AS$4,0)),Assumptions!$F$4:$F$44))/NETWORKDAYS($K391,$L391,Assumptions!$F$4:$F$44))</f>
        <v>0.769230769230769</v>
      </c>
      <c r="AT391" s="21" t="n">
        <f aca="false">IF($J391=0,0,MAX(0,NETWORKDAYS(MAX($K391,AT$4),MIN($L391,EOMONTH(AT$4,0)),Assumptions!$F$4:$F$44))/NETWORKDAYS($K391,$L391,Assumptions!$F$4:$F$44))</f>
        <v>0</v>
      </c>
      <c r="AU391" s="21" t="n">
        <f aca="false">IF($J391=0,0,MAX(0,NETWORKDAYS(MAX($K391,AU$4),MIN($L391,EOMONTH(AU$4,0)),Assumptions!$F$4:$F$44))/NETWORKDAYS($K391,$L391,Assumptions!$F$4:$F$44))</f>
        <v>0</v>
      </c>
      <c r="AV391" s="21" t="n">
        <f aca="false">IF($J391=0,0,MAX(0,NETWORKDAYS(MAX($K391,AV$4),MIN($L391,EOMONTH(AV$4,0)),Assumptions!$F$4:$F$44))/NETWORKDAYS($K391,$L391,Assumptions!$F$4:$F$44))</f>
        <v>0</v>
      </c>
      <c r="AW391" s="21" t="n">
        <f aca="false">IF($J391=0,0,MAX(0,NETWORKDAYS(MAX($K391,AW$4),MIN($L391,EOMONTH(AW$4,0)),Assumptions!$F$4:$F$44))/NETWORKDAYS($K391,$L391,Assumptions!$F$4:$F$44))</f>
        <v>0</v>
      </c>
      <c r="AX391" s="21" t="n">
        <f aca="false">IF($J391=0,0,MAX(0,NETWORKDAYS(MAX($K391,AX$4),MIN($L391,EOMONTH(AX$4,0)),Assumptions!$F$4:$F$44))/NETWORKDAYS($K391,$L391,Assumptions!$F$4:$F$44))</f>
        <v>0</v>
      </c>
      <c r="AY391" s="21" t="n">
        <f aca="false">IF($J391=0,0,MAX(0,NETWORKDAYS(MAX($K391,AY$4),MIN($L391,EOMONTH(AY$4,0)),Assumptions!$F$4:$F$44))/NETWORKDAYS($K391,$L391,Assumptions!$F$4:$F$44))</f>
        <v>0</v>
      </c>
      <c r="AZ391" s="21" t="n">
        <f aca="false">IF($J391=0,0,MAX(0,NETWORKDAYS(MAX($K391,AZ$4),MIN($L391,EOMONTH(AZ$4,0)),Assumptions!$F$4:$F$44))/NETWORKDAYS($K391,$L391,Assumptions!$F$4:$F$44))</f>
        <v>0</v>
      </c>
      <c r="BA391" s="21" t="n">
        <f aca="false">IF($J391=0,0,MAX(0,NETWORKDAYS(MAX($K391,BA$4),MIN($L391,EOMONTH(BA$4,0)),Assumptions!$F$4:$F$44))/NETWORKDAYS($K391,$L391,Assumptions!$F$4:$F$44))</f>
        <v>0</v>
      </c>
      <c r="BB391" s="21" t="n">
        <f aca="false">IF($J391=0,0,MAX(0,NETWORKDAYS(MAX($K391,BB$4),MIN($L391,EOMONTH(BB$4,0)),Assumptions!$F$4:$F$44))/NETWORKDAYS($K391,$L391,Assumptions!$F$4:$F$44))</f>
        <v>0</v>
      </c>
      <c r="BC391" s="21" t="n">
        <f aca="false">IF($J391=0,0,MAX(0,NETWORKDAYS(MAX($K391,BC$4),MIN($L391,EOMONTH(BC$4,0)),Assumptions!$F$4:$F$44))/NETWORKDAYS($K391,$L391,Assumptions!$F$4:$F$44))</f>
        <v>0</v>
      </c>
    </row>
    <row r="392" customFormat="false" ht="15" hidden="false" customHeight="false" outlineLevel="2" collapsed="false">
      <c r="A392" s="27" t="n">
        <v>388</v>
      </c>
      <c r="B392" s="27" t="s">
        <v>830</v>
      </c>
      <c r="C392" s="27" t="n">
        <v>3</v>
      </c>
      <c r="D392" s="27" t="s">
        <v>92</v>
      </c>
      <c r="E392" s="28" t="s">
        <v>479</v>
      </c>
      <c r="F392" s="27" t="s">
        <v>681</v>
      </c>
      <c r="G392" s="27" t="s">
        <v>467</v>
      </c>
      <c r="H392" s="27" t="s">
        <v>61</v>
      </c>
      <c r="I392" s="29" t="n">
        <v>284</v>
      </c>
      <c r="J392" s="29" t="n">
        <v>13</v>
      </c>
      <c r="K392" s="30" t="n">
        <f aca="false">WORKDAY(Assumptions!$C$4,I392,Assumptions!$F$4:$F$44)</f>
        <v>46724</v>
      </c>
      <c r="L392" s="30" t="n">
        <f aca="false">IF(J392=0,K392,WORKDAY(K392,J392-1,Assumptions!$F$4:$F$44))</f>
        <v>46742</v>
      </c>
      <c r="M392" s="29"/>
      <c r="N392" s="31" t="n">
        <v>0</v>
      </c>
      <c r="O392" s="31" t="n">
        <v>5</v>
      </c>
      <c r="P392" s="31" t="n">
        <v>0</v>
      </c>
      <c r="Q392" s="31" t="n">
        <v>0</v>
      </c>
      <c r="R392" s="31" t="n">
        <v>0</v>
      </c>
      <c r="S392" s="31" t="n">
        <v>0</v>
      </c>
      <c r="T392" s="31" t="n">
        <v>0</v>
      </c>
      <c r="U392" s="31" t="n">
        <v>0</v>
      </c>
      <c r="V392" s="31" t="n">
        <v>0</v>
      </c>
      <c r="W392" s="31" t="n">
        <v>0</v>
      </c>
      <c r="X392" s="31" t="n">
        <v>15</v>
      </c>
      <c r="Y392" s="32" t="n">
        <f aca="false">SUM(N392:X392)</f>
        <v>20</v>
      </c>
      <c r="Z392" s="32" t="n">
        <f aca="false">Y392*(1+Assumptions!$C$5)</f>
        <v>23</v>
      </c>
      <c r="AA392" s="27" t="s">
        <v>480</v>
      </c>
      <c r="AB392" s="27" t="s">
        <v>95</v>
      </c>
      <c r="AC392" s="27"/>
      <c r="AD392" s="33" t="n">
        <v>0</v>
      </c>
      <c r="AF392" s="21" t="n">
        <f aca="false">IF($J392=0,0,MAX(0,NETWORKDAYS(MAX($K392,AF$4),MIN($L392,EOMONTH(AF$4,0)),Assumptions!$F$4:$F$44))/NETWORKDAYS($K392,$L392,Assumptions!$F$4:$F$44))</f>
        <v>0</v>
      </c>
      <c r="AG392" s="21" t="n">
        <f aca="false">IF($J392=0,0,MAX(0,NETWORKDAYS(MAX($K392,AG$4),MIN($L392,EOMONTH(AG$4,0)),Assumptions!$F$4:$F$44))/NETWORKDAYS($K392,$L392,Assumptions!$F$4:$F$44))</f>
        <v>0</v>
      </c>
      <c r="AH392" s="21" t="n">
        <f aca="false">IF($J392=0,0,MAX(0,NETWORKDAYS(MAX($K392,AH$4),MIN($L392,EOMONTH(AH$4,0)),Assumptions!$F$4:$F$44))/NETWORKDAYS($K392,$L392,Assumptions!$F$4:$F$44))</f>
        <v>0</v>
      </c>
      <c r="AI392" s="21" t="n">
        <f aca="false">IF($J392=0,0,MAX(0,NETWORKDAYS(MAX($K392,AI$4),MIN($L392,EOMONTH(AI$4,0)),Assumptions!$F$4:$F$44))/NETWORKDAYS($K392,$L392,Assumptions!$F$4:$F$44))</f>
        <v>0</v>
      </c>
      <c r="AJ392" s="21" t="n">
        <f aca="false">IF($J392=0,0,MAX(0,NETWORKDAYS(MAX($K392,AJ$4),MIN($L392,EOMONTH(AJ$4,0)),Assumptions!$F$4:$F$44))/NETWORKDAYS($K392,$L392,Assumptions!$F$4:$F$44))</f>
        <v>0</v>
      </c>
      <c r="AK392" s="21" t="n">
        <f aca="false">IF($J392=0,0,MAX(0,NETWORKDAYS(MAX($K392,AK$4),MIN($L392,EOMONTH(AK$4,0)),Assumptions!$F$4:$F$44))/NETWORKDAYS($K392,$L392,Assumptions!$F$4:$F$44))</f>
        <v>0</v>
      </c>
      <c r="AL392" s="21" t="n">
        <f aca="false">IF($J392=0,0,MAX(0,NETWORKDAYS(MAX($K392,AL$4),MIN($L392,EOMONTH(AL$4,0)),Assumptions!$F$4:$F$44))/NETWORKDAYS($K392,$L392,Assumptions!$F$4:$F$44))</f>
        <v>0</v>
      </c>
      <c r="AM392" s="21" t="n">
        <f aca="false">IF($J392=0,0,MAX(0,NETWORKDAYS(MAX($K392,AM$4),MIN($L392,EOMONTH(AM$4,0)),Assumptions!$F$4:$F$44))/NETWORKDAYS($K392,$L392,Assumptions!$F$4:$F$44))</f>
        <v>0</v>
      </c>
      <c r="AN392" s="21" t="n">
        <f aca="false">IF($J392=0,0,MAX(0,NETWORKDAYS(MAX($K392,AN$4),MIN($L392,EOMONTH(AN$4,0)),Assumptions!$F$4:$F$44))/NETWORKDAYS($K392,$L392,Assumptions!$F$4:$F$44))</f>
        <v>0</v>
      </c>
      <c r="AO392" s="21" t="n">
        <f aca="false">IF($J392=0,0,MAX(0,NETWORKDAYS(MAX($K392,AO$4),MIN($L392,EOMONTH(AO$4,0)),Assumptions!$F$4:$F$44))/NETWORKDAYS($K392,$L392,Assumptions!$F$4:$F$44))</f>
        <v>0</v>
      </c>
      <c r="AP392" s="21" t="n">
        <f aca="false">IF($J392=0,0,MAX(0,NETWORKDAYS(MAX($K392,AP$4),MIN($L392,EOMONTH(AP$4,0)),Assumptions!$F$4:$F$44))/NETWORKDAYS($K392,$L392,Assumptions!$F$4:$F$44))</f>
        <v>0</v>
      </c>
      <c r="AQ392" s="21" t="n">
        <f aca="false">IF($J392=0,0,MAX(0,NETWORKDAYS(MAX($K392,AQ$4),MIN($L392,EOMONTH(AQ$4,0)),Assumptions!$F$4:$F$44))/NETWORKDAYS($K392,$L392,Assumptions!$F$4:$F$44))</f>
        <v>0</v>
      </c>
      <c r="AR392" s="21" t="n">
        <f aca="false">IF($J392=0,0,MAX(0,NETWORKDAYS(MAX($K392,AR$4),MIN($L392,EOMONTH(AR$4,0)),Assumptions!$F$4:$F$44))/NETWORKDAYS($K392,$L392,Assumptions!$F$4:$F$44))</f>
        <v>0</v>
      </c>
      <c r="AS392" s="21" t="n">
        <f aca="false">IF($J392=0,0,MAX(0,NETWORKDAYS(MAX($K392,AS$4),MIN($L392,EOMONTH(AS$4,0)),Assumptions!$F$4:$F$44))/NETWORKDAYS($K392,$L392,Assumptions!$F$4:$F$44))</f>
        <v>1</v>
      </c>
      <c r="AT392" s="21" t="n">
        <f aca="false">IF($J392=0,0,MAX(0,NETWORKDAYS(MAX($K392,AT$4),MIN($L392,EOMONTH(AT$4,0)),Assumptions!$F$4:$F$44))/NETWORKDAYS($K392,$L392,Assumptions!$F$4:$F$44))</f>
        <v>0</v>
      </c>
      <c r="AU392" s="21" t="n">
        <f aca="false">IF($J392=0,0,MAX(0,NETWORKDAYS(MAX($K392,AU$4),MIN($L392,EOMONTH(AU$4,0)),Assumptions!$F$4:$F$44))/NETWORKDAYS($K392,$L392,Assumptions!$F$4:$F$44))</f>
        <v>0</v>
      </c>
      <c r="AV392" s="21" t="n">
        <f aca="false">IF($J392=0,0,MAX(0,NETWORKDAYS(MAX($K392,AV$4),MIN($L392,EOMONTH(AV$4,0)),Assumptions!$F$4:$F$44))/NETWORKDAYS($K392,$L392,Assumptions!$F$4:$F$44))</f>
        <v>0</v>
      </c>
      <c r="AW392" s="21" t="n">
        <f aca="false">IF($J392=0,0,MAX(0,NETWORKDAYS(MAX($K392,AW$4),MIN($L392,EOMONTH(AW$4,0)),Assumptions!$F$4:$F$44))/NETWORKDAYS($K392,$L392,Assumptions!$F$4:$F$44))</f>
        <v>0</v>
      </c>
      <c r="AX392" s="21" t="n">
        <f aca="false">IF($J392=0,0,MAX(0,NETWORKDAYS(MAX($K392,AX$4),MIN($L392,EOMONTH(AX$4,0)),Assumptions!$F$4:$F$44))/NETWORKDAYS($K392,$L392,Assumptions!$F$4:$F$44))</f>
        <v>0</v>
      </c>
      <c r="AY392" s="21" t="n">
        <f aca="false">IF($J392=0,0,MAX(0,NETWORKDAYS(MAX($K392,AY$4),MIN($L392,EOMONTH(AY$4,0)),Assumptions!$F$4:$F$44))/NETWORKDAYS($K392,$L392,Assumptions!$F$4:$F$44))</f>
        <v>0</v>
      </c>
      <c r="AZ392" s="21" t="n">
        <f aca="false">IF($J392=0,0,MAX(0,NETWORKDAYS(MAX($K392,AZ$4),MIN($L392,EOMONTH(AZ$4,0)),Assumptions!$F$4:$F$44))/NETWORKDAYS($K392,$L392,Assumptions!$F$4:$F$44))</f>
        <v>0</v>
      </c>
      <c r="BA392" s="21" t="n">
        <f aca="false">IF($J392=0,0,MAX(0,NETWORKDAYS(MAX($K392,BA$4),MIN($L392,EOMONTH(BA$4,0)),Assumptions!$F$4:$F$44))/NETWORKDAYS($K392,$L392,Assumptions!$F$4:$F$44))</f>
        <v>0</v>
      </c>
      <c r="BB392" s="21" t="n">
        <f aca="false">IF($J392=0,0,MAX(0,NETWORKDAYS(MAX($K392,BB$4),MIN($L392,EOMONTH(BB$4,0)),Assumptions!$F$4:$F$44))/NETWORKDAYS($K392,$L392,Assumptions!$F$4:$F$44))</f>
        <v>0</v>
      </c>
      <c r="BC392" s="21" t="n">
        <f aca="false">IF($J392=0,0,MAX(0,NETWORKDAYS(MAX($K392,BC$4),MIN($L392,EOMONTH(BC$4,0)),Assumptions!$F$4:$F$44))/NETWORKDAYS($K392,$L392,Assumptions!$F$4:$F$44))</f>
        <v>0</v>
      </c>
    </row>
    <row r="393" customFormat="false" ht="15" hidden="false" customHeight="false" outlineLevel="2" collapsed="false">
      <c r="A393" s="27" t="n">
        <v>389</v>
      </c>
      <c r="B393" s="27" t="s">
        <v>831</v>
      </c>
      <c r="C393" s="27" t="n">
        <v>3</v>
      </c>
      <c r="D393" s="27" t="s">
        <v>92</v>
      </c>
      <c r="E393" s="28" t="s">
        <v>482</v>
      </c>
      <c r="F393" s="27" t="s">
        <v>681</v>
      </c>
      <c r="G393" s="27" t="s">
        <v>467</v>
      </c>
      <c r="H393" s="27" t="s">
        <v>59</v>
      </c>
      <c r="I393" s="29" t="n">
        <v>287</v>
      </c>
      <c r="J393" s="29" t="n">
        <v>8</v>
      </c>
      <c r="K393" s="30" t="n">
        <f aca="false">WORKDAY(Assumptions!$C$4,I393,Assumptions!$F$4:$F$44)</f>
        <v>46729</v>
      </c>
      <c r="L393" s="30" t="n">
        <f aca="false">IF(J393=0,K393,WORKDAY(K393,J393-1,Assumptions!$F$4:$F$44))</f>
        <v>46738</v>
      </c>
      <c r="M393" s="29"/>
      <c r="N393" s="31" t="n">
        <v>0</v>
      </c>
      <c r="O393" s="31" t="n">
        <v>2</v>
      </c>
      <c r="P393" s="31" t="n">
        <v>0</v>
      </c>
      <c r="Q393" s="31" t="n">
        <v>0</v>
      </c>
      <c r="R393" s="31" t="n">
        <v>0</v>
      </c>
      <c r="S393" s="31" t="n">
        <v>0</v>
      </c>
      <c r="T393" s="31" t="n">
        <v>0</v>
      </c>
      <c r="U393" s="31" t="n">
        <v>3</v>
      </c>
      <c r="V393" s="31" t="n">
        <v>0</v>
      </c>
      <c r="W393" s="31" t="n">
        <v>8</v>
      </c>
      <c r="X393" s="31" t="n">
        <v>0</v>
      </c>
      <c r="Y393" s="32" t="n">
        <f aca="false">SUM(N393:X393)</f>
        <v>13</v>
      </c>
      <c r="Z393" s="32" t="n">
        <f aca="false">Y393*(1+Assumptions!$C$5)</f>
        <v>14.95</v>
      </c>
      <c r="AA393" s="27" t="s">
        <v>483</v>
      </c>
      <c r="AB393" s="27" t="s">
        <v>95</v>
      </c>
      <c r="AC393" s="27"/>
      <c r="AD393" s="33" t="n">
        <v>0</v>
      </c>
      <c r="AF393" s="21" t="n">
        <f aca="false">IF($J393=0,0,MAX(0,NETWORKDAYS(MAX($K393,AF$4),MIN($L393,EOMONTH(AF$4,0)),Assumptions!$F$4:$F$44))/NETWORKDAYS($K393,$L393,Assumptions!$F$4:$F$44))</f>
        <v>0</v>
      </c>
      <c r="AG393" s="21" t="n">
        <f aca="false">IF($J393=0,0,MAX(0,NETWORKDAYS(MAX($K393,AG$4),MIN($L393,EOMONTH(AG$4,0)),Assumptions!$F$4:$F$44))/NETWORKDAYS($K393,$L393,Assumptions!$F$4:$F$44))</f>
        <v>0</v>
      </c>
      <c r="AH393" s="21" t="n">
        <f aca="false">IF($J393=0,0,MAX(0,NETWORKDAYS(MAX($K393,AH$4),MIN($L393,EOMONTH(AH$4,0)),Assumptions!$F$4:$F$44))/NETWORKDAYS($K393,$L393,Assumptions!$F$4:$F$44))</f>
        <v>0</v>
      </c>
      <c r="AI393" s="21" t="n">
        <f aca="false">IF($J393=0,0,MAX(0,NETWORKDAYS(MAX($K393,AI$4),MIN($L393,EOMONTH(AI$4,0)),Assumptions!$F$4:$F$44))/NETWORKDAYS($K393,$L393,Assumptions!$F$4:$F$44))</f>
        <v>0</v>
      </c>
      <c r="AJ393" s="21" t="n">
        <f aca="false">IF($J393=0,0,MAX(0,NETWORKDAYS(MAX($K393,AJ$4),MIN($L393,EOMONTH(AJ$4,0)),Assumptions!$F$4:$F$44))/NETWORKDAYS($K393,$L393,Assumptions!$F$4:$F$44))</f>
        <v>0</v>
      </c>
      <c r="AK393" s="21" t="n">
        <f aca="false">IF($J393=0,0,MAX(0,NETWORKDAYS(MAX($K393,AK$4),MIN($L393,EOMONTH(AK$4,0)),Assumptions!$F$4:$F$44))/NETWORKDAYS($K393,$L393,Assumptions!$F$4:$F$44))</f>
        <v>0</v>
      </c>
      <c r="AL393" s="21" t="n">
        <f aca="false">IF($J393=0,0,MAX(0,NETWORKDAYS(MAX($K393,AL$4),MIN($L393,EOMONTH(AL$4,0)),Assumptions!$F$4:$F$44))/NETWORKDAYS($K393,$L393,Assumptions!$F$4:$F$44))</f>
        <v>0</v>
      </c>
      <c r="AM393" s="21" t="n">
        <f aca="false">IF($J393=0,0,MAX(0,NETWORKDAYS(MAX($K393,AM$4),MIN($L393,EOMONTH(AM$4,0)),Assumptions!$F$4:$F$44))/NETWORKDAYS($K393,$L393,Assumptions!$F$4:$F$44))</f>
        <v>0</v>
      </c>
      <c r="AN393" s="21" t="n">
        <f aca="false">IF($J393=0,0,MAX(0,NETWORKDAYS(MAX($K393,AN$4),MIN($L393,EOMONTH(AN$4,0)),Assumptions!$F$4:$F$44))/NETWORKDAYS($K393,$L393,Assumptions!$F$4:$F$44))</f>
        <v>0</v>
      </c>
      <c r="AO393" s="21" t="n">
        <f aca="false">IF($J393=0,0,MAX(0,NETWORKDAYS(MAX($K393,AO$4),MIN($L393,EOMONTH(AO$4,0)),Assumptions!$F$4:$F$44))/NETWORKDAYS($K393,$L393,Assumptions!$F$4:$F$44))</f>
        <v>0</v>
      </c>
      <c r="AP393" s="21" t="n">
        <f aca="false">IF($J393=0,0,MAX(0,NETWORKDAYS(MAX($K393,AP$4),MIN($L393,EOMONTH(AP$4,0)),Assumptions!$F$4:$F$44))/NETWORKDAYS($K393,$L393,Assumptions!$F$4:$F$44))</f>
        <v>0</v>
      </c>
      <c r="AQ393" s="21" t="n">
        <f aca="false">IF($J393=0,0,MAX(0,NETWORKDAYS(MAX($K393,AQ$4),MIN($L393,EOMONTH(AQ$4,0)),Assumptions!$F$4:$F$44))/NETWORKDAYS($K393,$L393,Assumptions!$F$4:$F$44))</f>
        <v>0</v>
      </c>
      <c r="AR393" s="21" t="n">
        <f aca="false">IF($J393=0,0,MAX(0,NETWORKDAYS(MAX($K393,AR$4),MIN($L393,EOMONTH(AR$4,0)),Assumptions!$F$4:$F$44))/NETWORKDAYS($K393,$L393,Assumptions!$F$4:$F$44))</f>
        <v>0</v>
      </c>
      <c r="AS393" s="21" t="n">
        <f aca="false">IF($J393=0,0,MAX(0,NETWORKDAYS(MAX($K393,AS$4),MIN($L393,EOMONTH(AS$4,0)),Assumptions!$F$4:$F$44))/NETWORKDAYS($K393,$L393,Assumptions!$F$4:$F$44))</f>
        <v>1</v>
      </c>
      <c r="AT393" s="21" t="n">
        <f aca="false">IF($J393=0,0,MAX(0,NETWORKDAYS(MAX($K393,AT$4),MIN($L393,EOMONTH(AT$4,0)),Assumptions!$F$4:$F$44))/NETWORKDAYS($K393,$L393,Assumptions!$F$4:$F$44))</f>
        <v>0</v>
      </c>
      <c r="AU393" s="21" t="n">
        <f aca="false">IF($J393=0,0,MAX(0,NETWORKDAYS(MAX($K393,AU$4),MIN($L393,EOMONTH(AU$4,0)),Assumptions!$F$4:$F$44))/NETWORKDAYS($K393,$L393,Assumptions!$F$4:$F$44))</f>
        <v>0</v>
      </c>
      <c r="AV393" s="21" t="n">
        <f aca="false">IF($J393=0,0,MAX(0,NETWORKDAYS(MAX($K393,AV$4),MIN($L393,EOMONTH(AV$4,0)),Assumptions!$F$4:$F$44))/NETWORKDAYS($K393,$L393,Assumptions!$F$4:$F$44))</f>
        <v>0</v>
      </c>
      <c r="AW393" s="21" t="n">
        <f aca="false">IF($J393=0,0,MAX(0,NETWORKDAYS(MAX($K393,AW$4),MIN($L393,EOMONTH(AW$4,0)),Assumptions!$F$4:$F$44))/NETWORKDAYS($K393,$L393,Assumptions!$F$4:$F$44))</f>
        <v>0</v>
      </c>
      <c r="AX393" s="21" t="n">
        <f aca="false">IF($J393=0,0,MAX(0,NETWORKDAYS(MAX($K393,AX$4),MIN($L393,EOMONTH(AX$4,0)),Assumptions!$F$4:$F$44))/NETWORKDAYS($K393,$L393,Assumptions!$F$4:$F$44))</f>
        <v>0</v>
      </c>
      <c r="AY393" s="21" t="n">
        <f aca="false">IF($J393=0,0,MAX(0,NETWORKDAYS(MAX($K393,AY$4),MIN($L393,EOMONTH(AY$4,0)),Assumptions!$F$4:$F$44))/NETWORKDAYS($K393,$L393,Assumptions!$F$4:$F$44))</f>
        <v>0</v>
      </c>
      <c r="AZ393" s="21" t="n">
        <f aca="false">IF($J393=0,0,MAX(0,NETWORKDAYS(MAX($K393,AZ$4),MIN($L393,EOMONTH(AZ$4,0)),Assumptions!$F$4:$F$44))/NETWORKDAYS($K393,$L393,Assumptions!$F$4:$F$44))</f>
        <v>0</v>
      </c>
      <c r="BA393" s="21" t="n">
        <f aca="false">IF($J393=0,0,MAX(0,NETWORKDAYS(MAX($K393,BA$4),MIN($L393,EOMONTH(BA$4,0)),Assumptions!$F$4:$F$44))/NETWORKDAYS($K393,$L393,Assumptions!$F$4:$F$44))</f>
        <v>0</v>
      </c>
      <c r="BB393" s="21" t="n">
        <f aca="false">IF($J393=0,0,MAX(0,NETWORKDAYS(MAX($K393,BB$4),MIN($L393,EOMONTH(BB$4,0)),Assumptions!$F$4:$F$44))/NETWORKDAYS($K393,$L393,Assumptions!$F$4:$F$44))</f>
        <v>0</v>
      </c>
      <c r="BC393" s="21" t="n">
        <f aca="false">IF($J393=0,0,MAX(0,NETWORKDAYS(MAX($K393,BC$4),MIN($L393,EOMONTH(BC$4,0)),Assumptions!$F$4:$F$44))/NETWORKDAYS($K393,$L393,Assumptions!$F$4:$F$44))</f>
        <v>0</v>
      </c>
    </row>
    <row r="394" customFormat="false" ht="15" hidden="false" customHeight="false" outlineLevel="2" collapsed="false">
      <c r="A394" s="27" t="n">
        <v>390</v>
      </c>
      <c r="B394" s="27" t="s">
        <v>832</v>
      </c>
      <c r="C394" s="27" t="n">
        <v>3</v>
      </c>
      <c r="D394" s="27" t="s">
        <v>92</v>
      </c>
      <c r="E394" s="28" t="s">
        <v>485</v>
      </c>
      <c r="F394" s="27" t="s">
        <v>681</v>
      </c>
      <c r="G394" s="27" t="s">
        <v>467</v>
      </c>
      <c r="H394" s="27" t="s">
        <v>55</v>
      </c>
      <c r="I394" s="29" t="n">
        <v>295</v>
      </c>
      <c r="J394" s="29" t="n">
        <v>3</v>
      </c>
      <c r="K394" s="30" t="n">
        <f aca="false">WORKDAY(Assumptions!$C$4,I394,Assumptions!$F$4:$F$44)</f>
        <v>46741</v>
      </c>
      <c r="L394" s="30" t="n">
        <f aca="false">IF(J394=0,K394,WORKDAY(K394,J394-1,Assumptions!$F$4:$F$44))</f>
        <v>46743</v>
      </c>
      <c r="M394" s="29" t="s">
        <v>833</v>
      </c>
      <c r="N394" s="31" t="n">
        <v>0</v>
      </c>
      <c r="O394" s="31" t="n">
        <v>0</v>
      </c>
      <c r="P394" s="31" t="n">
        <v>0</v>
      </c>
      <c r="Q394" s="31" t="n">
        <v>4</v>
      </c>
      <c r="R394" s="31" t="n">
        <v>0</v>
      </c>
      <c r="S394" s="31" t="n">
        <v>0</v>
      </c>
      <c r="T394" s="31" t="n">
        <v>0</v>
      </c>
      <c r="U394" s="31" t="n">
        <v>5</v>
      </c>
      <c r="V394" s="31" t="n">
        <v>3</v>
      </c>
      <c r="W394" s="31" t="n">
        <v>4</v>
      </c>
      <c r="X394" s="31" t="n">
        <v>0</v>
      </c>
      <c r="Y394" s="32" t="n">
        <f aca="false">SUM(N394:X394)</f>
        <v>16</v>
      </c>
      <c r="Z394" s="32" t="n">
        <f aca="false">Y394*(1+Assumptions!$C$5)</f>
        <v>18.4</v>
      </c>
      <c r="AA394" s="27" t="s">
        <v>487</v>
      </c>
      <c r="AB394" s="27" t="s">
        <v>95</v>
      </c>
      <c r="AC394" s="27"/>
      <c r="AD394" s="33" t="n">
        <v>0</v>
      </c>
      <c r="AF394" s="21" t="n">
        <f aca="false">IF($J394=0,0,MAX(0,NETWORKDAYS(MAX($K394,AF$4),MIN($L394,EOMONTH(AF$4,0)),Assumptions!$F$4:$F$44))/NETWORKDAYS($K394,$L394,Assumptions!$F$4:$F$44))</f>
        <v>0</v>
      </c>
      <c r="AG394" s="21" t="n">
        <f aca="false">IF($J394=0,0,MAX(0,NETWORKDAYS(MAX($K394,AG$4),MIN($L394,EOMONTH(AG$4,0)),Assumptions!$F$4:$F$44))/NETWORKDAYS($K394,$L394,Assumptions!$F$4:$F$44))</f>
        <v>0</v>
      </c>
      <c r="AH394" s="21" t="n">
        <f aca="false">IF($J394=0,0,MAX(0,NETWORKDAYS(MAX($K394,AH$4),MIN($L394,EOMONTH(AH$4,0)),Assumptions!$F$4:$F$44))/NETWORKDAYS($K394,$L394,Assumptions!$F$4:$F$44))</f>
        <v>0</v>
      </c>
      <c r="AI394" s="21" t="n">
        <f aca="false">IF($J394=0,0,MAX(0,NETWORKDAYS(MAX($K394,AI$4),MIN($L394,EOMONTH(AI$4,0)),Assumptions!$F$4:$F$44))/NETWORKDAYS($K394,$L394,Assumptions!$F$4:$F$44))</f>
        <v>0</v>
      </c>
      <c r="AJ394" s="21" t="n">
        <f aca="false">IF($J394=0,0,MAX(0,NETWORKDAYS(MAX($K394,AJ$4),MIN($L394,EOMONTH(AJ$4,0)),Assumptions!$F$4:$F$44))/NETWORKDAYS($K394,$L394,Assumptions!$F$4:$F$44))</f>
        <v>0</v>
      </c>
      <c r="AK394" s="21" t="n">
        <f aca="false">IF($J394=0,0,MAX(0,NETWORKDAYS(MAX($K394,AK$4),MIN($L394,EOMONTH(AK$4,0)),Assumptions!$F$4:$F$44))/NETWORKDAYS($K394,$L394,Assumptions!$F$4:$F$44))</f>
        <v>0</v>
      </c>
      <c r="AL394" s="21" t="n">
        <f aca="false">IF($J394=0,0,MAX(0,NETWORKDAYS(MAX($K394,AL$4),MIN($L394,EOMONTH(AL$4,0)),Assumptions!$F$4:$F$44))/NETWORKDAYS($K394,$L394,Assumptions!$F$4:$F$44))</f>
        <v>0</v>
      </c>
      <c r="AM394" s="21" t="n">
        <f aca="false">IF($J394=0,0,MAX(0,NETWORKDAYS(MAX($K394,AM$4),MIN($L394,EOMONTH(AM$4,0)),Assumptions!$F$4:$F$44))/NETWORKDAYS($K394,$L394,Assumptions!$F$4:$F$44))</f>
        <v>0</v>
      </c>
      <c r="AN394" s="21" t="n">
        <f aca="false">IF($J394=0,0,MAX(0,NETWORKDAYS(MAX($K394,AN$4),MIN($L394,EOMONTH(AN$4,0)),Assumptions!$F$4:$F$44))/NETWORKDAYS($K394,$L394,Assumptions!$F$4:$F$44))</f>
        <v>0</v>
      </c>
      <c r="AO394" s="21" t="n">
        <f aca="false">IF($J394=0,0,MAX(0,NETWORKDAYS(MAX($K394,AO$4),MIN($L394,EOMONTH(AO$4,0)),Assumptions!$F$4:$F$44))/NETWORKDAYS($K394,$L394,Assumptions!$F$4:$F$44))</f>
        <v>0</v>
      </c>
      <c r="AP394" s="21" t="n">
        <f aca="false">IF($J394=0,0,MAX(0,NETWORKDAYS(MAX($K394,AP$4),MIN($L394,EOMONTH(AP$4,0)),Assumptions!$F$4:$F$44))/NETWORKDAYS($K394,$L394,Assumptions!$F$4:$F$44))</f>
        <v>0</v>
      </c>
      <c r="AQ394" s="21" t="n">
        <f aca="false">IF($J394=0,0,MAX(0,NETWORKDAYS(MAX($K394,AQ$4),MIN($L394,EOMONTH(AQ$4,0)),Assumptions!$F$4:$F$44))/NETWORKDAYS($K394,$L394,Assumptions!$F$4:$F$44))</f>
        <v>0</v>
      </c>
      <c r="AR394" s="21" t="n">
        <f aca="false">IF($J394=0,0,MAX(0,NETWORKDAYS(MAX($K394,AR$4),MIN($L394,EOMONTH(AR$4,0)),Assumptions!$F$4:$F$44))/NETWORKDAYS($K394,$L394,Assumptions!$F$4:$F$44))</f>
        <v>0</v>
      </c>
      <c r="AS394" s="21" t="n">
        <f aca="false">IF($J394=0,0,MAX(0,NETWORKDAYS(MAX($K394,AS$4),MIN($L394,EOMONTH(AS$4,0)),Assumptions!$F$4:$F$44))/NETWORKDAYS($K394,$L394,Assumptions!$F$4:$F$44))</f>
        <v>1</v>
      </c>
      <c r="AT394" s="21" t="n">
        <f aca="false">IF($J394=0,0,MAX(0,NETWORKDAYS(MAX($K394,AT$4),MIN($L394,EOMONTH(AT$4,0)),Assumptions!$F$4:$F$44))/NETWORKDAYS($K394,$L394,Assumptions!$F$4:$F$44))</f>
        <v>0</v>
      </c>
      <c r="AU394" s="21" t="n">
        <f aca="false">IF($J394=0,0,MAX(0,NETWORKDAYS(MAX($K394,AU$4),MIN($L394,EOMONTH(AU$4,0)),Assumptions!$F$4:$F$44))/NETWORKDAYS($K394,$L394,Assumptions!$F$4:$F$44))</f>
        <v>0</v>
      </c>
      <c r="AV394" s="21" t="n">
        <f aca="false">IF($J394=0,0,MAX(0,NETWORKDAYS(MAX($K394,AV$4),MIN($L394,EOMONTH(AV$4,0)),Assumptions!$F$4:$F$44))/NETWORKDAYS($K394,$L394,Assumptions!$F$4:$F$44))</f>
        <v>0</v>
      </c>
      <c r="AW394" s="21" t="n">
        <f aca="false">IF($J394=0,0,MAX(0,NETWORKDAYS(MAX($K394,AW$4),MIN($L394,EOMONTH(AW$4,0)),Assumptions!$F$4:$F$44))/NETWORKDAYS($K394,$L394,Assumptions!$F$4:$F$44))</f>
        <v>0</v>
      </c>
      <c r="AX394" s="21" t="n">
        <f aca="false">IF($J394=0,0,MAX(0,NETWORKDAYS(MAX($K394,AX$4),MIN($L394,EOMONTH(AX$4,0)),Assumptions!$F$4:$F$44))/NETWORKDAYS($K394,$L394,Assumptions!$F$4:$F$44))</f>
        <v>0</v>
      </c>
      <c r="AY394" s="21" t="n">
        <f aca="false">IF($J394=0,0,MAX(0,NETWORKDAYS(MAX($K394,AY$4),MIN($L394,EOMONTH(AY$4,0)),Assumptions!$F$4:$F$44))/NETWORKDAYS($K394,$L394,Assumptions!$F$4:$F$44))</f>
        <v>0</v>
      </c>
      <c r="AZ394" s="21" t="n">
        <f aca="false">IF($J394=0,0,MAX(0,NETWORKDAYS(MAX($K394,AZ$4),MIN($L394,EOMONTH(AZ$4,0)),Assumptions!$F$4:$F$44))/NETWORKDAYS($K394,$L394,Assumptions!$F$4:$F$44))</f>
        <v>0</v>
      </c>
      <c r="BA394" s="21" t="n">
        <f aca="false">IF($J394=0,0,MAX(0,NETWORKDAYS(MAX($K394,BA$4),MIN($L394,EOMONTH(BA$4,0)),Assumptions!$F$4:$F$44))/NETWORKDAYS($K394,$L394,Assumptions!$F$4:$F$44))</f>
        <v>0</v>
      </c>
      <c r="BB394" s="21" t="n">
        <f aca="false">IF($J394=0,0,MAX(0,NETWORKDAYS(MAX($K394,BB$4),MIN($L394,EOMONTH(BB$4,0)),Assumptions!$F$4:$F$44))/NETWORKDAYS($K394,$L394,Assumptions!$F$4:$F$44))</f>
        <v>0</v>
      </c>
      <c r="BC394" s="21" t="n">
        <f aca="false">IF($J394=0,0,MAX(0,NETWORKDAYS(MAX($K394,BC$4),MIN($L394,EOMONTH(BC$4,0)),Assumptions!$F$4:$F$44))/NETWORKDAYS($K394,$L394,Assumptions!$F$4:$F$44))</f>
        <v>0</v>
      </c>
    </row>
    <row r="395" customFormat="false" ht="15" hidden="false" customHeight="false" outlineLevel="1" collapsed="false">
      <c r="A395" s="34" t="n">
        <v>391</v>
      </c>
      <c r="B395" s="34" t="s">
        <v>834</v>
      </c>
      <c r="C395" s="34" t="n">
        <v>2</v>
      </c>
      <c r="D395" s="34" t="s">
        <v>149</v>
      </c>
      <c r="E395" s="35" t="s">
        <v>835</v>
      </c>
      <c r="F395" s="34" t="s">
        <v>681</v>
      </c>
      <c r="G395" s="34"/>
      <c r="H395" s="34"/>
      <c r="I395" s="36" t="n">
        <v>297</v>
      </c>
      <c r="J395" s="36" t="n">
        <v>0</v>
      </c>
      <c r="K395" s="37" t="n">
        <f aca="false">WORKDAY(Assumptions!$C$4,I395,Assumptions!$F$4:$F$44)</f>
        <v>46743</v>
      </c>
      <c r="L395" s="37" t="n">
        <f aca="false">IF(J395=0,K395,WORKDAY(K395,J395-1,Assumptions!$F$4:$F$44))</f>
        <v>46743</v>
      </c>
      <c r="M395" s="36" t="s">
        <v>836</v>
      </c>
      <c r="N395" s="38" t="n">
        <v>0</v>
      </c>
      <c r="O395" s="38" t="n">
        <v>0</v>
      </c>
      <c r="P395" s="38" t="n">
        <v>0</v>
      </c>
      <c r="Q395" s="38" t="n">
        <v>0</v>
      </c>
      <c r="R395" s="38" t="n">
        <v>0</v>
      </c>
      <c r="S395" s="38" t="n">
        <v>0</v>
      </c>
      <c r="T395" s="38" t="n">
        <v>0</v>
      </c>
      <c r="U395" s="38" t="n">
        <v>0</v>
      </c>
      <c r="V395" s="38" t="n">
        <v>0</v>
      </c>
      <c r="W395" s="38" t="n">
        <v>0</v>
      </c>
      <c r="X395" s="38" t="n">
        <v>0</v>
      </c>
      <c r="Y395" s="38" t="n">
        <f aca="false">SUM(N395:X395)</f>
        <v>0</v>
      </c>
      <c r="Z395" s="38" t="n">
        <f aca="false">Y395*(1+Assumptions!$C$5)</f>
        <v>0</v>
      </c>
      <c r="AA395" s="34"/>
      <c r="AB395" s="34" t="s">
        <v>95</v>
      </c>
      <c r="AC395" s="34"/>
      <c r="AD395" s="39" t="n">
        <v>0</v>
      </c>
      <c r="AF395" s="21" t="n">
        <v>0</v>
      </c>
      <c r="AG395" s="21" t="n">
        <v>0</v>
      </c>
      <c r="AH395" s="21" t="n">
        <v>0</v>
      </c>
      <c r="AI395" s="21" t="n">
        <v>0</v>
      </c>
      <c r="AJ395" s="21" t="n">
        <v>0</v>
      </c>
      <c r="AK395" s="21" t="n">
        <v>0</v>
      </c>
      <c r="AL395" s="21" t="n">
        <v>0</v>
      </c>
      <c r="AM395" s="21" t="n">
        <v>0</v>
      </c>
      <c r="AN395" s="21" t="n">
        <v>0</v>
      </c>
      <c r="AO395" s="21" t="n">
        <v>0</v>
      </c>
      <c r="AP395" s="21" t="n">
        <v>0</v>
      </c>
      <c r="AQ395" s="21" t="n">
        <v>0</v>
      </c>
      <c r="AR395" s="21" t="n">
        <v>0</v>
      </c>
      <c r="AS395" s="21" t="n">
        <v>0</v>
      </c>
      <c r="AT395" s="21" t="n">
        <v>0</v>
      </c>
      <c r="AU395" s="21" t="n">
        <v>0</v>
      </c>
      <c r="AV395" s="21" t="n">
        <v>0</v>
      </c>
      <c r="AW395" s="21" t="n">
        <v>0</v>
      </c>
      <c r="AX395" s="21" t="n">
        <v>0</v>
      </c>
      <c r="AY395" s="21" t="n">
        <v>0</v>
      </c>
      <c r="AZ395" s="21" t="n">
        <v>0</v>
      </c>
      <c r="BA395" s="21" t="n">
        <v>0</v>
      </c>
      <c r="BB395" s="21" t="n">
        <v>0</v>
      </c>
      <c r="BC395" s="21" t="n">
        <v>0</v>
      </c>
    </row>
    <row r="396" customFormat="false" ht="15" hidden="false" customHeight="false" outlineLevel="2" collapsed="false">
      <c r="A396" s="27" t="n">
        <v>392</v>
      </c>
      <c r="B396" s="27" t="s">
        <v>837</v>
      </c>
      <c r="C396" s="27" t="n">
        <v>3</v>
      </c>
      <c r="D396" s="27" t="s">
        <v>92</v>
      </c>
      <c r="E396" s="28" t="s">
        <v>492</v>
      </c>
      <c r="F396" s="27" t="s">
        <v>681</v>
      </c>
      <c r="G396" s="27" t="s">
        <v>467</v>
      </c>
      <c r="H396" s="27" t="s">
        <v>47</v>
      </c>
      <c r="I396" s="29" t="n">
        <v>297</v>
      </c>
      <c r="J396" s="29" t="n">
        <v>20</v>
      </c>
      <c r="K396" s="30" t="n">
        <f aca="false">WORKDAY(Assumptions!$C$4,I396,Assumptions!$F$4:$F$44)</f>
        <v>46743</v>
      </c>
      <c r="L396" s="30" t="n">
        <f aca="false">IF(J396=0,K396,WORKDAY(K396,J396-1,Assumptions!$F$4:$F$44))</f>
        <v>46770</v>
      </c>
      <c r="M396" s="29" t="s">
        <v>838</v>
      </c>
      <c r="N396" s="31" t="n">
        <v>0</v>
      </c>
      <c r="O396" s="31" t="n">
        <v>5</v>
      </c>
      <c r="P396" s="31" t="n">
        <v>0</v>
      </c>
      <c r="Q396" s="31" t="n">
        <v>12</v>
      </c>
      <c r="R396" s="31" t="n">
        <v>4</v>
      </c>
      <c r="S396" s="31" t="n">
        <v>0</v>
      </c>
      <c r="T396" s="31" t="n">
        <v>0</v>
      </c>
      <c r="U396" s="31" t="n">
        <v>4</v>
      </c>
      <c r="V396" s="31" t="n">
        <v>4</v>
      </c>
      <c r="W396" s="31" t="n">
        <v>0</v>
      </c>
      <c r="X396" s="31" t="n">
        <v>0</v>
      </c>
      <c r="Y396" s="32" t="n">
        <f aca="false">SUM(N396:X396)</f>
        <v>29</v>
      </c>
      <c r="Z396" s="32" t="n">
        <f aca="false">Y396*(1+Assumptions!$C$5)</f>
        <v>33.35</v>
      </c>
      <c r="AA396" s="27" t="s">
        <v>494</v>
      </c>
      <c r="AB396" s="27" t="s">
        <v>95</v>
      </c>
      <c r="AC396" s="27"/>
      <c r="AD396" s="33" t="n">
        <v>0</v>
      </c>
      <c r="AF396" s="21" t="n">
        <f aca="false">IF($J396=0,0,MAX(0,NETWORKDAYS(MAX($K396,AF$4),MIN($L396,EOMONTH(AF$4,0)),Assumptions!$F$4:$F$44))/NETWORKDAYS($K396,$L396,Assumptions!$F$4:$F$44))</f>
        <v>0</v>
      </c>
      <c r="AG396" s="21" t="n">
        <f aca="false">IF($J396=0,0,MAX(0,NETWORKDAYS(MAX($K396,AG$4),MIN($L396,EOMONTH(AG$4,0)),Assumptions!$F$4:$F$44))/NETWORKDAYS($K396,$L396,Assumptions!$F$4:$F$44))</f>
        <v>0</v>
      </c>
      <c r="AH396" s="21" t="n">
        <f aca="false">IF($J396=0,0,MAX(0,NETWORKDAYS(MAX($K396,AH$4),MIN($L396,EOMONTH(AH$4,0)),Assumptions!$F$4:$F$44))/NETWORKDAYS($K396,$L396,Assumptions!$F$4:$F$44))</f>
        <v>0</v>
      </c>
      <c r="AI396" s="21" t="n">
        <f aca="false">IF($J396=0,0,MAX(0,NETWORKDAYS(MAX($K396,AI$4),MIN($L396,EOMONTH(AI$4,0)),Assumptions!$F$4:$F$44))/NETWORKDAYS($K396,$L396,Assumptions!$F$4:$F$44))</f>
        <v>0</v>
      </c>
      <c r="AJ396" s="21" t="n">
        <f aca="false">IF($J396=0,0,MAX(0,NETWORKDAYS(MAX($K396,AJ$4),MIN($L396,EOMONTH(AJ$4,0)),Assumptions!$F$4:$F$44))/NETWORKDAYS($K396,$L396,Assumptions!$F$4:$F$44))</f>
        <v>0</v>
      </c>
      <c r="AK396" s="21" t="n">
        <f aca="false">IF($J396=0,0,MAX(0,NETWORKDAYS(MAX($K396,AK$4),MIN($L396,EOMONTH(AK$4,0)),Assumptions!$F$4:$F$44))/NETWORKDAYS($K396,$L396,Assumptions!$F$4:$F$44))</f>
        <v>0</v>
      </c>
      <c r="AL396" s="21" t="n">
        <f aca="false">IF($J396=0,0,MAX(0,NETWORKDAYS(MAX($K396,AL$4),MIN($L396,EOMONTH(AL$4,0)),Assumptions!$F$4:$F$44))/NETWORKDAYS($K396,$L396,Assumptions!$F$4:$F$44))</f>
        <v>0</v>
      </c>
      <c r="AM396" s="21" t="n">
        <f aca="false">IF($J396=0,0,MAX(0,NETWORKDAYS(MAX($K396,AM$4),MIN($L396,EOMONTH(AM$4,0)),Assumptions!$F$4:$F$44))/NETWORKDAYS($K396,$L396,Assumptions!$F$4:$F$44))</f>
        <v>0</v>
      </c>
      <c r="AN396" s="21" t="n">
        <f aca="false">IF($J396=0,0,MAX(0,NETWORKDAYS(MAX($K396,AN$4),MIN($L396,EOMONTH(AN$4,0)),Assumptions!$F$4:$F$44))/NETWORKDAYS($K396,$L396,Assumptions!$F$4:$F$44))</f>
        <v>0</v>
      </c>
      <c r="AO396" s="21" t="n">
        <f aca="false">IF($J396=0,0,MAX(0,NETWORKDAYS(MAX($K396,AO$4),MIN($L396,EOMONTH(AO$4,0)),Assumptions!$F$4:$F$44))/NETWORKDAYS($K396,$L396,Assumptions!$F$4:$F$44))</f>
        <v>0</v>
      </c>
      <c r="AP396" s="21" t="n">
        <f aca="false">IF($J396=0,0,MAX(0,NETWORKDAYS(MAX($K396,AP$4),MIN($L396,EOMONTH(AP$4,0)),Assumptions!$F$4:$F$44))/NETWORKDAYS($K396,$L396,Assumptions!$F$4:$F$44))</f>
        <v>0</v>
      </c>
      <c r="AQ396" s="21" t="n">
        <f aca="false">IF($J396=0,0,MAX(0,NETWORKDAYS(MAX($K396,AQ$4),MIN($L396,EOMONTH(AQ$4,0)),Assumptions!$F$4:$F$44))/NETWORKDAYS($K396,$L396,Assumptions!$F$4:$F$44))</f>
        <v>0</v>
      </c>
      <c r="AR396" s="21" t="n">
        <f aca="false">IF($J396=0,0,MAX(0,NETWORKDAYS(MAX($K396,AR$4),MIN($L396,EOMONTH(AR$4,0)),Assumptions!$F$4:$F$44))/NETWORKDAYS($K396,$L396,Assumptions!$F$4:$F$44))</f>
        <v>0</v>
      </c>
      <c r="AS396" s="21" t="n">
        <f aca="false">IF($J396=0,0,MAX(0,NETWORKDAYS(MAX($K396,AS$4),MIN($L396,EOMONTH(AS$4,0)),Assumptions!$F$4:$F$44))/NETWORKDAYS($K396,$L396,Assumptions!$F$4:$F$44))</f>
        <v>0.4</v>
      </c>
      <c r="AT396" s="21" t="n">
        <f aca="false">IF($J396=0,0,MAX(0,NETWORKDAYS(MAX($K396,AT$4),MIN($L396,EOMONTH(AT$4,0)),Assumptions!$F$4:$F$44))/NETWORKDAYS($K396,$L396,Assumptions!$F$4:$F$44))</f>
        <v>0.6</v>
      </c>
      <c r="AU396" s="21" t="n">
        <f aca="false">IF($J396=0,0,MAX(0,NETWORKDAYS(MAX($K396,AU$4),MIN($L396,EOMONTH(AU$4,0)),Assumptions!$F$4:$F$44))/NETWORKDAYS($K396,$L396,Assumptions!$F$4:$F$44))</f>
        <v>0</v>
      </c>
      <c r="AV396" s="21" t="n">
        <f aca="false">IF($J396=0,0,MAX(0,NETWORKDAYS(MAX($K396,AV$4),MIN($L396,EOMONTH(AV$4,0)),Assumptions!$F$4:$F$44))/NETWORKDAYS($K396,$L396,Assumptions!$F$4:$F$44))</f>
        <v>0</v>
      </c>
      <c r="AW396" s="21" t="n">
        <f aca="false">IF($J396=0,0,MAX(0,NETWORKDAYS(MAX($K396,AW$4),MIN($L396,EOMONTH(AW$4,0)),Assumptions!$F$4:$F$44))/NETWORKDAYS($K396,$L396,Assumptions!$F$4:$F$44))</f>
        <v>0</v>
      </c>
      <c r="AX396" s="21" t="n">
        <f aca="false">IF($J396=0,0,MAX(0,NETWORKDAYS(MAX($K396,AX$4),MIN($L396,EOMONTH(AX$4,0)),Assumptions!$F$4:$F$44))/NETWORKDAYS($K396,$L396,Assumptions!$F$4:$F$44))</f>
        <v>0</v>
      </c>
      <c r="AY396" s="21" t="n">
        <f aca="false">IF($J396=0,0,MAX(0,NETWORKDAYS(MAX($K396,AY$4),MIN($L396,EOMONTH(AY$4,0)),Assumptions!$F$4:$F$44))/NETWORKDAYS($K396,$L396,Assumptions!$F$4:$F$44))</f>
        <v>0</v>
      </c>
      <c r="AZ396" s="21" t="n">
        <f aca="false">IF($J396=0,0,MAX(0,NETWORKDAYS(MAX($K396,AZ$4),MIN($L396,EOMONTH(AZ$4,0)),Assumptions!$F$4:$F$44))/NETWORKDAYS($K396,$L396,Assumptions!$F$4:$F$44))</f>
        <v>0</v>
      </c>
      <c r="BA396" s="21" t="n">
        <f aca="false">IF($J396=0,0,MAX(0,NETWORKDAYS(MAX($K396,BA$4),MIN($L396,EOMONTH(BA$4,0)),Assumptions!$F$4:$F$44))/NETWORKDAYS($K396,$L396,Assumptions!$F$4:$F$44))</f>
        <v>0</v>
      </c>
      <c r="BB396" s="21" t="n">
        <f aca="false">IF($J396=0,0,MAX(0,NETWORKDAYS(MAX($K396,BB$4),MIN($L396,EOMONTH(BB$4,0)),Assumptions!$F$4:$F$44))/NETWORKDAYS($K396,$L396,Assumptions!$F$4:$F$44))</f>
        <v>0</v>
      </c>
      <c r="BC396" s="21" t="n">
        <f aca="false">IF($J396=0,0,MAX(0,NETWORKDAYS(MAX($K396,BC$4),MIN($L396,EOMONTH(BC$4,0)),Assumptions!$F$4:$F$44))/NETWORKDAYS($K396,$L396,Assumptions!$F$4:$F$44))</f>
        <v>0</v>
      </c>
    </row>
    <row r="397" customFormat="false" ht="15" hidden="false" customHeight="false" outlineLevel="1" collapsed="false">
      <c r="A397" s="34" t="n">
        <v>393</v>
      </c>
      <c r="B397" s="34" t="s">
        <v>839</v>
      </c>
      <c r="C397" s="34" t="n">
        <v>2</v>
      </c>
      <c r="D397" s="34" t="s">
        <v>149</v>
      </c>
      <c r="E397" s="35" t="s">
        <v>840</v>
      </c>
      <c r="F397" s="34" t="s">
        <v>681</v>
      </c>
      <c r="G397" s="34"/>
      <c r="H397" s="34"/>
      <c r="I397" s="36" t="n">
        <v>317</v>
      </c>
      <c r="J397" s="36" t="n">
        <v>0</v>
      </c>
      <c r="K397" s="37" t="n">
        <f aca="false">WORKDAY(Assumptions!$C$4,I397,Assumptions!$F$4:$F$44)</f>
        <v>46771</v>
      </c>
      <c r="L397" s="37" t="n">
        <f aca="false">IF(J397=0,K397,WORKDAY(K397,J397-1,Assumptions!$F$4:$F$44))</f>
        <v>46771</v>
      </c>
      <c r="M397" s="36" t="s">
        <v>841</v>
      </c>
      <c r="N397" s="38" t="n">
        <v>0</v>
      </c>
      <c r="O397" s="38" t="n">
        <v>0</v>
      </c>
      <c r="P397" s="38" t="n">
        <v>0</v>
      </c>
      <c r="Q397" s="38" t="n">
        <v>0</v>
      </c>
      <c r="R397" s="38" t="n">
        <v>0</v>
      </c>
      <c r="S397" s="38" t="n">
        <v>0</v>
      </c>
      <c r="T397" s="38" t="n">
        <v>0</v>
      </c>
      <c r="U397" s="38" t="n">
        <v>0</v>
      </c>
      <c r="V397" s="38" t="n">
        <v>0</v>
      </c>
      <c r="W397" s="38" t="n">
        <v>0</v>
      </c>
      <c r="X397" s="38" t="n">
        <v>0</v>
      </c>
      <c r="Y397" s="38" t="n">
        <f aca="false">SUM(N397:X397)</f>
        <v>0</v>
      </c>
      <c r="Z397" s="38" t="n">
        <f aca="false">Y397*(1+Assumptions!$C$5)</f>
        <v>0</v>
      </c>
      <c r="AA397" s="34"/>
      <c r="AB397" s="34" t="s">
        <v>95</v>
      </c>
      <c r="AC397" s="34"/>
      <c r="AD397" s="39" t="n">
        <v>0</v>
      </c>
      <c r="AF397" s="21" t="n">
        <v>0</v>
      </c>
      <c r="AG397" s="21" t="n">
        <v>0</v>
      </c>
      <c r="AH397" s="21" t="n">
        <v>0</v>
      </c>
      <c r="AI397" s="21" t="n">
        <v>0</v>
      </c>
      <c r="AJ397" s="21" t="n">
        <v>0</v>
      </c>
      <c r="AK397" s="21" t="n">
        <v>0</v>
      </c>
      <c r="AL397" s="21" t="n">
        <v>0</v>
      </c>
      <c r="AM397" s="21" t="n">
        <v>0</v>
      </c>
      <c r="AN397" s="21" t="n">
        <v>0</v>
      </c>
      <c r="AO397" s="21" t="n">
        <v>0</v>
      </c>
      <c r="AP397" s="21" t="n">
        <v>0</v>
      </c>
      <c r="AQ397" s="21" t="n">
        <v>0</v>
      </c>
      <c r="AR397" s="21" t="n">
        <v>0</v>
      </c>
      <c r="AS397" s="21" t="n">
        <v>0</v>
      </c>
      <c r="AT397" s="21" t="n">
        <v>0</v>
      </c>
      <c r="AU397" s="21" t="n">
        <v>0</v>
      </c>
      <c r="AV397" s="21" t="n">
        <v>0</v>
      </c>
      <c r="AW397" s="21" t="n">
        <v>0</v>
      </c>
      <c r="AX397" s="21" t="n">
        <v>0</v>
      </c>
      <c r="AY397" s="21" t="n">
        <v>0</v>
      </c>
      <c r="AZ397" s="21" t="n">
        <v>0</v>
      </c>
      <c r="BA397" s="21" t="n">
        <v>0</v>
      </c>
      <c r="BB397" s="21" t="n">
        <v>0</v>
      </c>
      <c r="BC397" s="21" t="n">
        <v>0</v>
      </c>
    </row>
    <row r="398" customFormat="false" ht="15" hidden="false" customHeight="false" outlineLevel="1" collapsed="false">
      <c r="A398" s="34" t="n">
        <v>394</v>
      </c>
      <c r="B398" s="34" t="s">
        <v>842</v>
      </c>
      <c r="C398" s="34" t="n">
        <v>2</v>
      </c>
      <c r="D398" s="34" t="s">
        <v>149</v>
      </c>
      <c r="E398" s="35" t="s">
        <v>843</v>
      </c>
      <c r="F398" s="34" t="s">
        <v>681</v>
      </c>
      <c r="G398" s="34"/>
      <c r="H398" s="34"/>
      <c r="I398" s="36" t="n">
        <v>242</v>
      </c>
      <c r="J398" s="36" t="n">
        <v>0</v>
      </c>
      <c r="K398" s="37" t="n">
        <f aca="false">WORKDAY(Assumptions!$C$4,I398,Assumptions!$F$4:$F$44)</f>
        <v>46666</v>
      </c>
      <c r="L398" s="37" t="n">
        <f aca="false">IF(J398=0,K398,WORKDAY(K398,J398-1,Assumptions!$F$4:$F$44))</f>
        <v>46666</v>
      </c>
      <c r="M398" s="36"/>
      <c r="N398" s="38" t="n">
        <v>0</v>
      </c>
      <c r="O398" s="38" t="n">
        <v>0</v>
      </c>
      <c r="P398" s="38" t="n">
        <v>0</v>
      </c>
      <c r="Q398" s="38" t="n">
        <v>0</v>
      </c>
      <c r="R398" s="38" t="n">
        <v>0</v>
      </c>
      <c r="S398" s="38" t="n">
        <v>0</v>
      </c>
      <c r="T398" s="38" t="n">
        <v>0</v>
      </c>
      <c r="U398" s="38" t="n">
        <v>0</v>
      </c>
      <c r="V398" s="38" t="n">
        <v>0</v>
      </c>
      <c r="W398" s="38" t="n">
        <v>0</v>
      </c>
      <c r="X398" s="38" t="n">
        <v>0</v>
      </c>
      <c r="Y398" s="38" t="n">
        <f aca="false">SUM(N398:X398)</f>
        <v>0</v>
      </c>
      <c r="Z398" s="38" t="n">
        <f aca="false">Y398*(1+Assumptions!$C$5)</f>
        <v>0</v>
      </c>
      <c r="AA398" s="34"/>
      <c r="AB398" s="34" t="s">
        <v>95</v>
      </c>
      <c r="AC398" s="34"/>
      <c r="AD398" s="39" t="n">
        <v>0</v>
      </c>
      <c r="AF398" s="21" t="n">
        <v>0</v>
      </c>
      <c r="AG398" s="21" t="n">
        <v>0</v>
      </c>
      <c r="AH398" s="21" t="n">
        <v>0</v>
      </c>
      <c r="AI398" s="21" t="n">
        <v>0</v>
      </c>
      <c r="AJ398" s="21" t="n">
        <v>0</v>
      </c>
      <c r="AK398" s="21" t="n">
        <v>0</v>
      </c>
      <c r="AL398" s="21" t="n">
        <v>0</v>
      </c>
      <c r="AM398" s="21" t="n">
        <v>0</v>
      </c>
      <c r="AN398" s="21" t="n">
        <v>0</v>
      </c>
      <c r="AO398" s="21" t="n">
        <v>0</v>
      </c>
      <c r="AP398" s="21" t="n">
        <v>0</v>
      </c>
      <c r="AQ398" s="21" t="n">
        <v>0</v>
      </c>
      <c r="AR398" s="21" t="n">
        <v>0</v>
      </c>
      <c r="AS398" s="21" t="n">
        <v>0</v>
      </c>
      <c r="AT398" s="21" t="n">
        <v>0</v>
      </c>
      <c r="AU398" s="21" t="n">
        <v>0</v>
      </c>
      <c r="AV398" s="21" t="n">
        <v>0</v>
      </c>
      <c r="AW398" s="21" t="n">
        <v>0</v>
      </c>
      <c r="AX398" s="21" t="n">
        <v>0</v>
      </c>
      <c r="AY398" s="21" t="n">
        <v>0</v>
      </c>
      <c r="AZ398" s="21" t="n">
        <v>0</v>
      </c>
      <c r="BA398" s="21" t="n">
        <v>0</v>
      </c>
      <c r="BB398" s="21" t="n">
        <v>0</v>
      </c>
      <c r="BC398" s="21" t="n">
        <v>0</v>
      </c>
    </row>
    <row r="399" customFormat="false" ht="15" hidden="false" customHeight="false" outlineLevel="0" collapsed="false">
      <c r="A399" s="17" t="n">
        <v>395</v>
      </c>
      <c r="B399" s="17" t="s">
        <v>844</v>
      </c>
      <c r="C399" s="17" t="n">
        <v>1</v>
      </c>
      <c r="D399" s="17" t="s">
        <v>71</v>
      </c>
      <c r="E399" s="17" t="s">
        <v>845</v>
      </c>
      <c r="F399" s="17" t="s">
        <v>846</v>
      </c>
      <c r="G399" s="17"/>
      <c r="H399" s="17"/>
      <c r="I399" s="17"/>
      <c r="J399" s="17" t="n">
        <f aca="false">NETWORKDAYS(K399,L399,Assumptions!$F$4:$F$44)</f>
        <v>142</v>
      </c>
      <c r="K399" s="18" t="n">
        <f aca="false">MIN(K400:K478)</f>
        <v>46696</v>
      </c>
      <c r="L399" s="18" t="n">
        <f aca="false">MAX(L400:L478)</f>
        <v>46895</v>
      </c>
      <c r="M399" s="17"/>
      <c r="N399" s="19" t="n">
        <f aca="false">SUMPRODUCT(($C$400:$C$478=3)*(N400:N478))</f>
        <v>4</v>
      </c>
      <c r="O399" s="19" t="n">
        <f aca="false">SUMPRODUCT(($C$400:$C$478=3)*(O400:O478))</f>
        <v>101</v>
      </c>
      <c r="P399" s="19" t="n">
        <f aca="false">SUMPRODUCT(($C$400:$C$478=3)*(P400:P478))</f>
        <v>27</v>
      </c>
      <c r="Q399" s="19" t="n">
        <f aca="false">SUMPRODUCT(($C$400:$C$478=3)*(Q400:Q478))</f>
        <v>306</v>
      </c>
      <c r="R399" s="19" t="n">
        <f aca="false">SUMPRODUCT(($C$400:$C$478=3)*(R400:R478))</f>
        <v>151</v>
      </c>
      <c r="S399" s="19" t="n">
        <f aca="false">SUMPRODUCT(($C$400:$C$478=3)*(S400:S478))</f>
        <v>32</v>
      </c>
      <c r="T399" s="19" t="n">
        <f aca="false">SUMPRODUCT(($C$400:$C$478=3)*(T400:T478))</f>
        <v>8</v>
      </c>
      <c r="U399" s="19" t="n">
        <f aca="false">SUMPRODUCT(($C$400:$C$478=3)*(U400:U478))</f>
        <v>20</v>
      </c>
      <c r="V399" s="19" t="n">
        <f aca="false">SUMPRODUCT(($C$400:$C$478=3)*(V400:V478))</f>
        <v>147</v>
      </c>
      <c r="W399" s="19" t="n">
        <f aca="false">SUMPRODUCT(($C$400:$C$478=3)*(W400:W478))</f>
        <v>66</v>
      </c>
      <c r="X399" s="19" t="n">
        <f aca="false">SUMPRODUCT(($C$400:$C$478=3)*(X400:X478))</f>
        <v>34</v>
      </c>
      <c r="Y399" s="19" t="n">
        <f aca="false">SUM(N399:X399)</f>
        <v>896</v>
      </c>
      <c r="Z399" s="19" t="n">
        <f aca="false">Y399*(1+Assumptions!$C$5)</f>
        <v>1030.4</v>
      </c>
      <c r="AA399" s="17"/>
      <c r="AB399" s="17"/>
      <c r="AC399" s="17"/>
      <c r="AD399" s="20"/>
      <c r="AF399" s="21" t="n">
        <v>0</v>
      </c>
      <c r="AG399" s="21" t="n">
        <v>0</v>
      </c>
      <c r="AH399" s="21" t="n">
        <v>0</v>
      </c>
      <c r="AI399" s="21" t="n">
        <v>0</v>
      </c>
      <c r="AJ399" s="21" t="n">
        <v>0</v>
      </c>
      <c r="AK399" s="21" t="n">
        <v>0</v>
      </c>
      <c r="AL399" s="21" t="n">
        <v>0</v>
      </c>
      <c r="AM399" s="21" t="n">
        <v>0</v>
      </c>
      <c r="AN399" s="21" t="n">
        <v>0</v>
      </c>
      <c r="AO399" s="21" t="n">
        <v>0</v>
      </c>
      <c r="AP399" s="21" t="n">
        <v>0</v>
      </c>
      <c r="AQ399" s="21" t="n">
        <v>0</v>
      </c>
      <c r="AR399" s="21" t="n">
        <v>0</v>
      </c>
      <c r="AS399" s="21" t="n">
        <v>0</v>
      </c>
      <c r="AT399" s="21" t="n">
        <v>0</v>
      </c>
      <c r="AU399" s="21" t="n">
        <v>0</v>
      </c>
      <c r="AV399" s="21" t="n">
        <v>0</v>
      </c>
      <c r="AW399" s="21" t="n">
        <v>0</v>
      </c>
      <c r="AX399" s="21" t="n">
        <v>0</v>
      </c>
      <c r="AY399" s="21" t="n">
        <v>0</v>
      </c>
      <c r="AZ399" s="21" t="n">
        <v>0</v>
      </c>
      <c r="BA399" s="21" t="n">
        <v>0</v>
      </c>
      <c r="BB399" s="21" t="n">
        <v>0</v>
      </c>
      <c r="BC399" s="21" t="n">
        <v>0</v>
      </c>
    </row>
    <row r="400" customFormat="false" ht="15" hidden="false" customHeight="false" outlineLevel="1" collapsed="false">
      <c r="A400" s="22" t="n">
        <v>396</v>
      </c>
      <c r="B400" s="22" t="s">
        <v>847</v>
      </c>
      <c r="C400" s="22" t="n">
        <v>2</v>
      </c>
      <c r="D400" s="22" t="s">
        <v>89</v>
      </c>
      <c r="E400" s="23" t="s">
        <v>848</v>
      </c>
      <c r="F400" s="22" t="s">
        <v>846</v>
      </c>
      <c r="G400" s="22" t="s">
        <v>157</v>
      </c>
      <c r="H400" s="22"/>
      <c r="I400" s="22"/>
      <c r="J400" s="22" t="n">
        <f aca="false">NETWORKDAYS(K400,L400,Assumptions!$F$4:$F$44)</f>
        <v>59</v>
      </c>
      <c r="K400" s="24" t="n">
        <f aca="false">MIN(K401:K403)</f>
        <v>46715</v>
      </c>
      <c r="L400" s="24" t="n">
        <f aca="false">MAX(L401:L403)</f>
        <v>46797</v>
      </c>
      <c r="M400" s="22"/>
      <c r="N400" s="25" t="n">
        <f aca="false">SUMPRODUCT(($C$401:$C$403=3)*(N401:N403))</f>
        <v>0</v>
      </c>
      <c r="O400" s="25" t="n">
        <f aca="false">SUMPRODUCT(($C$401:$C$403=3)*(O401:O403))</f>
        <v>0</v>
      </c>
      <c r="P400" s="25" t="n">
        <f aca="false">SUMPRODUCT(($C$401:$C$403=3)*(P401:P403))</f>
        <v>0</v>
      </c>
      <c r="Q400" s="25" t="n">
        <f aca="false">SUMPRODUCT(($C$401:$C$403=3)*(Q401:Q403))</f>
        <v>20</v>
      </c>
      <c r="R400" s="25" t="n">
        <f aca="false">SUMPRODUCT(($C$401:$C$403=3)*(R401:R403))</f>
        <v>8</v>
      </c>
      <c r="S400" s="25" t="n">
        <f aca="false">SUMPRODUCT(($C$401:$C$403=3)*(S401:S403))</f>
        <v>0</v>
      </c>
      <c r="T400" s="25" t="n">
        <f aca="false">SUMPRODUCT(($C$401:$C$403=3)*(T401:T403))</f>
        <v>0</v>
      </c>
      <c r="U400" s="25" t="n">
        <f aca="false">SUMPRODUCT(($C$401:$C$403=3)*(U401:U403))</f>
        <v>0</v>
      </c>
      <c r="V400" s="25" t="n">
        <f aca="false">SUMPRODUCT(($C$401:$C$403=3)*(V401:V403))</f>
        <v>8</v>
      </c>
      <c r="W400" s="25" t="n">
        <f aca="false">SUMPRODUCT(($C$401:$C$403=3)*(W401:W403))</f>
        <v>16</v>
      </c>
      <c r="X400" s="25" t="n">
        <f aca="false">SUMPRODUCT(($C$401:$C$403=3)*(X401:X403))</f>
        <v>0</v>
      </c>
      <c r="Y400" s="25" t="n">
        <f aca="false">SUM(N400:X400)</f>
        <v>52</v>
      </c>
      <c r="Z400" s="25" t="n">
        <f aca="false">Y400*(1+Assumptions!$C$5)</f>
        <v>59.8</v>
      </c>
      <c r="AA400" s="22"/>
      <c r="AB400" s="22"/>
      <c r="AC400" s="22"/>
      <c r="AD400" s="26"/>
      <c r="AF400" s="21" t="n">
        <v>0</v>
      </c>
      <c r="AG400" s="21" t="n">
        <v>0</v>
      </c>
      <c r="AH400" s="21" t="n">
        <v>0</v>
      </c>
      <c r="AI400" s="21" t="n">
        <v>0</v>
      </c>
      <c r="AJ400" s="21" t="n">
        <v>0</v>
      </c>
      <c r="AK400" s="21" t="n">
        <v>0</v>
      </c>
      <c r="AL400" s="21" t="n">
        <v>0</v>
      </c>
      <c r="AM400" s="21" t="n">
        <v>0</v>
      </c>
      <c r="AN400" s="21" t="n">
        <v>0</v>
      </c>
      <c r="AO400" s="21" t="n">
        <v>0</v>
      </c>
      <c r="AP400" s="21" t="n">
        <v>0</v>
      </c>
      <c r="AQ400" s="21" t="n">
        <v>0</v>
      </c>
      <c r="AR400" s="21" t="n">
        <v>0</v>
      </c>
      <c r="AS400" s="21" t="n">
        <v>0</v>
      </c>
      <c r="AT400" s="21" t="n">
        <v>0</v>
      </c>
      <c r="AU400" s="21" t="n">
        <v>0</v>
      </c>
      <c r="AV400" s="21" t="n">
        <v>0</v>
      </c>
      <c r="AW400" s="21" t="n">
        <v>0</v>
      </c>
      <c r="AX400" s="21" t="n">
        <v>0</v>
      </c>
      <c r="AY400" s="21" t="n">
        <v>0</v>
      </c>
      <c r="AZ400" s="21" t="n">
        <v>0</v>
      </c>
      <c r="BA400" s="21" t="n">
        <v>0</v>
      </c>
      <c r="BB400" s="21" t="n">
        <v>0</v>
      </c>
      <c r="BC400" s="21" t="n">
        <v>0</v>
      </c>
    </row>
    <row r="401" customFormat="false" ht="15" hidden="false" customHeight="false" outlineLevel="2" collapsed="false">
      <c r="A401" s="27" t="n">
        <v>397</v>
      </c>
      <c r="B401" s="27" t="s">
        <v>849</v>
      </c>
      <c r="C401" s="27" t="n">
        <v>3</v>
      </c>
      <c r="D401" s="27" t="s">
        <v>92</v>
      </c>
      <c r="E401" s="28" t="s">
        <v>850</v>
      </c>
      <c r="F401" s="27" t="s">
        <v>846</v>
      </c>
      <c r="G401" s="27" t="s">
        <v>157</v>
      </c>
      <c r="H401" s="27" t="s">
        <v>47</v>
      </c>
      <c r="I401" s="29" t="n">
        <v>277</v>
      </c>
      <c r="J401" s="29" t="n">
        <v>59</v>
      </c>
      <c r="K401" s="30" t="n">
        <f aca="false">WORKDAY(Assumptions!$C$4,I401,Assumptions!$F$4:$F$44)</f>
        <v>46715</v>
      </c>
      <c r="L401" s="30" t="n">
        <f aca="false">IF(J401=0,K401,WORKDAY(K401,J401-1,Assumptions!$F$4:$F$44))</f>
        <v>46797</v>
      </c>
      <c r="M401" s="29"/>
      <c r="N401" s="31" t="n">
        <v>0</v>
      </c>
      <c r="O401" s="31" t="n">
        <v>0</v>
      </c>
      <c r="P401" s="31" t="n">
        <v>0</v>
      </c>
      <c r="Q401" s="31" t="n">
        <v>8</v>
      </c>
      <c r="R401" s="31" t="n">
        <v>0</v>
      </c>
      <c r="S401" s="31" t="n">
        <v>0</v>
      </c>
      <c r="T401" s="31" t="n">
        <v>0</v>
      </c>
      <c r="U401" s="31" t="n">
        <v>0</v>
      </c>
      <c r="V401" s="31" t="n">
        <v>4</v>
      </c>
      <c r="W401" s="31" t="n">
        <v>3</v>
      </c>
      <c r="X401" s="31" t="n">
        <v>0</v>
      </c>
      <c r="Y401" s="32" t="n">
        <f aca="false">SUM(N401:X401)</f>
        <v>15</v>
      </c>
      <c r="Z401" s="32" t="n">
        <f aca="false">Y401*(1+Assumptions!$C$5)</f>
        <v>17.25</v>
      </c>
      <c r="AA401" s="27" t="s">
        <v>507</v>
      </c>
      <c r="AB401" s="27" t="s">
        <v>95</v>
      </c>
      <c r="AC401" s="27"/>
      <c r="AD401" s="33" t="n">
        <v>0</v>
      </c>
      <c r="AF401" s="21" t="n">
        <f aca="false">IF($J401=0,0,MAX(0,NETWORKDAYS(MAX($K401,AF$4),MIN($L401,EOMONTH(AF$4,0)),Assumptions!$F$4:$F$44))/NETWORKDAYS($K401,$L401,Assumptions!$F$4:$F$44))</f>
        <v>0</v>
      </c>
      <c r="AG401" s="21" t="n">
        <f aca="false">IF($J401=0,0,MAX(0,NETWORKDAYS(MAX($K401,AG$4),MIN($L401,EOMONTH(AG$4,0)),Assumptions!$F$4:$F$44))/NETWORKDAYS($K401,$L401,Assumptions!$F$4:$F$44))</f>
        <v>0</v>
      </c>
      <c r="AH401" s="21" t="n">
        <f aca="false">IF($J401=0,0,MAX(0,NETWORKDAYS(MAX($K401,AH$4),MIN($L401,EOMONTH(AH$4,0)),Assumptions!$F$4:$F$44))/NETWORKDAYS($K401,$L401,Assumptions!$F$4:$F$44))</f>
        <v>0</v>
      </c>
      <c r="AI401" s="21" t="n">
        <f aca="false">IF($J401=0,0,MAX(0,NETWORKDAYS(MAX($K401,AI$4),MIN($L401,EOMONTH(AI$4,0)),Assumptions!$F$4:$F$44))/NETWORKDAYS($K401,$L401,Assumptions!$F$4:$F$44))</f>
        <v>0</v>
      </c>
      <c r="AJ401" s="21" t="n">
        <f aca="false">IF($J401=0,0,MAX(0,NETWORKDAYS(MAX($K401,AJ$4),MIN($L401,EOMONTH(AJ$4,0)),Assumptions!$F$4:$F$44))/NETWORKDAYS($K401,$L401,Assumptions!$F$4:$F$44))</f>
        <v>0</v>
      </c>
      <c r="AK401" s="21" t="n">
        <f aca="false">IF($J401=0,0,MAX(0,NETWORKDAYS(MAX($K401,AK$4),MIN($L401,EOMONTH(AK$4,0)),Assumptions!$F$4:$F$44))/NETWORKDAYS($K401,$L401,Assumptions!$F$4:$F$44))</f>
        <v>0</v>
      </c>
      <c r="AL401" s="21" t="n">
        <f aca="false">IF($J401=0,0,MAX(0,NETWORKDAYS(MAX($K401,AL$4),MIN($L401,EOMONTH(AL$4,0)),Assumptions!$F$4:$F$44))/NETWORKDAYS($K401,$L401,Assumptions!$F$4:$F$44))</f>
        <v>0</v>
      </c>
      <c r="AM401" s="21" t="n">
        <f aca="false">IF($J401=0,0,MAX(0,NETWORKDAYS(MAX($K401,AM$4),MIN($L401,EOMONTH(AM$4,0)),Assumptions!$F$4:$F$44))/NETWORKDAYS($K401,$L401,Assumptions!$F$4:$F$44))</f>
        <v>0</v>
      </c>
      <c r="AN401" s="21" t="n">
        <f aca="false">IF($J401=0,0,MAX(0,NETWORKDAYS(MAX($K401,AN$4),MIN($L401,EOMONTH(AN$4,0)),Assumptions!$F$4:$F$44))/NETWORKDAYS($K401,$L401,Assumptions!$F$4:$F$44))</f>
        <v>0</v>
      </c>
      <c r="AO401" s="21" t="n">
        <f aca="false">IF($J401=0,0,MAX(0,NETWORKDAYS(MAX($K401,AO$4),MIN($L401,EOMONTH(AO$4,0)),Assumptions!$F$4:$F$44))/NETWORKDAYS($K401,$L401,Assumptions!$F$4:$F$44))</f>
        <v>0</v>
      </c>
      <c r="AP401" s="21" t="n">
        <f aca="false">IF($J401=0,0,MAX(0,NETWORKDAYS(MAX($K401,AP$4),MIN($L401,EOMONTH(AP$4,0)),Assumptions!$F$4:$F$44))/NETWORKDAYS($K401,$L401,Assumptions!$F$4:$F$44))</f>
        <v>0</v>
      </c>
      <c r="AQ401" s="21" t="n">
        <f aca="false">IF($J401=0,0,MAX(0,NETWORKDAYS(MAX($K401,AQ$4),MIN($L401,EOMONTH(AQ$4,0)),Assumptions!$F$4:$F$44))/NETWORKDAYS($K401,$L401,Assumptions!$F$4:$F$44))</f>
        <v>0</v>
      </c>
      <c r="AR401" s="21" t="n">
        <f aca="false">IF($J401=0,0,MAX(0,NETWORKDAYS(MAX($K401,AR$4),MIN($L401,EOMONTH(AR$4,0)),Assumptions!$F$4:$F$44))/NETWORKDAYS($K401,$L401,Assumptions!$F$4:$F$44))</f>
        <v>0.0847457627118644</v>
      </c>
      <c r="AS401" s="21" t="n">
        <f aca="false">IF($J401=0,0,MAX(0,NETWORKDAYS(MAX($K401,AS$4),MIN($L401,EOMONTH(AS$4,0)),Assumptions!$F$4:$F$44))/NETWORKDAYS($K401,$L401,Assumptions!$F$4:$F$44))</f>
        <v>0.389830508474576</v>
      </c>
      <c r="AT401" s="21" t="n">
        <f aca="false">IF($J401=0,0,MAX(0,NETWORKDAYS(MAX($K401,AT$4),MIN($L401,EOMONTH(AT$4,0)),Assumptions!$F$4:$F$44))/NETWORKDAYS($K401,$L401,Assumptions!$F$4:$F$44))</f>
        <v>0.355932203389831</v>
      </c>
      <c r="AU401" s="21" t="n">
        <f aca="false">IF($J401=0,0,MAX(0,NETWORKDAYS(MAX($K401,AU$4),MIN($L401,EOMONTH(AU$4,0)),Assumptions!$F$4:$F$44))/NETWORKDAYS($K401,$L401,Assumptions!$F$4:$F$44))</f>
        <v>0.169491525423729</v>
      </c>
      <c r="AV401" s="21" t="n">
        <f aca="false">IF($J401=0,0,MAX(0,NETWORKDAYS(MAX($K401,AV$4),MIN($L401,EOMONTH(AV$4,0)),Assumptions!$F$4:$F$44))/NETWORKDAYS($K401,$L401,Assumptions!$F$4:$F$44))</f>
        <v>0</v>
      </c>
      <c r="AW401" s="21" t="n">
        <f aca="false">IF($J401=0,0,MAX(0,NETWORKDAYS(MAX($K401,AW$4),MIN($L401,EOMONTH(AW$4,0)),Assumptions!$F$4:$F$44))/NETWORKDAYS($K401,$L401,Assumptions!$F$4:$F$44))</f>
        <v>0</v>
      </c>
      <c r="AX401" s="21" t="n">
        <f aca="false">IF($J401=0,0,MAX(0,NETWORKDAYS(MAX($K401,AX$4),MIN($L401,EOMONTH(AX$4,0)),Assumptions!$F$4:$F$44))/NETWORKDAYS($K401,$L401,Assumptions!$F$4:$F$44))</f>
        <v>0</v>
      </c>
      <c r="AY401" s="21" t="n">
        <f aca="false">IF($J401=0,0,MAX(0,NETWORKDAYS(MAX($K401,AY$4),MIN($L401,EOMONTH(AY$4,0)),Assumptions!$F$4:$F$44))/NETWORKDAYS($K401,$L401,Assumptions!$F$4:$F$44))</f>
        <v>0</v>
      </c>
      <c r="AZ401" s="21" t="n">
        <f aca="false">IF($J401=0,0,MAX(0,NETWORKDAYS(MAX($K401,AZ$4),MIN($L401,EOMONTH(AZ$4,0)),Assumptions!$F$4:$F$44))/NETWORKDAYS($K401,$L401,Assumptions!$F$4:$F$44))</f>
        <v>0</v>
      </c>
      <c r="BA401" s="21" t="n">
        <f aca="false">IF($J401=0,0,MAX(0,NETWORKDAYS(MAX($K401,BA$4),MIN($L401,EOMONTH(BA$4,0)),Assumptions!$F$4:$F$44))/NETWORKDAYS($K401,$L401,Assumptions!$F$4:$F$44))</f>
        <v>0</v>
      </c>
      <c r="BB401" s="21" t="n">
        <f aca="false">IF($J401=0,0,MAX(0,NETWORKDAYS(MAX($K401,BB$4),MIN($L401,EOMONTH(BB$4,0)),Assumptions!$F$4:$F$44))/NETWORKDAYS($K401,$L401,Assumptions!$F$4:$F$44))</f>
        <v>0</v>
      </c>
      <c r="BC401" s="21" t="n">
        <f aca="false">IF($J401=0,0,MAX(0,NETWORKDAYS(MAX($K401,BC$4),MIN($L401,EOMONTH(BC$4,0)),Assumptions!$F$4:$F$44))/NETWORKDAYS($K401,$L401,Assumptions!$F$4:$F$44))</f>
        <v>0</v>
      </c>
    </row>
    <row r="402" customFormat="false" ht="15" hidden="false" customHeight="false" outlineLevel="2" collapsed="false">
      <c r="A402" s="27" t="n">
        <v>398</v>
      </c>
      <c r="B402" s="27" t="s">
        <v>851</v>
      </c>
      <c r="C402" s="27" t="n">
        <v>3</v>
      </c>
      <c r="D402" s="27" t="s">
        <v>92</v>
      </c>
      <c r="E402" s="28" t="s">
        <v>852</v>
      </c>
      <c r="F402" s="27" t="s">
        <v>846</v>
      </c>
      <c r="G402" s="27" t="s">
        <v>157</v>
      </c>
      <c r="H402" s="27" t="s">
        <v>59</v>
      </c>
      <c r="I402" s="29" t="n">
        <v>277</v>
      </c>
      <c r="J402" s="29" t="n">
        <v>59</v>
      </c>
      <c r="K402" s="30" t="n">
        <f aca="false">WORKDAY(Assumptions!$C$4,I402,Assumptions!$F$4:$F$44)</f>
        <v>46715</v>
      </c>
      <c r="L402" s="30" t="n">
        <f aca="false">IF(J402=0,K402,WORKDAY(K402,J402-1,Assumptions!$F$4:$F$44))</f>
        <v>46797</v>
      </c>
      <c r="M402" s="29"/>
      <c r="N402" s="31" t="n">
        <v>0</v>
      </c>
      <c r="O402" s="31" t="n">
        <v>0</v>
      </c>
      <c r="P402" s="31" t="n">
        <v>0</v>
      </c>
      <c r="Q402" s="31" t="n">
        <v>4</v>
      </c>
      <c r="R402" s="31" t="n">
        <v>0</v>
      </c>
      <c r="S402" s="31" t="n">
        <v>0</v>
      </c>
      <c r="T402" s="31" t="n">
        <v>0</v>
      </c>
      <c r="U402" s="31" t="n">
        <v>0</v>
      </c>
      <c r="V402" s="31" t="n">
        <v>0</v>
      </c>
      <c r="W402" s="31" t="n">
        <v>8</v>
      </c>
      <c r="X402" s="31" t="n">
        <v>0</v>
      </c>
      <c r="Y402" s="32" t="n">
        <f aca="false">SUM(N402:X402)</f>
        <v>12</v>
      </c>
      <c r="Z402" s="32" t="n">
        <f aca="false">Y402*(1+Assumptions!$C$5)</f>
        <v>13.8</v>
      </c>
      <c r="AA402" s="27" t="s">
        <v>507</v>
      </c>
      <c r="AB402" s="27" t="s">
        <v>95</v>
      </c>
      <c r="AC402" s="27"/>
      <c r="AD402" s="33" t="n">
        <v>0</v>
      </c>
      <c r="AF402" s="21" t="n">
        <f aca="false">IF($J402=0,0,MAX(0,NETWORKDAYS(MAX($K402,AF$4),MIN($L402,EOMONTH(AF$4,0)),Assumptions!$F$4:$F$44))/NETWORKDAYS($K402,$L402,Assumptions!$F$4:$F$44))</f>
        <v>0</v>
      </c>
      <c r="AG402" s="21" t="n">
        <f aca="false">IF($J402=0,0,MAX(0,NETWORKDAYS(MAX($K402,AG$4),MIN($L402,EOMONTH(AG$4,0)),Assumptions!$F$4:$F$44))/NETWORKDAYS($K402,$L402,Assumptions!$F$4:$F$44))</f>
        <v>0</v>
      </c>
      <c r="AH402" s="21" t="n">
        <f aca="false">IF($J402=0,0,MAX(0,NETWORKDAYS(MAX($K402,AH$4),MIN($L402,EOMONTH(AH$4,0)),Assumptions!$F$4:$F$44))/NETWORKDAYS($K402,$L402,Assumptions!$F$4:$F$44))</f>
        <v>0</v>
      </c>
      <c r="AI402" s="21" t="n">
        <f aca="false">IF($J402=0,0,MAX(0,NETWORKDAYS(MAX($K402,AI$4),MIN($L402,EOMONTH(AI$4,0)),Assumptions!$F$4:$F$44))/NETWORKDAYS($K402,$L402,Assumptions!$F$4:$F$44))</f>
        <v>0</v>
      </c>
      <c r="AJ402" s="21" t="n">
        <f aca="false">IF($J402=0,0,MAX(0,NETWORKDAYS(MAX($K402,AJ$4),MIN($L402,EOMONTH(AJ$4,0)),Assumptions!$F$4:$F$44))/NETWORKDAYS($K402,$L402,Assumptions!$F$4:$F$44))</f>
        <v>0</v>
      </c>
      <c r="AK402" s="21" t="n">
        <f aca="false">IF($J402=0,0,MAX(0,NETWORKDAYS(MAX($K402,AK$4),MIN($L402,EOMONTH(AK$4,0)),Assumptions!$F$4:$F$44))/NETWORKDAYS($K402,$L402,Assumptions!$F$4:$F$44))</f>
        <v>0</v>
      </c>
      <c r="AL402" s="21" t="n">
        <f aca="false">IF($J402=0,0,MAX(0,NETWORKDAYS(MAX($K402,AL$4),MIN($L402,EOMONTH(AL$4,0)),Assumptions!$F$4:$F$44))/NETWORKDAYS($K402,$L402,Assumptions!$F$4:$F$44))</f>
        <v>0</v>
      </c>
      <c r="AM402" s="21" t="n">
        <f aca="false">IF($J402=0,0,MAX(0,NETWORKDAYS(MAX($K402,AM$4),MIN($L402,EOMONTH(AM$4,0)),Assumptions!$F$4:$F$44))/NETWORKDAYS($K402,$L402,Assumptions!$F$4:$F$44))</f>
        <v>0</v>
      </c>
      <c r="AN402" s="21" t="n">
        <f aca="false">IF($J402=0,0,MAX(0,NETWORKDAYS(MAX($K402,AN$4),MIN($L402,EOMONTH(AN$4,0)),Assumptions!$F$4:$F$44))/NETWORKDAYS($K402,$L402,Assumptions!$F$4:$F$44))</f>
        <v>0</v>
      </c>
      <c r="AO402" s="21" t="n">
        <f aca="false">IF($J402=0,0,MAX(0,NETWORKDAYS(MAX($K402,AO$4),MIN($L402,EOMONTH(AO$4,0)),Assumptions!$F$4:$F$44))/NETWORKDAYS($K402,$L402,Assumptions!$F$4:$F$44))</f>
        <v>0</v>
      </c>
      <c r="AP402" s="21" t="n">
        <f aca="false">IF($J402=0,0,MAX(0,NETWORKDAYS(MAX($K402,AP$4),MIN($L402,EOMONTH(AP$4,0)),Assumptions!$F$4:$F$44))/NETWORKDAYS($K402,$L402,Assumptions!$F$4:$F$44))</f>
        <v>0</v>
      </c>
      <c r="AQ402" s="21" t="n">
        <f aca="false">IF($J402=0,0,MAX(0,NETWORKDAYS(MAX($K402,AQ$4),MIN($L402,EOMONTH(AQ$4,0)),Assumptions!$F$4:$F$44))/NETWORKDAYS($K402,$L402,Assumptions!$F$4:$F$44))</f>
        <v>0</v>
      </c>
      <c r="AR402" s="21" t="n">
        <f aca="false">IF($J402=0,0,MAX(0,NETWORKDAYS(MAX($K402,AR$4),MIN($L402,EOMONTH(AR$4,0)),Assumptions!$F$4:$F$44))/NETWORKDAYS($K402,$L402,Assumptions!$F$4:$F$44))</f>
        <v>0.0847457627118644</v>
      </c>
      <c r="AS402" s="21" t="n">
        <f aca="false">IF($J402=0,0,MAX(0,NETWORKDAYS(MAX($K402,AS$4),MIN($L402,EOMONTH(AS$4,0)),Assumptions!$F$4:$F$44))/NETWORKDAYS($K402,$L402,Assumptions!$F$4:$F$44))</f>
        <v>0.389830508474576</v>
      </c>
      <c r="AT402" s="21" t="n">
        <f aca="false">IF($J402=0,0,MAX(0,NETWORKDAYS(MAX($K402,AT$4),MIN($L402,EOMONTH(AT$4,0)),Assumptions!$F$4:$F$44))/NETWORKDAYS($K402,$L402,Assumptions!$F$4:$F$44))</f>
        <v>0.355932203389831</v>
      </c>
      <c r="AU402" s="21" t="n">
        <f aca="false">IF($J402=0,0,MAX(0,NETWORKDAYS(MAX($K402,AU$4),MIN($L402,EOMONTH(AU$4,0)),Assumptions!$F$4:$F$44))/NETWORKDAYS($K402,$L402,Assumptions!$F$4:$F$44))</f>
        <v>0.169491525423729</v>
      </c>
      <c r="AV402" s="21" t="n">
        <f aca="false">IF($J402=0,0,MAX(0,NETWORKDAYS(MAX($K402,AV$4),MIN($L402,EOMONTH(AV$4,0)),Assumptions!$F$4:$F$44))/NETWORKDAYS($K402,$L402,Assumptions!$F$4:$F$44))</f>
        <v>0</v>
      </c>
      <c r="AW402" s="21" t="n">
        <f aca="false">IF($J402=0,0,MAX(0,NETWORKDAYS(MAX($K402,AW$4),MIN($L402,EOMONTH(AW$4,0)),Assumptions!$F$4:$F$44))/NETWORKDAYS($K402,$L402,Assumptions!$F$4:$F$44))</f>
        <v>0</v>
      </c>
      <c r="AX402" s="21" t="n">
        <f aca="false">IF($J402=0,0,MAX(0,NETWORKDAYS(MAX($K402,AX$4),MIN($L402,EOMONTH(AX$4,0)),Assumptions!$F$4:$F$44))/NETWORKDAYS($K402,$L402,Assumptions!$F$4:$F$44))</f>
        <v>0</v>
      </c>
      <c r="AY402" s="21" t="n">
        <f aca="false">IF($J402=0,0,MAX(0,NETWORKDAYS(MAX($K402,AY$4),MIN($L402,EOMONTH(AY$4,0)),Assumptions!$F$4:$F$44))/NETWORKDAYS($K402,$L402,Assumptions!$F$4:$F$44))</f>
        <v>0</v>
      </c>
      <c r="AZ402" s="21" t="n">
        <f aca="false">IF($J402=0,0,MAX(0,NETWORKDAYS(MAX($K402,AZ$4),MIN($L402,EOMONTH(AZ$4,0)),Assumptions!$F$4:$F$44))/NETWORKDAYS($K402,$L402,Assumptions!$F$4:$F$44))</f>
        <v>0</v>
      </c>
      <c r="BA402" s="21" t="n">
        <f aca="false">IF($J402=0,0,MAX(0,NETWORKDAYS(MAX($K402,BA$4),MIN($L402,EOMONTH(BA$4,0)),Assumptions!$F$4:$F$44))/NETWORKDAYS($K402,$L402,Assumptions!$F$4:$F$44))</f>
        <v>0</v>
      </c>
      <c r="BB402" s="21" t="n">
        <f aca="false">IF($J402=0,0,MAX(0,NETWORKDAYS(MAX($K402,BB$4),MIN($L402,EOMONTH(BB$4,0)),Assumptions!$F$4:$F$44))/NETWORKDAYS($K402,$L402,Assumptions!$F$4:$F$44))</f>
        <v>0</v>
      </c>
      <c r="BC402" s="21" t="n">
        <f aca="false">IF($J402=0,0,MAX(0,NETWORKDAYS(MAX($K402,BC$4),MIN($L402,EOMONTH(BC$4,0)),Assumptions!$F$4:$F$44))/NETWORKDAYS($K402,$L402,Assumptions!$F$4:$F$44))</f>
        <v>0</v>
      </c>
    </row>
    <row r="403" customFormat="false" ht="15" hidden="false" customHeight="false" outlineLevel="2" collapsed="false">
      <c r="A403" s="27" t="n">
        <v>399</v>
      </c>
      <c r="B403" s="27" t="s">
        <v>853</v>
      </c>
      <c r="C403" s="27" t="n">
        <v>3</v>
      </c>
      <c r="D403" s="27" t="s">
        <v>92</v>
      </c>
      <c r="E403" s="28" t="s">
        <v>854</v>
      </c>
      <c r="F403" s="27" t="s">
        <v>846</v>
      </c>
      <c r="G403" s="27" t="s">
        <v>157</v>
      </c>
      <c r="H403" s="27" t="s">
        <v>47</v>
      </c>
      <c r="I403" s="29" t="n">
        <v>277</v>
      </c>
      <c r="J403" s="29" t="n">
        <v>59</v>
      </c>
      <c r="K403" s="30" t="n">
        <f aca="false">WORKDAY(Assumptions!$C$4,I403,Assumptions!$F$4:$F$44)</f>
        <v>46715</v>
      </c>
      <c r="L403" s="30" t="n">
        <f aca="false">IF(J403=0,K403,WORKDAY(K403,J403-1,Assumptions!$F$4:$F$44))</f>
        <v>46797</v>
      </c>
      <c r="M403" s="29"/>
      <c r="N403" s="31" t="n">
        <v>0</v>
      </c>
      <c r="O403" s="31" t="n">
        <v>0</v>
      </c>
      <c r="P403" s="31" t="n">
        <v>0</v>
      </c>
      <c r="Q403" s="31" t="n">
        <v>8</v>
      </c>
      <c r="R403" s="31" t="n">
        <v>8</v>
      </c>
      <c r="S403" s="31" t="n">
        <v>0</v>
      </c>
      <c r="T403" s="31" t="n">
        <v>0</v>
      </c>
      <c r="U403" s="31" t="n">
        <v>0</v>
      </c>
      <c r="V403" s="31" t="n">
        <v>4</v>
      </c>
      <c r="W403" s="31" t="n">
        <v>5</v>
      </c>
      <c r="X403" s="31" t="n">
        <v>0</v>
      </c>
      <c r="Y403" s="32" t="n">
        <f aca="false">SUM(N403:X403)</f>
        <v>25</v>
      </c>
      <c r="Z403" s="32" t="n">
        <f aca="false">Y403*(1+Assumptions!$C$5)</f>
        <v>28.75</v>
      </c>
      <c r="AA403" s="27" t="s">
        <v>507</v>
      </c>
      <c r="AB403" s="27" t="s">
        <v>95</v>
      </c>
      <c r="AC403" s="27"/>
      <c r="AD403" s="33" t="n">
        <v>0</v>
      </c>
      <c r="AF403" s="21" t="n">
        <f aca="false">IF($J403=0,0,MAX(0,NETWORKDAYS(MAX($K403,AF$4),MIN($L403,EOMONTH(AF$4,0)),Assumptions!$F$4:$F$44))/NETWORKDAYS($K403,$L403,Assumptions!$F$4:$F$44))</f>
        <v>0</v>
      </c>
      <c r="AG403" s="21" t="n">
        <f aca="false">IF($J403=0,0,MAX(0,NETWORKDAYS(MAX($K403,AG$4),MIN($L403,EOMONTH(AG$4,0)),Assumptions!$F$4:$F$44))/NETWORKDAYS($K403,$L403,Assumptions!$F$4:$F$44))</f>
        <v>0</v>
      </c>
      <c r="AH403" s="21" t="n">
        <f aca="false">IF($J403=0,0,MAX(0,NETWORKDAYS(MAX($K403,AH$4),MIN($L403,EOMONTH(AH$4,0)),Assumptions!$F$4:$F$44))/NETWORKDAYS($K403,$L403,Assumptions!$F$4:$F$44))</f>
        <v>0</v>
      </c>
      <c r="AI403" s="21" t="n">
        <f aca="false">IF($J403=0,0,MAX(0,NETWORKDAYS(MAX($K403,AI$4),MIN($L403,EOMONTH(AI$4,0)),Assumptions!$F$4:$F$44))/NETWORKDAYS($K403,$L403,Assumptions!$F$4:$F$44))</f>
        <v>0</v>
      </c>
      <c r="AJ403" s="21" t="n">
        <f aca="false">IF($J403=0,0,MAX(0,NETWORKDAYS(MAX($K403,AJ$4),MIN($L403,EOMONTH(AJ$4,0)),Assumptions!$F$4:$F$44))/NETWORKDAYS($K403,$L403,Assumptions!$F$4:$F$44))</f>
        <v>0</v>
      </c>
      <c r="AK403" s="21" t="n">
        <f aca="false">IF($J403=0,0,MAX(0,NETWORKDAYS(MAX($K403,AK$4),MIN($L403,EOMONTH(AK$4,0)),Assumptions!$F$4:$F$44))/NETWORKDAYS($K403,$L403,Assumptions!$F$4:$F$44))</f>
        <v>0</v>
      </c>
      <c r="AL403" s="21" t="n">
        <f aca="false">IF($J403=0,0,MAX(0,NETWORKDAYS(MAX($K403,AL$4),MIN($L403,EOMONTH(AL$4,0)),Assumptions!$F$4:$F$44))/NETWORKDAYS($K403,$L403,Assumptions!$F$4:$F$44))</f>
        <v>0</v>
      </c>
      <c r="AM403" s="21" t="n">
        <f aca="false">IF($J403=0,0,MAX(0,NETWORKDAYS(MAX($K403,AM$4),MIN($L403,EOMONTH(AM$4,0)),Assumptions!$F$4:$F$44))/NETWORKDAYS($K403,$L403,Assumptions!$F$4:$F$44))</f>
        <v>0</v>
      </c>
      <c r="AN403" s="21" t="n">
        <f aca="false">IF($J403=0,0,MAX(0,NETWORKDAYS(MAX($K403,AN$4),MIN($L403,EOMONTH(AN$4,0)),Assumptions!$F$4:$F$44))/NETWORKDAYS($K403,$L403,Assumptions!$F$4:$F$44))</f>
        <v>0</v>
      </c>
      <c r="AO403" s="21" t="n">
        <f aca="false">IF($J403=0,0,MAX(0,NETWORKDAYS(MAX($K403,AO$4),MIN($L403,EOMONTH(AO$4,0)),Assumptions!$F$4:$F$44))/NETWORKDAYS($K403,$L403,Assumptions!$F$4:$F$44))</f>
        <v>0</v>
      </c>
      <c r="AP403" s="21" t="n">
        <f aca="false">IF($J403=0,0,MAX(0,NETWORKDAYS(MAX($K403,AP$4),MIN($L403,EOMONTH(AP$4,0)),Assumptions!$F$4:$F$44))/NETWORKDAYS($K403,$L403,Assumptions!$F$4:$F$44))</f>
        <v>0</v>
      </c>
      <c r="AQ403" s="21" t="n">
        <f aca="false">IF($J403=0,0,MAX(0,NETWORKDAYS(MAX($K403,AQ$4),MIN($L403,EOMONTH(AQ$4,0)),Assumptions!$F$4:$F$44))/NETWORKDAYS($K403,$L403,Assumptions!$F$4:$F$44))</f>
        <v>0</v>
      </c>
      <c r="AR403" s="21" t="n">
        <f aca="false">IF($J403=0,0,MAX(0,NETWORKDAYS(MAX($K403,AR$4),MIN($L403,EOMONTH(AR$4,0)),Assumptions!$F$4:$F$44))/NETWORKDAYS($K403,$L403,Assumptions!$F$4:$F$44))</f>
        <v>0.0847457627118644</v>
      </c>
      <c r="AS403" s="21" t="n">
        <f aca="false">IF($J403=0,0,MAX(0,NETWORKDAYS(MAX($K403,AS$4),MIN($L403,EOMONTH(AS$4,0)),Assumptions!$F$4:$F$44))/NETWORKDAYS($K403,$L403,Assumptions!$F$4:$F$44))</f>
        <v>0.389830508474576</v>
      </c>
      <c r="AT403" s="21" t="n">
        <f aca="false">IF($J403=0,0,MAX(0,NETWORKDAYS(MAX($K403,AT$4),MIN($L403,EOMONTH(AT$4,0)),Assumptions!$F$4:$F$44))/NETWORKDAYS($K403,$L403,Assumptions!$F$4:$F$44))</f>
        <v>0.355932203389831</v>
      </c>
      <c r="AU403" s="21" t="n">
        <f aca="false">IF($J403=0,0,MAX(0,NETWORKDAYS(MAX($K403,AU$4),MIN($L403,EOMONTH(AU$4,0)),Assumptions!$F$4:$F$44))/NETWORKDAYS($K403,$L403,Assumptions!$F$4:$F$44))</f>
        <v>0.169491525423729</v>
      </c>
      <c r="AV403" s="21" t="n">
        <f aca="false">IF($J403=0,0,MAX(0,NETWORKDAYS(MAX($K403,AV$4),MIN($L403,EOMONTH(AV$4,0)),Assumptions!$F$4:$F$44))/NETWORKDAYS($K403,$L403,Assumptions!$F$4:$F$44))</f>
        <v>0</v>
      </c>
      <c r="AW403" s="21" t="n">
        <f aca="false">IF($J403=0,0,MAX(0,NETWORKDAYS(MAX($K403,AW$4),MIN($L403,EOMONTH(AW$4,0)),Assumptions!$F$4:$F$44))/NETWORKDAYS($K403,$L403,Assumptions!$F$4:$F$44))</f>
        <v>0</v>
      </c>
      <c r="AX403" s="21" t="n">
        <f aca="false">IF($J403=0,0,MAX(0,NETWORKDAYS(MAX($K403,AX$4),MIN($L403,EOMONTH(AX$4,0)),Assumptions!$F$4:$F$44))/NETWORKDAYS($K403,$L403,Assumptions!$F$4:$F$44))</f>
        <v>0</v>
      </c>
      <c r="AY403" s="21" t="n">
        <f aca="false">IF($J403=0,0,MAX(0,NETWORKDAYS(MAX($K403,AY$4),MIN($L403,EOMONTH(AY$4,0)),Assumptions!$F$4:$F$44))/NETWORKDAYS($K403,$L403,Assumptions!$F$4:$F$44))</f>
        <v>0</v>
      </c>
      <c r="AZ403" s="21" t="n">
        <f aca="false">IF($J403=0,0,MAX(0,NETWORKDAYS(MAX($K403,AZ$4),MIN($L403,EOMONTH(AZ$4,0)),Assumptions!$F$4:$F$44))/NETWORKDAYS($K403,$L403,Assumptions!$F$4:$F$44))</f>
        <v>0</v>
      </c>
      <c r="BA403" s="21" t="n">
        <f aca="false">IF($J403=0,0,MAX(0,NETWORKDAYS(MAX($K403,BA$4),MIN($L403,EOMONTH(BA$4,0)),Assumptions!$F$4:$F$44))/NETWORKDAYS($K403,$L403,Assumptions!$F$4:$F$44))</f>
        <v>0</v>
      </c>
      <c r="BB403" s="21" t="n">
        <f aca="false">IF($J403=0,0,MAX(0,NETWORKDAYS(MAX($K403,BB$4),MIN($L403,EOMONTH(BB$4,0)),Assumptions!$F$4:$F$44))/NETWORKDAYS($K403,$L403,Assumptions!$F$4:$F$44))</f>
        <v>0</v>
      </c>
      <c r="BC403" s="21" t="n">
        <f aca="false">IF($J403=0,0,MAX(0,NETWORKDAYS(MAX($K403,BC$4),MIN($L403,EOMONTH(BC$4,0)),Assumptions!$F$4:$F$44))/NETWORKDAYS($K403,$L403,Assumptions!$F$4:$F$44))</f>
        <v>0</v>
      </c>
    </row>
    <row r="404" customFormat="false" ht="15" hidden="false" customHeight="false" outlineLevel="1" collapsed="false">
      <c r="A404" s="22" t="n">
        <v>400</v>
      </c>
      <c r="B404" s="22" t="s">
        <v>855</v>
      </c>
      <c r="C404" s="22" t="n">
        <v>2</v>
      </c>
      <c r="D404" s="22" t="s">
        <v>89</v>
      </c>
      <c r="E404" s="23" t="s">
        <v>856</v>
      </c>
      <c r="F404" s="22" t="s">
        <v>846</v>
      </c>
      <c r="G404" s="22" t="s">
        <v>857</v>
      </c>
      <c r="H404" s="22"/>
      <c r="I404" s="22"/>
      <c r="J404" s="22" t="n">
        <f aca="false">NETWORKDAYS(K404,L404,Assumptions!$F$4:$F$44)</f>
        <v>119</v>
      </c>
      <c r="K404" s="24" t="n">
        <f aca="false">MIN(K405:K419)</f>
        <v>46696</v>
      </c>
      <c r="L404" s="24" t="n">
        <f aca="false">MAX(L405:L419)</f>
        <v>46862</v>
      </c>
      <c r="M404" s="22"/>
      <c r="N404" s="25" t="n">
        <f aca="false">SUMPRODUCT(($C$405:$C$419=3)*(N405:N419))</f>
        <v>1</v>
      </c>
      <c r="O404" s="25" t="n">
        <f aca="false">SUMPRODUCT(($C$405:$C$419=3)*(O405:O419))</f>
        <v>25</v>
      </c>
      <c r="P404" s="25" t="n">
        <f aca="false">SUMPRODUCT(($C$405:$C$419=3)*(P405:P419))</f>
        <v>7</v>
      </c>
      <c r="Q404" s="25" t="n">
        <f aca="false">SUMPRODUCT(($C$405:$C$419=3)*(Q405:Q419))</f>
        <v>71</v>
      </c>
      <c r="R404" s="25" t="n">
        <f aca="false">SUMPRODUCT(($C$405:$C$419=3)*(R405:R419))</f>
        <v>39</v>
      </c>
      <c r="S404" s="25" t="n">
        <f aca="false">SUMPRODUCT(($C$405:$C$419=3)*(S405:S419))</f>
        <v>11</v>
      </c>
      <c r="T404" s="25" t="n">
        <f aca="false">SUMPRODUCT(($C$405:$C$419=3)*(T405:T419))</f>
        <v>0</v>
      </c>
      <c r="U404" s="25" t="n">
        <f aca="false">SUMPRODUCT(($C$405:$C$419=3)*(U405:U419))</f>
        <v>0</v>
      </c>
      <c r="V404" s="25" t="n">
        <f aca="false">SUMPRODUCT(($C$405:$C$419=3)*(V405:V419))</f>
        <v>30</v>
      </c>
      <c r="W404" s="25" t="n">
        <f aca="false">SUMPRODUCT(($C$405:$C$419=3)*(W405:W419))</f>
        <v>11</v>
      </c>
      <c r="X404" s="25" t="n">
        <f aca="false">SUMPRODUCT(($C$405:$C$419=3)*(X405:X419))</f>
        <v>6</v>
      </c>
      <c r="Y404" s="25" t="n">
        <f aca="false">SUM(N404:X404)</f>
        <v>201</v>
      </c>
      <c r="Z404" s="25" t="n">
        <f aca="false">Y404*(1+Assumptions!$C$5)</f>
        <v>231.15</v>
      </c>
      <c r="AA404" s="22" t="s">
        <v>858</v>
      </c>
      <c r="AB404" s="22"/>
      <c r="AC404" s="22"/>
      <c r="AD404" s="26"/>
      <c r="AF404" s="21" t="n">
        <v>0</v>
      </c>
      <c r="AG404" s="21" t="n">
        <v>0</v>
      </c>
      <c r="AH404" s="21" t="n">
        <v>0</v>
      </c>
      <c r="AI404" s="21" t="n">
        <v>0</v>
      </c>
      <c r="AJ404" s="21" t="n">
        <v>0</v>
      </c>
      <c r="AK404" s="21" t="n">
        <v>0</v>
      </c>
      <c r="AL404" s="21" t="n">
        <v>0</v>
      </c>
      <c r="AM404" s="21" t="n">
        <v>0</v>
      </c>
      <c r="AN404" s="21" t="n">
        <v>0</v>
      </c>
      <c r="AO404" s="21" t="n">
        <v>0</v>
      </c>
      <c r="AP404" s="21" t="n">
        <v>0</v>
      </c>
      <c r="AQ404" s="21" t="n">
        <v>0</v>
      </c>
      <c r="AR404" s="21" t="n">
        <v>0</v>
      </c>
      <c r="AS404" s="21" t="n">
        <v>0</v>
      </c>
      <c r="AT404" s="21" t="n">
        <v>0</v>
      </c>
      <c r="AU404" s="21" t="n">
        <v>0</v>
      </c>
      <c r="AV404" s="21" t="n">
        <v>0</v>
      </c>
      <c r="AW404" s="21" t="n">
        <v>0</v>
      </c>
      <c r="AX404" s="21" t="n">
        <v>0</v>
      </c>
      <c r="AY404" s="21" t="n">
        <v>0</v>
      </c>
      <c r="AZ404" s="21" t="n">
        <v>0</v>
      </c>
      <c r="BA404" s="21" t="n">
        <v>0</v>
      </c>
      <c r="BB404" s="21" t="n">
        <v>0</v>
      </c>
      <c r="BC404" s="21" t="n">
        <v>0</v>
      </c>
    </row>
    <row r="405" customFormat="false" ht="15" hidden="false" customHeight="false" outlineLevel="2" collapsed="false">
      <c r="A405" s="27" t="n">
        <v>401</v>
      </c>
      <c r="B405" s="27" t="s">
        <v>859</v>
      </c>
      <c r="C405" s="27" t="n">
        <v>3</v>
      </c>
      <c r="D405" s="27" t="s">
        <v>92</v>
      </c>
      <c r="E405" s="28" t="s">
        <v>292</v>
      </c>
      <c r="F405" s="27" t="s">
        <v>846</v>
      </c>
      <c r="G405" s="27" t="s">
        <v>857</v>
      </c>
      <c r="H405" s="27" t="s">
        <v>43</v>
      </c>
      <c r="I405" s="29" t="n">
        <v>264</v>
      </c>
      <c r="J405" s="29" t="n">
        <v>16</v>
      </c>
      <c r="K405" s="30" t="n">
        <f aca="false">WORKDAY(Assumptions!$C$4,I405,Assumptions!$F$4:$F$44)</f>
        <v>46696</v>
      </c>
      <c r="L405" s="30" t="n">
        <f aca="false">IF(J405=0,K405,WORKDAY(K405,J405-1,Assumptions!$F$4:$F$44))</f>
        <v>46717</v>
      </c>
      <c r="M405" s="29" t="s">
        <v>860</v>
      </c>
      <c r="N405" s="31" t="n">
        <v>1</v>
      </c>
      <c r="O405" s="31" t="n">
        <v>8</v>
      </c>
      <c r="P405" s="31" t="n">
        <v>2</v>
      </c>
      <c r="Q405" s="31" t="n">
        <v>0</v>
      </c>
      <c r="R405" s="31" t="n">
        <v>0</v>
      </c>
      <c r="S405" s="31" t="n">
        <v>0</v>
      </c>
      <c r="T405" s="31" t="n">
        <v>0</v>
      </c>
      <c r="U405" s="31" t="n">
        <v>0</v>
      </c>
      <c r="V405" s="31" t="n">
        <v>0</v>
      </c>
      <c r="W405" s="31" t="n">
        <v>0</v>
      </c>
      <c r="X405" s="31" t="n">
        <v>0</v>
      </c>
      <c r="Y405" s="32" t="n">
        <f aca="false">SUM(N405:X405)</f>
        <v>11</v>
      </c>
      <c r="Z405" s="32" t="n">
        <f aca="false">Y405*(1+Assumptions!$C$5)</f>
        <v>12.65</v>
      </c>
      <c r="AA405" s="27" t="s">
        <v>294</v>
      </c>
      <c r="AB405" s="27" t="s">
        <v>95</v>
      </c>
      <c r="AC405" s="27"/>
      <c r="AD405" s="33" t="n">
        <v>0</v>
      </c>
      <c r="AF405" s="21" t="n">
        <f aca="false">IF($J405=0,0,MAX(0,NETWORKDAYS(MAX($K405,AF$4),MIN($L405,EOMONTH(AF$4,0)),Assumptions!$F$4:$F$44))/NETWORKDAYS($K405,$L405,Assumptions!$F$4:$F$44))</f>
        <v>0</v>
      </c>
      <c r="AG405" s="21" t="n">
        <f aca="false">IF($J405=0,0,MAX(0,NETWORKDAYS(MAX($K405,AG$4),MIN($L405,EOMONTH(AG$4,0)),Assumptions!$F$4:$F$44))/NETWORKDAYS($K405,$L405,Assumptions!$F$4:$F$44))</f>
        <v>0</v>
      </c>
      <c r="AH405" s="21" t="n">
        <f aca="false">IF($J405=0,0,MAX(0,NETWORKDAYS(MAX($K405,AH$4),MIN($L405,EOMONTH(AH$4,0)),Assumptions!$F$4:$F$44))/NETWORKDAYS($K405,$L405,Assumptions!$F$4:$F$44))</f>
        <v>0</v>
      </c>
      <c r="AI405" s="21" t="n">
        <f aca="false">IF($J405=0,0,MAX(0,NETWORKDAYS(MAX($K405,AI$4),MIN($L405,EOMONTH(AI$4,0)),Assumptions!$F$4:$F$44))/NETWORKDAYS($K405,$L405,Assumptions!$F$4:$F$44))</f>
        <v>0</v>
      </c>
      <c r="AJ405" s="21" t="n">
        <f aca="false">IF($J405=0,0,MAX(0,NETWORKDAYS(MAX($K405,AJ$4),MIN($L405,EOMONTH(AJ$4,0)),Assumptions!$F$4:$F$44))/NETWORKDAYS($K405,$L405,Assumptions!$F$4:$F$44))</f>
        <v>0</v>
      </c>
      <c r="AK405" s="21" t="n">
        <f aca="false">IF($J405=0,0,MAX(0,NETWORKDAYS(MAX($K405,AK$4),MIN($L405,EOMONTH(AK$4,0)),Assumptions!$F$4:$F$44))/NETWORKDAYS($K405,$L405,Assumptions!$F$4:$F$44))</f>
        <v>0</v>
      </c>
      <c r="AL405" s="21" t="n">
        <f aca="false">IF($J405=0,0,MAX(0,NETWORKDAYS(MAX($K405,AL$4),MIN($L405,EOMONTH(AL$4,0)),Assumptions!$F$4:$F$44))/NETWORKDAYS($K405,$L405,Assumptions!$F$4:$F$44))</f>
        <v>0</v>
      </c>
      <c r="AM405" s="21" t="n">
        <f aca="false">IF($J405=0,0,MAX(0,NETWORKDAYS(MAX($K405,AM$4),MIN($L405,EOMONTH(AM$4,0)),Assumptions!$F$4:$F$44))/NETWORKDAYS($K405,$L405,Assumptions!$F$4:$F$44))</f>
        <v>0</v>
      </c>
      <c r="AN405" s="21" t="n">
        <f aca="false">IF($J405=0,0,MAX(0,NETWORKDAYS(MAX($K405,AN$4),MIN($L405,EOMONTH(AN$4,0)),Assumptions!$F$4:$F$44))/NETWORKDAYS($K405,$L405,Assumptions!$F$4:$F$44))</f>
        <v>0</v>
      </c>
      <c r="AO405" s="21" t="n">
        <f aca="false">IF($J405=0,0,MAX(0,NETWORKDAYS(MAX($K405,AO$4),MIN($L405,EOMONTH(AO$4,0)),Assumptions!$F$4:$F$44))/NETWORKDAYS($K405,$L405,Assumptions!$F$4:$F$44))</f>
        <v>0</v>
      </c>
      <c r="AP405" s="21" t="n">
        <f aca="false">IF($J405=0,0,MAX(0,NETWORKDAYS(MAX($K405,AP$4),MIN($L405,EOMONTH(AP$4,0)),Assumptions!$F$4:$F$44))/NETWORKDAYS($K405,$L405,Assumptions!$F$4:$F$44))</f>
        <v>0</v>
      </c>
      <c r="AQ405" s="21" t="n">
        <f aca="false">IF($J405=0,0,MAX(0,NETWORKDAYS(MAX($K405,AQ$4),MIN($L405,EOMONTH(AQ$4,0)),Assumptions!$F$4:$F$44))/NETWORKDAYS($K405,$L405,Assumptions!$F$4:$F$44))</f>
        <v>0</v>
      </c>
      <c r="AR405" s="21" t="n">
        <f aca="false">IF($J405=0,0,MAX(0,NETWORKDAYS(MAX($K405,AR$4),MIN($L405,EOMONTH(AR$4,0)),Assumptions!$F$4:$F$44))/NETWORKDAYS($K405,$L405,Assumptions!$F$4:$F$44))</f>
        <v>1</v>
      </c>
      <c r="AS405" s="21" t="n">
        <f aca="false">IF($J405=0,0,MAX(0,NETWORKDAYS(MAX($K405,AS$4),MIN($L405,EOMONTH(AS$4,0)),Assumptions!$F$4:$F$44))/NETWORKDAYS($K405,$L405,Assumptions!$F$4:$F$44))</f>
        <v>0</v>
      </c>
      <c r="AT405" s="21" t="n">
        <f aca="false">IF($J405=0,0,MAX(0,NETWORKDAYS(MAX($K405,AT$4),MIN($L405,EOMONTH(AT$4,0)),Assumptions!$F$4:$F$44))/NETWORKDAYS($K405,$L405,Assumptions!$F$4:$F$44))</f>
        <v>0</v>
      </c>
      <c r="AU405" s="21" t="n">
        <f aca="false">IF($J405=0,0,MAX(0,NETWORKDAYS(MAX($K405,AU$4),MIN($L405,EOMONTH(AU$4,0)),Assumptions!$F$4:$F$44))/NETWORKDAYS($K405,$L405,Assumptions!$F$4:$F$44))</f>
        <v>0</v>
      </c>
      <c r="AV405" s="21" t="n">
        <f aca="false">IF($J405=0,0,MAX(0,NETWORKDAYS(MAX($K405,AV$4),MIN($L405,EOMONTH(AV$4,0)),Assumptions!$F$4:$F$44))/NETWORKDAYS($K405,$L405,Assumptions!$F$4:$F$44))</f>
        <v>0</v>
      </c>
      <c r="AW405" s="21" t="n">
        <f aca="false">IF($J405=0,0,MAX(0,NETWORKDAYS(MAX($K405,AW$4),MIN($L405,EOMONTH(AW$4,0)),Assumptions!$F$4:$F$44))/NETWORKDAYS($K405,$L405,Assumptions!$F$4:$F$44))</f>
        <v>0</v>
      </c>
      <c r="AX405" s="21" t="n">
        <f aca="false">IF($J405=0,0,MAX(0,NETWORKDAYS(MAX($K405,AX$4),MIN($L405,EOMONTH(AX$4,0)),Assumptions!$F$4:$F$44))/NETWORKDAYS($K405,$L405,Assumptions!$F$4:$F$44))</f>
        <v>0</v>
      </c>
      <c r="AY405" s="21" t="n">
        <f aca="false">IF($J405=0,0,MAX(0,NETWORKDAYS(MAX($K405,AY$4),MIN($L405,EOMONTH(AY$4,0)),Assumptions!$F$4:$F$44))/NETWORKDAYS($K405,$L405,Assumptions!$F$4:$F$44))</f>
        <v>0</v>
      </c>
      <c r="AZ405" s="21" t="n">
        <f aca="false">IF($J405=0,0,MAX(0,NETWORKDAYS(MAX($K405,AZ$4),MIN($L405,EOMONTH(AZ$4,0)),Assumptions!$F$4:$F$44))/NETWORKDAYS($K405,$L405,Assumptions!$F$4:$F$44))</f>
        <v>0</v>
      </c>
      <c r="BA405" s="21" t="n">
        <f aca="false">IF($J405=0,0,MAX(0,NETWORKDAYS(MAX($K405,BA$4),MIN($L405,EOMONTH(BA$4,0)),Assumptions!$F$4:$F$44))/NETWORKDAYS($K405,$L405,Assumptions!$F$4:$F$44))</f>
        <v>0</v>
      </c>
      <c r="BB405" s="21" t="n">
        <f aca="false">IF($J405=0,0,MAX(0,NETWORKDAYS(MAX($K405,BB$4),MIN($L405,EOMONTH(BB$4,0)),Assumptions!$F$4:$F$44))/NETWORKDAYS($K405,$L405,Assumptions!$F$4:$F$44))</f>
        <v>0</v>
      </c>
      <c r="BC405" s="21" t="n">
        <f aca="false">IF($J405=0,0,MAX(0,NETWORKDAYS(MAX($K405,BC$4),MIN($L405,EOMONTH(BC$4,0)),Assumptions!$F$4:$F$44))/NETWORKDAYS($K405,$L405,Assumptions!$F$4:$F$44))</f>
        <v>0</v>
      </c>
    </row>
    <row r="406" customFormat="false" ht="15" hidden="false" customHeight="false" outlineLevel="2" collapsed="false">
      <c r="A406" s="27" t="n">
        <v>402</v>
      </c>
      <c r="B406" s="27" t="s">
        <v>861</v>
      </c>
      <c r="C406" s="27" t="n">
        <v>3</v>
      </c>
      <c r="D406" s="27" t="s">
        <v>92</v>
      </c>
      <c r="E406" s="28" t="s">
        <v>296</v>
      </c>
      <c r="F406" s="27" t="s">
        <v>846</v>
      </c>
      <c r="G406" s="27" t="s">
        <v>857</v>
      </c>
      <c r="H406" s="27" t="s">
        <v>45</v>
      </c>
      <c r="I406" s="29" t="n">
        <v>275</v>
      </c>
      <c r="J406" s="29" t="n">
        <v>16</v>
      </c>
      <c r="K406" s="30" t="n">
        <f aca="false">WORKDAY(Assumptions!$C$4,I406,Assumptions!$F$4:$F$44)</f>
        <v>46713</v>
      </c>
      <c r="L406" s="30" t="n">
        <f aca="false">IF(J406=0,K406,WORKDAY(K406,J406-1,Assumptions!$F$4:$F$44))</f>
        <v>46734</v>
      </c>
      <c r="M406" s="29" t="s">
        <v>862</v>
      </c>
      <c r="N406" s="31" t="n">
        <v>0</v>
      </c>
      <c r="O406" s="31" t="n">
        <v>0</v>
      </c>
      <c r="P406" s="31" t="n">
        <v>5</v>
      </c>
      <c r="Q406" s="31" t="n">
        <v>5</v>
      </c>
      <c r="R406" s="31" t="n">
        <v>0</v>
      </c>
      <c r="S406" s="31" t="n">
        <v>0</v>
      </c>
      <c r="T406" s="31" t="n">
        <v>0</v>
      </c>
      <c r="U406" s="31" t="n">
        <v>0</v>
      </c>
      <c r="V406" s="31" t="n">
        <v>0</v>
      </c>
      <c r="W406" s="31" t="n">
        <v>0</v>
      </c>
      <c r="X406" s="31" t="n">
        <v>0</v>
      </c>
      <c r="Y406" s="32" t="n">
        <f aca="false">SUM(N406:X406)</f>
        <v>10</v>
      </c>
      <c r="Z406" s="32" t="n">
        <f aca="false">Y406*(1+Assumptions!$C$5)</f>
        <v>11.5</v>
      </c>
      <c r="AA406" s="27" t="s">
        <v>298</v>
      </c>
      <c r="AB406" s="27" t="s">
        <v>95</v>
      </c>
      <c r="AC406" s="27"/>
      <c r="AD406" s="33" t="n">
        <v>0</v>
      </c>
      <c r="AF406" s="21" t="n">
        <f aca="false">IF($J406=0,0,MAX(0,NETWORKDAYS(MAX($K406,AF$4),MIN($L406,EOMONTH(AF$4,0)),Assumptions!$F$4:$F$44))/NETWORKDAYS($K406,$L406,Assumptions!$F$4:$F$44))</f>
        <v>0</v>
      </c>
      <c r="AG406" s="21" t="n">
        <f aca="false">IF($J406=0,0,MAX(0,NETWORKDAYS(MAX($K406,AG$4),MIN($L406,EOMONTH(AG$4,0)),Assumptions!$F$4:$F$44))/NETWORKDAYS($K406,$L406,Assumptions!$F$4:$F$44))</f>
        <v>0</v>
      </c>
      <c r="AH406" s="21" t="n">
        <f aca="false">IF($J406=0,0,MAX(0,NETWORKDAYS(MAX($K406,AH$4),MIN($L406,EOMONTH(AH$4,0)),Assumptions!$F$4:$F$44))/NETWORKDAYS($K406,$L406,Assumptions!$F$4:$F$44))</f>
        <v>0</v>
      </c>
      <c r="AI406" s="21" t="n">
        <f aca="false">IF($J406=0,0,MAX(0,NETWORKDAYS(MAX($K406,AI$4),MIN($L406,EOMONTH(AI$4,0)),Assumptions!$F$4:$F$44))/NETWORKDAYS($K406,$L406,Assumptions!$F$4:$F$44))</f>
        <v>0</v>
      </c>
      <c r="AJ406" s="21" t="n">
        <f aca="false">IF($J406=0,0,MAX(0,NETWORKDAYS(MAX($K406,AJ$4),MIN($L406,EOMONTH(AJ$4,0)),Assumptions!$F$4:$F$44))/NETWORKDAYS($K406,$L406,Assumptions!$F$4:$F$44))</f>
        <v>0</v>
      </c>
      <c r="AK406" s="21" t="n">
        <f aca="false">IF($J406=0,0,MAX(0,NETWORKDAYS(MAX($K406,AK$4),MIN($L406,EOMONTH(AK$4,0)),Assumptions!$F$4:$F$44))/NETWORKDAYS($K406,$L406,Assumptions!$F$4:$F$44))</f>
        <v>0</v>
      </c>
      <c r="AL406" s="21" t="n">
        <f aca="false">IF($J406=0,0,MAX(0,NETWORKDAYS(MAX($K406,AL$4),MIN($L406,EOMONTH(AL$4,0)),Assumptions!$F$4:$F$44))/NETWORKDAYS($K406,$L406,Assumptions!$F$4:$F$44))</f>
        <v>0</v>
      </c>
      <c r="AM406" s="21" t="n">
        <f aca="false">IF($J406=0,0,MAX(0,NETWORKDAYS(MAX($K406,AM$4),MIN($L406,EOMONTH(AM$4,0)),Assumptions!$F$4:$F$44))/NETWORKDAYS($K406,$L406,Assumptions!$F$4:$F$44))</f>
        <v>0</v>
      </c>
      <c r="AN406" s="21" t="n">
        <f aca="false">IF($J406=0,0,MAX(0,NETWORKDAYS(MAX($K406,AN$4),MIN($L406,EOMONTH(AN$4,0)),Assumptions!$F$4:$F$44))/NETWORKDAYS($K406,$L406,Assumptions!$F$4:$F$44))</f>
        <v>0</v>
      </c>
      <c r="AO406" s="21" t="n">
        <f aca="false">IF($J406=0,0,MAX(0,NETWORKDAYS(MAX($K406,AO$4),MIN($L406,EOMONTH(AO$4,0)),Assumptions!$F$4:$F$44))/NETWORKDAYS($K406,$L406,Assumptions!$F$4:$F$44))</f>
        <v>0</v>
      </c>
      <c r="AP406" s="21" t="n">
        <f aca="false">IF($J406=0,0,MAX(0,NETWORKDAYS(MAX($K406,AP$4),MIN($L406,EOMONTH(AP$4,0)),Assumptions!$F$4:$F$44))/NETWORKDAYS($K406,$L406,Assumptions!$F$4:$F$44))</f>
        <v>0</v>
      </c>
      <c r="AQ406" s="21" t="n">
        <f aca="false">IF($J406=0,0,MAX(0,NETWORKDAYS(MAX($K406,AQ$4),MIN($L406,EOMONTH(AQ$4,0)),Assumptions!$F$4:$F$44))/NETWORKDAYS($K406,$L406,Assumptions!$F$4:$F$44))</f>
        <v>0</v>
      </c>
      <c r="AR406" s="21" t="n">
        <f aca="false">IF($J406=0,0,MAX(0,NETWORKDAYS(MAX($K406,AR$4),MIN($L406,EOMONTH(AR$4,0)),Assumptions!$F$4:$F$44))/NETWORKDAYS($K406,$L406,Assumptions!$F$4:$F$44))</f>
        <v>0.4375</v>
      </c>
      <c r="AS406" s="21" t="n">
        <f aca="false">IF($J406=0,0,MAX(0,NETWORKDAYS(MAX($K406,AS$4),MIN($L406,EOMONTH(AS$4,0)),Assumptions!$F$4:$F$44))/NETWORKDAYS($K406,$L406,Assumptions!$F$4:$F$44))</f>
        <v>0.5625</v>
      </c>
      <c r="AT406" s="21" t="n">
        <f aca="false">IF($J406=0,0,MAX(0,NETWORKDAYS(MAX($K406,AT$4),MIN($L406,EOMONTH(AT$4,0)),Assumptions!$F$4:$F$44))/NETWORKDAYS($K406,$L406,Assumptions!$F$4:$F$44))</f>
        <v>0</v>
      </c>
      <c r="AU406" s="21" t="n">
        <f aca="false">IF($J406=0,0,MAX(0,NETWORKDAYS(MAX($K406,AU$4),MIN($L406,EOMONTH(AU$4,0)),Assumptions!$F$4:$F$44))/NETWORKDAYS($K406,$L406,Assumptions!$F$4:$F$44))</f>
        <v>0</v>
      </c>
      <c r="AV406" s="21" t="n">
        <f aca="false">IF($J406=0,0,MAX(0,NETWORKDAYS(MAX($K406,AV$4),MIN($L406,EOMONTH(AV$4,0)),Assumptions!$F$4:$F$44))/NETWORKDAYS($K406,$L406,Assumptions!$F$4:$F$44))</f>
        <v>0</v>
      </c>
      <c r="AW406" s="21" t="n">
        <f aca="false">IF($J406=0,0,MAX(0,NETWORKDAYS(MAX($K406,AW$4),MIN($L406,EOMONTH(AW$4,0)),Assumptions!$F$4:$F$44))/NETWORKDAYS($K406,$L406,Assumptions!$F$4:$F$44))</f>
        <v>0</v>
      </c>
      <c r="AX406" s="21" t="n">
        <f aca="false">IF($J406=0,0,MAX(0,NETWORKDAYS(MAX($K406,AX$4),MIN($L406,EOMONTH(AX$4,0)),Assumptions!$F$4:$F$44))/NETWORKDAYS($K406,$L406,Assumptions!$F$4:$F$44))</f>
        <v>0</v>
      </c>
      <c r="AY406" s="21" t="n">
        <f aca="false">IF($J406=0,0,MAX(0,NETWORKDAYS(MAX($K406,AY$4),MIN($L406,EOMONTH(AY$4,0)),Assumptions!$F$4:$F$44))/NETWORKDAYS($K406,$L406,Assumptions!$F$4:$F$44))</f>
        <v>0</v>
      </c>
      <c r="AZ406" s="21" t="n">
        <f aca="false">IF($J406=0,0,MAX(0,NETWORKDAYS(MAX($K406,AZ$4),MIN($L406,EOMONTH(AZ$4,0)),Assumptions!$F$4:$F$44))/NETWORKDAYS($K406,$L406,Assumptions!$F$4:$F$44))</f>
        <v>0</v>
      </c>
      <c r="BA406" s="21" t="n">
        <f aca="false">IF($J406=0,0,MAX(0,NETWORKDAYS(MAX($K406,BA$4),MIN($L406,EOMONTH(BA$4,0)),Assumptions!$F$4:$F$44))/NETWORKDAYS($K406,$L406,Assumptions!$F$4:$F$44))</f>
        <v>0</v>
      </c>
      <c r="BB406" s="21" t="n">
        <f aca="false">IF($J406=0,0,MAX(0,NETWORKDAYS(MAX($K406,BB$4),MIN($L406,EOMONTH(BB$4,0)),Assumptions!$F$4:$F$44))/NETWORKDAYS($K406,$L406,Assumptions!$F$4:$F$44))</f>
        <v>0</v>
      </c>
      <c r="BC406" s="21" t="n">
        <f aca="false">IF($J406=0,0,MAX(0,NETWORKDAYS(MAX($K406,BC$4),MIN($L406,EOMONTH(BC$4,0)),Assumptions!$F$4:$F$44))/NETWORKDAYS($K406,$L406,Assumptions!$F$4:$F$44))</f>
        <v>0</v>
      </c>
    </row>
    <row r="407" customFormat="false" ht="15" hidden="false" customHeight="false" outlineLevel="2" collapsed="false">
      <c r="A407" s="27" t="n">
        <v>403</v>
      </c>
      <c r="B407" s="27" t="s">
        <v>863</v>
      </c>
      <c r="C407" s="27" t="n">
        <v>3</v>
      </c>
      <c r="D407" s="27" t="s">
        <v>92</v>
      </c>
      <c r="E407" s="28" t="s">
        <v>300</v>
      </c>
      <c r="F407" s="27" t="s">
        <v>846</v>
      </c>
      <c r="G407" s="27" t="s">
        <v>857</v>
      </c>
      <c r="H407" s="27" t="s">
        <v>49</v>
      </c>
      <c r="I407" s="29" t="n">
        <v>275</v>
      </c>
      <c r="J407" s="29" t="n">
        <v>16</v>
      </c>
      <c r="K407" s="30" t="n">
        <f aca="false">WORKDAY(Assumptions!$C$4,I407,Assumptions!$F$4:$F$44)</f>
        <v>46713</v>
      </c>
      <c r="L407" s="30" t="n">
        <f aca="false">IF(J407=0,K407,WORKDAY(K407,J407-1,Assumptions!$F$4:$F$44))</f>
        <v>46734</v>
      </c>
      <c r="M407" s="29" t="s">
        <v>862</v>
      </c>
      <c r="N407" s="31" t="n">
        <v>0</v>
      </c>
      <c r="O407" s="31" t="n">
        <v>2</v>
      </c>
      <c r="P407" s="31" t="n">
        <v>0</v>
      </c>
      <c r="Q407" s="31" t="n">
        <v>0</v>
      </c>
      <c r="R407" s="31" t="n">
        <v>6</v>
      </c>
      <c r="S407" s="31" t="n">
        <v>0</v>
      </c>
      <c r="T407" s="31" t="n">
        <v>0</v>
      </c>
      <c r="U407" s="31" t="n">
        <v>0</v>
      </c>
      <c r="V407" s="31" t="n">
        <v>0</v>
      </c>
      <c r="W407" s="31" t="n">
        <v>0</v>
      </c>
      <c r="X407" s="31" t="n">
        <v>0</v>
      </c>
      <c r="Y407" s="32" t="n">
        <f aca="false">SUM(N407:X407)</f>
        <v>8</v>
      </c>
      <c r="Z407" s="32" t="n">
        <f aca="false">Y407*(1+Assumptions!$C$5)</f>
        <v>9.2</v>
      </c>
      <c r="AA407" s="27" t="s">
        <v>301</v>
      </c>
      <c r="AB407" s="27" t="s">
        <v>95</v>
      </c>
      <c r="AC407" s="27"/>
      <c r="AD407" s="33" t="n">
        <v>0</v>
      </c>
      <c r="AF407" s="21" t="n">
        <f aca="false">IF($J407=0,0,MAX(0,NETWORKDAYS(MAX($K407,AF$4),MIN($L407,EOMONTH(AF$4,0)),Assumptions!$F$4:$F$44))/NETWORKDAYS($K407,$L407,Assumptions!$F$4:$F$44))</f>
        <v>0</v>
      </c>
      <c r="AG407" s="21" t="n">
        <f aca="false">IF($J407=0,0,MAX(0,NETWORKDAYS(MAX($K407,AG$4),MIN($L407,EOMONTH(AG$4,0)),Assumptions!$F$4:$F$44))/NETWORKDAYS($K407,$L407,Assumptions!$F$4:$F$44))</f>
        <v>0</v>
      </c>
      <c r="AH407" s="21" t="n">
        <f aca="false">IF($J407=0,0,MAX(0,NETWORKDAYS(MAX($K407,AH$4),MIN($L407,EOMONTH(AH$4,0)),Assumptions!$F$4:$F$44))/NETWORKDAYS($K407,$L407,Assumptions!$F$4:$F$44))</f>
        <v>0</v>
      </c>
      <c r="AI407" s="21" t="n">
        <f aca="false">IF($J407=0,0,MAX(0,NETWORKDAYS(MAX($K407,AI$4),MIN($L407,EOMONTH(AI$4,0)),Assumptions!$F$4:$F$44))/NETWORKDAYS($K407,$L407,Assumptions!$F$4:$F$44))</f>
        <v>0</v>
      </c>
      <c r="AJ407" s="21" t="n">
        <f aca="false">IF($J407=0,0,MAX(0,NETWORKDAYS(MAX($K407,AJ$4),MIN($L407,EOMONTH(AJ$4,0)),Assumptions!$F$4:$F$44))/NETWORKDAYS($K407,$L407,Assumptions!$F$4:$F$44))</f>
        <v>0</v>
      </c>
      <c r="AK407" s="21" t="n">
        <f aca="false">IF($J407=0,0,MAX(0,NETWORKDAYS(MAX($K407,AK$4),MIN($L407,EOMONTH(AK$4,0)),Assumptions!$F$4:$F$44))/NETWORKDAYS($K407,$L407,Assumptions!$F$4:$F$44))</f>
        <v>0</v>
      </c>
      <c r="AL407" s="21" t="n">
        <f aca="false">IF($J407=0,0,MAX(0,NETWORKDAYS(MAX($K407,AL$4),MIN($L407,EOMONTH(AL$4,0)),Assumptions!$F$4:$F$44))/NETWORKDAYS($K407,$L407,Assumptions!$F$4:$F$44))</f>
        <v>0</v>
      </c>
      <c r="AM407" s="21" t="n">
        <f aca="false">IF($J407=0,0,MAX(0,NETWORKDAYS(MAX($K407,AM$4),MIN($L407,EOMONTH(AM$4,0)),Assumptions!$F$4:$F$44))/NETWORKDAYS($K407,$L407,Assumptions!$F$4:$F$44))</f>
        <v>0</v>
      </c>
      <c r="AN407" s="21" t="n">
        <f aca="false">IF($J407=0,0,MAX(0,NETWORKDAYS(MAX($K407,AN$4),MIN($L407,EOMONTH(AN$4,0)),Assumptions!$F$4:$F$44))/NETWORKDAYS($K407,$L407,Assumptions!$F$4:$F$44))</f>
        <v>0</v>
      </c>
      <c r="AO407" s="21" t="n">
        <f aca="false">IF($J407=0,0,MAX(0,NETWORKDAYS(MAX($K407,AO$4),MIN($L407,EOMONTH(AO$4,0)),Assumptions!$F$4:$F$44))/NETWORKDAYS($K407,$L407,Assumptions!$F$4:$F$44))</f>
        <v>0</v>
      </c>
      <c r="AP407" s="21" t="n">
        <f aca="false">IF($J407=0,0,MAX(0,NETWORKDAYS(MAX($K407,AP$4),MIN($L407,EOMONTH(AP$4,0)),Assumptions!$F$4:$F$44))/NETWORKDAYS($K407,$L407,Assumptions!$F$4:$F$44))</f>
        <v>0</v>
      </c>
      <c r="AQ407" s="21" t="n">
        <f aca="false">IF($J407=0,0,MAX(0,NETWORKDAYS(MAX($K407,AQ$4),MIN($L407,EOMONTH(AQ$4,0)),Assumptions!$F$4:$F$44))/NETWORKDAYS($K407,$L407,Assumptions!$F$4:$F$44))</f>
        <v>0</v>
      </c>
      <c r="AR407" s="21" t="n">
        <f aca="false">IF($J407=0,0,MAX(0,NETWORKDAYS(MAX($K407,AR$4),MIN($L407,EOMONTH(AR$4,0)),Assumptions!$F$4:$F$44))/NETWORKDAYS($K407,$L407,Assumptions!$F$4:$F$44))</f>
        <v>0.4375</v>
      </c>
      <c r="AS407" s="21" t="n">
        <f aca="false">IF($J407=0,0,MAX(0,NETWORKDAYS(MAX($K407,AS$4),MIN($L407,EOMONTH(AS$4,0)),Assumptions!$F$4:$F$44))/NETWORKDAYS($K407,$L407,Assumptions!$F$4:$F$44))</f>
        <v>0.5625</v>
      </c>
      <c r="AT407" s="21" t="n">
        <f aca="false">IF($J407=0,0,MAX(0,NETWORKDAYS(MAX($K407,AT$4),MIN($L407,EOMONTH(AT$4,0)),Assumptions!$F$4:$F$44))/NETWORKDAYS($K407,$L407,Assumptions!$F$4:$F$44))</f>
        <v>0</v>
      </c>
      <c r="AU407" s="21" t="n">
        <f aca="false">IF($J407=0,0,MAX(0,NETWORKDAYS(MAX($K407,AU$4),MIN($L407,EOMONTH(AU$4,0)),Assumptions!$F$4:$F$44))/NETWORKDAYS($K407,$L407,Assumptions!$F$4:$F$44))</f>
        <v>0</v>
      </c>
      <c r="AV407" s="21" t="n">
        <f aca="false">IF($J407=0,0,MAX(0,NETWORKDAYS(MAX($K407,AV$4),MIN($L407,EOMONTH(AV$4,0)),Assumptions!$F$4:$F$44))/NETWORKDAYS($K407,$L407,Assumptions!$F$4:$F$44))</f>
        <v>0</v>
      </c>
      <c r="AW407" s="21" t="n">
        <f aca="false">IF($J407=0,0,MAX(0,NETWORKDAYS(MAX($K407,AW$4),MIN($L407,EOMONTH(AW$4,0)),Assumptions!$F$4:$F$44))/NETWORKDAYS($K407,$L407,Assumptions!$F$4:$F$44))</f>
        <v>0</v>
      </c>
      <c r="AX407" s="21" t="n">
        <f aca="false">IF($J407=0,0,MAX(0,NETWORKDAYS(MAX($K407,AX$4),MIN($L407,EOMONTH(AX$4,0)),Assumptions!$F$4:$F$44))/NETWORKDAYS($K407,$L407,Assumptions!$F$4:$F$44))</f>
        <v>0</v>
      </c>
      <c r="AY407" s="21" t="n">
        <f aca="false">IF($J407=0,0,MAX(0,NETWORKDAYS(MAX($K407,AY$4),MIN($L407,EOMONTH(AY$4,0)),Assumptions!$F$4:$F$44))/NETWORKDAYS($K407,$L407,Assumptions!$F$4:$F$44))</f>
        <v>0</v>
      </c>
      <c r="AZ407" s="21" t="n">
        <f aca="false">IF($J407=0,0,MAX(0,NETWORKDAYS(MAX($K407,AZ$4),MIN($L407,EOMONTH(AZ$4,0)),Assumptions!$F$4:$F$44))/NETWORKDAYS($K407,$L407,Assumptions!$F$4:$F$44))</f>
        <v>0</v>
      </c>
      <c r="BA407" s="21" t="n">
        <f aca="false">IF($J407=0,0,MAX(0,NETWORKDAYS(MAX($K407,BA$4),MIN($L407,EOMONTH(BA$4,0)),Assumptions!$F$4:$F$44))/NETWORKDAYS($K407,$L407,Assumptions!$F$4:$F$44))</f>
        <v>0</v>
      </c>
      <c r="BB407" s="21" t="n">
        <f aca="false">IF($J407=0,0,MAX(0,NETWORKDAYS(MAX($K407,BB$4),MIN($L407,EOMONTH(BB$4,0)),Assumptions!$F$4:$F$44))/NETWORKDAYS($K407,$L407,Assumptions!$F$4:$F$44))</f>
        <v>0</v>
      </c>
      <c r="BC407" s="21" t="n">
        <f aca="false">IF($J407=0,0,MAX(0,NETWORKDAYS(MAX($K407,BC$4),MIN($L407,EOMONTH(BC$4,0)),Assumptions!$F$4:$F$44))/NETWORKDAYS($K407,$L407,Assumptions!$F$4:$F$44))</f>
        <v>0</v>
      </c>
    </row>
    <row r="408" customFormat="false" ht="15" hidden="false" customHeight="false" outlineLevel="2" collapsed="false">
      <c r="A408" s="27" t="n">
        <v>404</v>
      </c>
      <c r="B408" s="27" t="s">
        <v>864</v>
      </c>
      <c r="C408" s="27" t="n">
        <v>3</v>
      </c>
      <c r="D408" s="27" t="s">
        <v>92</v>
      </c>
      <c r="E408" s="28" t="s">
        <v>303</v>
      </c>
      <c r="F408" s="27" t="s">
        <v>846</v>
      </c>
      <c r="G408" s="27" t="s">
        <v>857</v>
      </c>
      <c r="H408" s="27" t="s">
        <v>47</v>
      </c>
      <c r="I408" s="29" t="n">
        <v>288</v>
      </c>
      <c r="J408" s="29" t="n">
        <v>55</v>
      </c>
      <c r="K408" s="30" t="n">
        <f aca="false">WORKDAY(Assumptions!$C$4,I408,Assumptions!$F$4:$F$44)</f>
        <v>46730</v>
      </c>
      <c r="L408" s="30" t="n">
        <f aca="false">IF(J408=0,K408,WORKDAY(K408,J408-1,Assumptions!$F$4:$F$44))</f>
        <v>46806</v>
      </c>
      <c r="M408" s="29" t="s">
        <v>865</v>
      </c>
      <c r="N408" s="31" t="n">
        <v>0</v>
      </c>
      <c r="O408" s="31" t="n">
        <v>0</v>
      </c>
      <c r="P408" s="31" t="n">
        <v>0</v>
      </c>
      <c r="Q408" s="31" t="n">
        <v>28</v>
      </c>
      <c r="R408" s="31" t="n">
        <v>0</v>
      </c>
      <c r="S408" s="31" t="n">
        <v>0</v>
      </c>
      <c r="T408" s="31" t="n">
        <v>0</v>
      </c>
      <c r="U408" s="31" t="n">
        <v>0</v>
      </c>
      <c r="V408" s="31" t="n">
        <v>0</v>
      </c>
      <c r="W408" s="31" t="n">
        <v>0</v>
      </c>
      <c r="X408" s="31" t="n">
        <v>0</v>
      </c>
      <c r="Y408" s="32" t="n">
        <f aca="false">SUM(N408:X408)</f>
        <v>28</v>
      </c>
      <c r="Z408" s="32" t="n">
        <f aca="false">Y408*(1+Assumptions!$C$5)</f>
        <v>32.2</v>
      </c>
      <c r="AA408" s="27" t="s">
        <v>305</v>
      </c>
      <c r="AB408" s="27" t="s">
        <v>95</v>
      </c>
      <c r="AC408" s="27"/>
      <c r="AD408" s="33" t="n">
        <v>0</v>
      </c>
      <c r="AF408" s="21" t="n">
        <f aca="false">IF($J408=0,0,MAX(0,NETWORKDAYS(MAX($K408,AF$4),MIN($L408,EOMONTH(AF$4,0)),Assumptions!$F$4:$F$44))/NETWORKDAYS($K408,$L408,Assumptions!$F$4:$F$44))</f>
        <v>0</v>
      </c>
      <c r="AG408" s="21" t="n">
        <f aca="false">IF($J408=0,0,MAX(0,NETWORKDAYS(MAX($K408,AG$4),MIN($L408,EOMONTH(AG$4,0)),Assumptions!$F$4:$F$44))/NETWORKDAYS($K408,$L408,Assumptions!$F$4:$F$44))</f>
        <v>0</v>
      </c>
      <c r="AH408" s="21" t="n">
        <f aca="false">IF($J408=0,0,MAX(0,NETWORKDAYS(MAX($K408,AH$4),MIN($L408,EOMONTH(AH$4,0)),Assumptions!$F$4:$F$44))/NETWORKDAYS($K408,$L408,Assumptions!$F$4:$F$44))</f>
        <v>0</v>
      </c>
      <c r="AI408" s="21" t="n">
        <f aca="false">IF($J408=0,0,MAX(0,NETWORKDAYS(MAX($K408,AI$4),MIN($L408,EOMONTH(AI$4,0)),Assumptions!$F$4:$F$44))/NETWORKDAYS($K408,$L408,Assumptions!$F$4:$F$44))</f>
        <v>0</v>
      </c>
      <c r="AJ408" s="21" t="n">
        <f aca="false">IF($J408=0,0,MAX(0,NETWORKDAYS(MAX($K408,AJ$4),MIN($L408,EOMONTH(AJ$4,0)),Assumptions!$F$4:$F$44))/NETWORKDAYS($K408,$L408,Assumptions!$F$4:$F$44))</f>
        <v>0</v>
      </c>
      <c r="AK408" s="21" t="n">
        <f aca="false">IF($J408=0,0,MAX(0,NETWORKDAYS(MAX($K408,AK$4),MIN($L408,EOMONTH(AK$4,0)),Assumptions!$F$4:$F$44))/NETWORKDAYS($K408,$L408,Assumptions!$F$4:$F$44))</f>
        <v>0</v>
      </c>
      <c r="AL408" s="21" t="n">
        <f aca="false">IF($J408=0,0,MAX(0,NETWORKDAYS(MAX($K408,AL$4),MIN($L408,EOMONTH(AL$4,0)),Assumptions!$F$4:$F$44))/NETWORKDAYS($K408,$L408,Assumptions!$F$4:$F$44))</f>
        <v>0</v>
      </c>
      <c r="AM408" s="21" t="n">
        <f aca="false">IF($J408=0,0,MAX(0,NETWORKDAYS(MAX($K408,AM$4),MIN($L408,EOMONTH(AM$4,0)),Assumptions!$F$4:$F$44))/NETWORKDAYS($K408,$L408,Assumptions!$F$4:$F$44))</f>
        <v>0</v>
      </c>
      <c r="AN408" s="21" t="n">
        <f aca="false">IF($J408=0,0,MAX(0,NETWORKDAYS(MAX($K408,AN$4),MIN($L408,EOMONTH(AN$4,0)),Assumptions!$F$4:$F$44))/NETWORKDAYS($K408,$L408,Assumptions!$F$4:$F$44))</f>
        <v>0</v>
      </c>
      <c r="AO408" s="21" t="n">
        <f aca="false">IF($J408=0,0,MAX(0,NETWORKDAYS(MAX($K408,AO$4),MIN($L408,EOMONTH(AO$4,0)),Assumptions!$F$4:$F$44))/NETWORKDAYS($K408,$L408,Assumptions!$F$4:$F$44))</f>
        <v>0</v>
      </c>
      <c r="AP408" s="21" t="n">
        <f aca="false">IF($J408=0,0,MAX(0,NETWORKDAYS(MAX($K408,AP$4),MIN($L408,EOMONTH(AP$4,0)),Assumptions!$F$4:$F$44))/NETWORKDAYS($K408,$L408,Assumptions!$F$4:$F$44))</f>
        <v>0</v>
      </c>
      <c r="AQ408" s="21" t="n">
        <f aca="false">IF($J408=0,0,MAX(0,NETWORKDAYS(MAX($K408,AQ$4),MIN($L408,EOMONTH(AQ$4,0)),Assumptions!$F$4:$F$44))/NETWORKDAYS($K408,$L408,Assumptions!$F$4:$F$44))</f>
        <v>0</v>
      </c>
      <c r="AR408" s="21" t="n">
        <f aca="false">IF($J408=0,0,MAX(0,NETWORKDAYS(MAX($K408,AR$4),MIN($L408,EOMONTH(AR$4,0)),Assumptions!$F$4:$F$44))/NETWORKDAYS($K408,$L408,Assumptions!$F$4:$F$44))</f>
        <v>0</v>
      </c>
      <c r="AS408" s="21" t="n">
        <f aca="false">IF($J408=0,0,MAX(0,NETWORKDAYS(MAX($K408,AS$4),MIN($L408,EOMONTH(AS$4,0)),Assumptions!$F$4:$F$44))/NETWORKDAYS($K408,$L408,Assumptions!$F$4:$F$44))</f>
        <v>0.309090909090909</v>
      </c>
      <c r="AT408" s="21" t="n">
        <f aca="false">IF($J408=0,0,MAX(0,NETWORKDAYS(MAX($K408,AT$4),MIN($L408,EOMONTH(AT$4,0)),Assumptions!$F$4:$F$44))/NETWORKDAYS($K408,$L408,Assumptions!$F$4:$F$44))</f>
        <v>0.381818181818182</v>
      </c>
      <c r="AU408" s="21" t="n">
        <f aca="false">IF($J408=0,0,MAX(0,NETWORKDAYS(MAX($K408,AU$4),MIN($L408,EOMONTH(AU$4,0)),Assumptions!$F$4:$F$44))/NETWORKDAYS($K408,$L408,Assumptions!$F$4:$F$44))</f>
        <v>0.309090909090909</v>
      </c>
      <c r="AV408" s="21" t="n">
        <f aca="false">IF($J408=0,0,MAX(0,NETWORKDAYS(MAX($K408,AV$4),MIN($L408,EOMONTH(AV$4,0)),Assumptions!$F$4:$F$44))/NETWORKDAYS($K408,$L408,Assumptions!$F$4:$F$44))</f>
        <v>0</v>
      </c>
      <c r="AW408" s="21" t="n">
        <f aca="false">IF($J408=0,0,MAX(0,NETWORKDAYS(MAX($K408,AW$4),MIN($L408,EOMONTH(AW$4,0)),Assumptions!$F$4:$F$44))/NETWORKDAYS($K408,$L408,Assumptions!$F$4:$F$44))</f>
        <v>0</v>
      </c>
      <c r="AX408" s="21" t="n">
        <f aca="false">IF($J408=0,0,MAX(0,NETWORKDAYS(MAX($K408,AX$4),MIN($L408,EOMONTH(AX$4,0)),Assumptions!$F$4:$F$44))/NETWORKDAYS($K408,$L408,Assumptions!$F$4:$F$44))</f>
        <v>0</v>
      </c>
      <c r="AY408" s="21" t="n">
        <f aca="false">IF($J408=0,0,MAX(0,NETWORKDAYS(MAX($K408,AY$4),MIN($L408,EOMONTH(AY$4,0)),Assumptions!$F$4:$F$44))/NETWORKDAYS($K408,$L408,Assumptions!$F$4:$F$44))</f>
        <v>0</v>
      </c>
      <c r="AZ408" s="21" t="n">
        <f aca="false">IF($J408=0,0,MAX(0,NETWORKDAYS(MAX($K408,AZ$4),MIN($L408,EOMONTH(AZ$4,0)),Assumptions!$F$4:$F$44))/NETWORKDAYS($K408,$L408,Assumptions!$F$4:$F$44))</f>
        <v>0</v>
      </c>
      <c r="BA408" s="21" t="n">
        <f aca="false">IF($J408=0,0,MAX(0,NETWORKDAYS(MAX($K408,BA$4),MIN($L408,EOMONTH(BA$4,0)),Assumptions!$F$4:$F$44))/NETWORKDAYS($K408,$L408,Assumptions!$F$4:$F$44))</f>
        <v>0</v>
      </c>
      <c r="BB408" s="21" t="n">
        <f aca="false">IF($J408=0,0,MAX(0,NETWORKDAYS(MAX($K408,BB$4),MIN($L408,EOMONTH(BB$4,0)),Assumptions!$F$4:$F$44))/NETWORKDAYS($K408,$L408,Assumptions!$F$4:$F$44))</f>
        <v>0</v>
      </c>
      <c r="BC408" s="21" t="n">
        <f aca="false">IF($J408=0,0,MAX(0,NETWORKDAYS(MAX($K408,BC$4),MIN($L408,EOMONTH(BC$4,0)),Assumptions!$F$4:$F$44))/NETWORKDAYS($K408,$L408,Assumptions!$F$4:$F$44))</f>
        <v>0</v>
      </c>
    </row>
    <row r="409" customFormat="false" ht="15" hidden="false" customHeight="false" outlineLevel="2" collapsed="false">
      <c r="A409" s="27" t="n">
        <v>405</v>
      </c>
      <c r="B409" s="27" t="s">
        <v>866</v>
      </c>
      <c r="C409" s="27" t="n">
        <v>3</v>
      </c>
      <c r="D409" s="27" t="s">
        <v>92</v>
      </c>
      <c r="E409" s="28" t="s">
        <v>307</v>
      </c>
      <c r="F409" s="27" t="s">
        <v>846</v>
      </c>
      <c r="G409" s="27" t="s">
        <v>857</v>
      </c>
      <c r="H409" s="27" t="s">
        <v>47</v>
      </c>
      <c r="I409" s="29" t="n">
        <v>304</v>
      </c>
      <c r="J409" s="29" t="n">
        <v>40</v>
      </c>
      <c r="K409" s="30" t="n">
        <f aca="false">WORKDAY(Assumptions!$C$4,I409,Assumptions!$F$4:$F$44)</f>
        <v>46752</v>
      </c>
      <c r="L409" s="30" t="n">
        <f aca="false">IF(J409=0,K409,WORKDAY(K409,J409-1,Assumptions!$F$4:$F$44))</f>
        <v>46807</v>
      </c>
      <c r="M409" s="29" t="s">
        <v>865</v>
      </c>
      <c r="N409" s="31" t="n">
        <v>0</v>
      </c>
      <c r="O409" s="31" t="n">
        <v>4</v>
      </c>
      <c r="P409" s="31" t="n">
        <v>0</v>
      </c>
      <c r="Q409" s="31" t="n">
        <v>10</v>
      </c>
      <c r="R409" s="31" t="n">
        <v>0</v>
      </c>
      <c r="S409" s="31" t="n">
        <v>0</v>
      </c>
      <c r="T409" s="31" t="n">
        <v>0</v>
      </c>
      <c r="U409" s="31" t="n">
        <v>0</v>
      </c>
      <c r="V409" s="31" t="n">
        <v>0</v>
      </c>
      <c r="W409" s="31" t="n">
        <v>0</v>
      </c>
      <c r="X409" s="31" t="n">
        <v>0</v>
      </c>
      <c r="Y409" s="32" t="n">
        <f aca="false">SUM(N409:X409)</f>
        <v>14</v>
      </c>
      <c r="Z409" s="32" t="n">
        <f aca="false">Y409*(1+Assumptions!$C$5)</f>
        <v>16.1</v>
      </c>
      <c r="AA409" s="27" t="s">
        <v>308</v>
      </c>
      <c r="AB409" s="27" t="s">
        <v>95</v>
      </c>
      <c r="AC409" s="27"/>
      <c r="AD409" s="33" t="n">
        <v>0</v>
      </c>
      <c r="AF409" s="21" t="n">
        <f aca="false">IF($J409=0,0,MAX(0,NETWORKDAYS(MAX($K409,AF$4),MIN($L409,EOMONTH(AF$4,0)),Assumptions!$F$4:$F$44))/NETWORKDAYS($K409,$L409,Assumptions!$F$4:$F$44))</f>
        <v>0</v>
      </c>
      <c r="AG409" s="21" t="n">
        <f aca="false">IF($J409=0,0,MAX(0,NETWORKDAYS(MAX($K409,AG$4),MIN($L409,EOMONTH(AG$4,0)),Assumptions!$F$4:$F$44))/NETWORKDAYS($K409,$L409,Assumptions!$F$4:$F$44))</f>
        <v>0</v>
      </c>
      <c r="AH409" s="21" t="n">
        <f aca="false">IF($J409=0,0,MAX(0,NETWORKDAYS(MAX($K409,AH$4),MIN($L409,EOMONTH(AH$4,0)),Assumptions!$F$4:$F$44))/NETWORKDAYS($K409,$L409,Assumptions!$F$4:$F$44))</f>
        <v>0</v>
      </c>
      <c r="AI409" s="21" t="n">
        <f aca="false">IF($J409=0,0,MAX(0,NETWORKDAYS(MAX($K409,AI$4),MIN($L409,EOMONTH(AI$4,0)),Assumptions!$F$4:$F$44))/NETWORKDAYS($K409,$L409,Assumptions!$F$4:$F$44))</f>
        <v>0</v>
      </c>
      <c r="AJ409" s="21" t="n">
        <f aca="false">IF($J409=0,0,MAX(0,NETWORKDAYS(MAX($K409,AJ$4),MIN($L409,EOMONTH(AJ$4,0)),Assumptions!$F$4:$F$44))/NETWORKDAYS($K409,$L409,Assumptions!$F$4:$F$44))</f>
        <v>0</v>
      </c>
      <c r="AK409" s="21" t="n">
        <f aca="false">IF($J409=0,0,MAX(0,NETWORKDAYS(MAX($K409,AK$4),MIN($L409,EOMONTH(AK$4,0)),Assumptions!$F$4:$F$44))/NETWORKDAYS($K409,$L409,Assumptions!$F$4:$F$44))</f>
        <v>0</v>
      </c>
      <c r="AL409" s="21" t="n">
        <f aca="false">IF($J409=0,0,MAX(0,NETWORKDAYS(MAX($K409,AL$4),MIN($L409,EOMONTH(AL$4,0)),Assumptions!$F$4:$F$44))/NETWORKDAYS($K409,$L409,Assumptions!$F$4:$F$44))</f>
        <v>0</v>
      </c>
      <c r="AM409" s="21" t="n">
        <f aca="false">IF($J409=0,0,MAX(0,NETWORKDAYS(MAX($K409,AM$4),MIN($L409,EOMONTH(AM$4,0)),Assumptions!$F$4:$F$44))/NETWORKDAYS($K409,$L409,Assumptions!$F$4:$F$44))</f>
        <v>0</v>
      </c>
      <c r="AN409" s="21" t="n">
        <f aca="false">IF($J409=0,0,MAX(0,NETWORKDAYS(MAX($K409,AN$4),MIN($L409,EOMONTH(AN$4,0)),Assumptions!$F$4:$F$44))/NETWORKDAYS($K409,$L409,Assumptions!$F$4:$F$44))</f>
        <v>0</v>
      </c>
      <c r="AO409" s="21" t="n">
        <f aca="false">IF($J409=0,0,MAX(0,NETWORKDAYS(MAX($K409,AO$4),MIN($L409,EOMONTH(AO$4,0)),Assumptions!$F$4:$F$44))/NETWORKDAYS($K409,$L409,Assumptions!$F$4:$F$44))</f>
        <v>0</v>
      </c>
      <c r="AP409" s="21" t="n">
        <f aca="false">IF($J409=0,0,MAX(0,NETWORKDAYS(MAX($K409,AP$4),MIN($L409,EOMONTH(AP$4,0)),Assumptions!$F$4:$F$44))/NETWORKDAYS($K409,$L409,Assumptions!$F$4:$F$44))</f>
        <v>0</v>
      </c>
      <c r="AQ409" s="21" t="n">
        <f aca="false">IF($J409=0,0,MAX(0,NETWORKDAYS(MAX($K409,AQ$4),MIN($L409,EOMONTH(AQ$4,0)),Assumptions!$F$4:$F$44))/NETWORKDAYS($K409,$L409,Assumptions!$F$4:$F$44))</f>
        <v>0</v>
      </c>
      <c r="AR409" s="21" t="n">
        <f aca="false">IF($J409=0,0,MAX(0,NETWORKDAYS(MAX($K409,AR$4),MIN($L409,EOMONTH(AR$4,0)),Assumptions!$F$4:$F$44))/NETWORKDAYS($K409,$L409,Assumptions!$F$4:$F$44))</f>
        <v>0</v>
      </c>
      <c r="AS409" s="21" t="n">
        <f aca="false">IF($J409=0,0,MAX(0,NETWORKDAYS(MAX($K409,AS$4),MIN($L409,EOMONTH(AS$4,0)),Assumptions!$F$4:$F$44))/NETWORKDAYS($K409,$L409,Assumptions!$F$4:$F$44))</f>
        <v>0.025</v>
      </c>
      <c r="AT409" s="21" t="n">
        <f aca="false">IF($J409=0,0,MAX(0,NETWORKDAYS(MAX($K409,AT$4),MIN($L409,EOMONTH(AT$4,0)),Assumptions!$F$4:$F$44))/NETWORKDAYS($K409,$L409,Assumptions!$F$4:$F$44))</f>
        <v>0.525</v>
      </c>
      <c r="AU409" s="21" t="n">
        <f aca="false">IF($J409=0,0,MAX(0,NETWORKDAYS(MAX($K409,AU$4),MIN($L409,EOMONTH(AU$4,0)),Assumptions!$F$4:$F$44))/NETWORKDAYS($K409,$L409,Assumptions!$F$4:$F$44))</f>
        <v>0.45</v>
      </c>
      <c r="AV409" s="21" t="n">
        <f aca="false">IF($J409=0,0,MAX(0,NETWORKDAYS(MAX($K409,AV$4),MIN($L409,EOMONTH(AV$4,0)),Assumptions!$F$4:$F$44))/NETWORKDAYS($K409,$L409,Assumptions!$F$4:$F$44))</f>
        <v>0</v>
      </c>
      <c r="AW409" s="21" t="n">
        <f aca="false">IF($J409=0,0,MAX(0,NETWORKDAYS(MAX($K409,AW$4),MIN($L409,EOMONTH(AW$4,0)),Assumptions!$F$4:$F$44))/NETWORKDAYS($K409,$L409,Assumptions!$F$4:$F$44))</f>
        <v>0</v>
      </c>
      <c r="AX409" s="21" t="n">
        <f aca="false">IF($J409=0,0,MAX(0,NETWORKDAYS(MAX($K409,AX$4),MIN($L409,EOMONTH(AX$4,0)),Assumptions!$F$4:$F$44))/NETWORKDAYS($K409,$L409,Assumptions!$F$4:$F$44))</f>
        <v>0</v>
      </c>
      <c r="AY409" s="21" t="n">
        <f aca="false">IF($J409=0,0,MAX(0,NETWORKDAYS(MAX($K409,AY$4),MIN($L409,EOMONTH(AY$4,0)),Assumptions!$F$4:$F$44))/NETWORKDAYS($K409,$L409,Assumptions!$F$4:$F$44))</f>
        <v>0</v>
      </c>
      <c r="AZ409" s="21" t="n">
        <f aca="false">IF($J409=0,0,MAX(0,NETWORKDAYS(MAX($K409,AZ$4),MIN($L409,EOMONTH(AZ$4,0)),Assumptions!$F$4:$F$44))/NETWORKDAYS($K409,$L409,Assumptions!$F$4:$F$44))</f>
        <v>0</v>
      </c>
      <c r="BA409" s="21" t="n">
        <f aca="false">IF($J409=0,0,MAX(0,NETWORKDAYS(MAX($K409,BA$4),MIN($L409,EOMONTH(BA$4,0)),Assumptions!$F$4:$F$44))/NETWORKDAYS($K409,$L409,Assumptions!$F$4:$F$44))</f>
        <v>0</v>
      </c>
      <c r="BB409" s="21" t="n">
        <f aca="false">IF($J409=0,0,MAX(0,NETWORKDAYS(MAX($K409,BB$4),MIN($L409,EOMONTH(BB$4,0)),Assumptions!$F$4:$F$44))/NETWORKDAYS($K409,$L409,Assumptions!$F$4:$F$44))</f>
        <v>0</v>
      </c>
      <c r="BC409" s="21" t="n">
        <f aca="false">IF($J409=0,0,MAX(0,NETWORKDAYS(MAX($K409,BC$4),MIN($L409,EOMONTH(BC$4,0)),Assumptions!$F$4:$F$44))/NETWORKDAYS($K409,$L409,Assumptions!$F$4:$F$44))</f>
        <v>0</v>
      </c>
    </row>
    <row r="410" customFormat="false" ht="15" hidden="false" customHeight="false" outlineLevel="2" collapsed="false">
      <c r="A410" s="27" t="n">
        <v>406</v>
      </c>
      <c r="B410" s="27" t="s">
        <v>867</v>
      </c>
      <c r="C410" s="27" t="n">
        <v>3</v>
      </c>
      <c r="D410" s="27" t="s">
        <v>92</v>
      </c>
      <c r="E410" s="28" t="s">
        <v>310</v>
      </c>
      <c r="F410" s="27" t="s">
        <v>846</v>
      </c>
      <c r="G410" s="27" t="s">
        <v>857</v>
      </c>
      <c r="H410" s="27" t="s">
        <v>49</v>
      </c>
      <c r="I410" s="29" t="n">
        <v>297</v>
      </c>
      <c r="J410" s="29" t="n">
        <v>53</v>
      </c>
      <c r="K410" s="30" t="n">
        <f aca="false">WORKDAY(Assumptions!$C$4,I410,Assumptions!$F$4:$F$44)</f>
        <v>46743</v>
      </c>
      <c r="L410" s="30" t="n">
        <f aca="false">IF(J410=0,K410,WORKDAY(K410,J410-1,Assumptions!$F$4:$F$44))</f>
        <v>46815</v>
      </c>
      <c r="M410" s="29" t="s">
        <v>868</v>
      </c>
      <c r="N410" s="31" t="n">
        <v>0</v>
      </c>
      <c r="O410" s="31" t="n">
        <v>0</v>
      </c>
      <c r="P410" s="31" t="n">
        <v>0</v>
      </c>
      <c r="Q410" s="31" t="n">
        <v>0</v>
      </c>
      <c r="R410" s="31" t="n">
        <v>24</v>
      </c>
      <c r="S410" s="31" t="n">
        <v>0</v>
      </c>
      <c r="T410" s="31" t="n">
        <v>0</v>
      </c>
      <c r="U410" s="31" t="n">
        <v>0</v>
      </c>
      <c r="V410" s="31" t="n">
        <v>0</v>
      </c>
      <c r="W410" s="31" t="n">
        <v>0</v>
      </c>
      <c r="X410" s="31" t="n">
        <v>0</v>
      </c>
      <c r="Y410" s="32" t="n">
        <f aca="false">SUM(N410:X410)</f>
        <v>24</v>
      </c>
      <c r="Z410" s="32" t="n">
        <f aca="false">Y410*(1+Assumptions!$C$5)</f>
        <v>27.6</v>
      </c>
      <c r="AA410" s="27" t="s">
        <v>312</v>
      </c>
      <c r="AB410" s="27" t="s">
        <v>95</v>
      </c>
      <c r="AC410" s="27"/>
      <c r="AD410" s="33" t="n">
        <v>0</v>
      </c>
      <c r="AF410" s="21" t="n">
        <f aca="false">IF($J410=0,0,MAX(0,NETWORKDAYS(MAX($K410,AF$4),MIN($L410,EOMONTH(AF$4,0)),Assumptions!$F$4:$F$44))/NETWORKDAYS($K410,$L410,Assumptions!$F$4:$F$44))</f>
        <v>0</v>
      </c>
      <c r="AG410" s="21" t="n">
        <f aca="false">IF($J410=0,0,MAX(0,NETWORKDAYS(MAX($K410,AG$4),MIN($L410,EOMONTH(AG$4,0)),Assumptions!$F$4:$F$44))/NETWORKDAYS($K410,$L410,Assumptions!$F$4:$F$44))</f>
        <v>0</v>
      </c>
      <c r="AH410" s="21" t="n">
        <f aca="false">IF($J410=0,0,MAX(0,NETWORKDAYS(MAX($K410,AH$4),MIN($L410,EOMONTH(AH$4,0)),Assumptions!$F$4:$F$44))/NETWORKDAYS($K410,$L410,Assumptions!$F$4:$F$44))</f>
        <v>0</v>
      </c>
      <c r="AI410" s="21" t="n">
        <f aca="false">IF($J410=0,0,MAX(0,NETWORKDAYS(MAX($K410,AI$4),MIN($L410,EOMONTH(AI$4,0)),Assumptions!$F$4:$F$44))/NETWORKDAYS($K410,$L410,Assumptions!$F$4:$F$44))</f>
        <v>0</v>
      </c>
      <c r="AJ410" s="21" t="n">
        <f aca="false">IF($J410=0,0,MAX(0,NETWORKDAYS(MAX($K410,AJ$4),MIN($L410,EOMONTH(AJ$4,0)),Assumptions!$F$4:$F$44))/NETWORKDAYS($K410,$L410,Assumptions!$F$4:$F$44))</f>
        <v>0</v>
      </c>
      <c r="AK410" s="21" t="n">
        <f aca="false">IF($J410=0,0,MAX(0,NETWORKDAYS(MAX($K410,AK$4),MIN($L410,EOMONTH(AK$4,0)),Assumptions!$F$4:$F$44))/NETWORKDAYS($K410,$L410,Assumptions!$F$4:$F$44))</f>
        <v>0</v>
      </c>
      <c r="AL410" s="21" t="n">
        <f aca="false">IF($J410=0,0,MAX(0,NETWORKDAYS(MAX($K410,AL$4),MIN($L410,EOMONTH(AL$4,0)),Assumptions!$F$4:$F$44))/NETWORKDAYS($K410,$L410,Assumptions!$F$4:$F$44))</f>
        <v>0</v>
      </c>
      <c r="AM410" s="21" t="n">
        <f aca="false">IF($J410=0,0,MAX(0,NETWORKDAYS(MAX($K410,AM$4),MIN($L410,EOMONTH(AM$4,0)),Assumptions!$F$4:$F$44))/NETWORKDAYS($K410,$L410,Assumptions!$F$4:$F$44))</f>
        <v>0</v>
      </c>
      <c r="AN410" s="21" t="n">
        <f aca="false">IF($J410=0,0,MAX(0,NETWORKDAYS(MAX($K410,AN$4),MIN($L410,EOMONTH(AN$4,0)),Assumptions!$F$4:$F$44))/NETWORKDAYS($K410,$L410,Assumptions!$F$4:$F$44))</f>
        <v>0</v>
      </c>
      <c r="AO410" s="21" t="n">
        <f aca="false">IF($J410=0,0,MAX(0,NETWORKDAYS(MAX($K410,AO$4),MIN($L410,EOMONTH(AO$4,0)),Assumptions!$F$4:$F$44))/NETWORKDAYS($K410,$L410,Assumptions!$F$4:$F$44))</f>
        <v>0</v>
      </c>
      <c r="AP410" s="21" t="n">
        <f aca="false">IF($J410=0,0,MAX(0,NETWORKDAYS(MAX($K410,AP$4),MIN($L410,EOMONTH(AP$4,0)),Assumptions!$F$4:$F$44))/NETWORKDAYS($K410,$L410,Assumptions!$F$4:$F$44))</f>
        <v>0</v>
      </c>
      <c r="AQ410" s="21" t="n">
        <f aca="false">IF($J410=0,0,MAX(0,NETWORKDAYS(MAX($K410,AQ$4),MIN($L410,EOMONTH(AQ$4,0)),Assumptions!$F$4:$F$44))/NETWORKDAYS($K410,$L410,Assumptions!$F$4:$F$44))</f>
        <v>0</v>
      </c>
      <c r="AR410" s="21" t="n">
        <f aca="false">IF($J410=0,0,MAX(0,NETWORKDAYS(MAX($K410,AR$4),MIN($L410,EOMONTH(AR$4,0)),Assumptions!$F$4:$F$44))/NETWORKDAYS($K410,$L410,Assumptions!$F$4:$F$44))</f>
        <v>0</v>
      </c>
      <c r="AS410" s="21" t="n">
        <f aca="false">IF($J410=0,0,MAX(0,NETWORKDAYS(MAX($K410,AS$4),MIN($L410,EOMONTH(AS$4,0)),Assumptions!$F$4:$F$44))/NETWORKDAYS($K410,$L410,Assumptions!$F$4:$F$44))</f>
        <v>0.150943396226415</v>
      </c>
      <c r="AT410" s="21" t="n">
        <f aca="false">IF($J410=0,0,MAX(0,NETWORKDAYS(MAX($K410,AT$4),MIN($L410,EOMONTH(AT$4,0)),Assumptions!$F$4:$F$44))/NETWORKDAYS($K410,$L410,Assumptions!$F$4:$F$44))</f>
        <v>0.39622641509434</v>
      </c>
      <c r="AU410" s="21" t="n">
        <f aca="false">IF($J410=0,0,MAX(0,NETWORKDAYS(MAX($K410,AU$4),MIN($L410,EOMONTH(AU$4,0)),Assumptions!$F$4:$F$44))/NETWORKDAYS($K410,$L410,Assumptions!$F$4:$F$44))</f>
        <v>0.39622641509434</v>
      </c>
      <c r="AV410" s="21" t="n">
        <f aca="false">IF($J410=0,0,MAX(0,NETWORKDAYS(MAX($K410,AV$4),MIN($L410,EOMONTH(AV$4,0)),Assumptions!$F$4:$F$44))/NETWORKDAYS($K410,$L410,Assumptions!$F$4:$F$44))</f>
        <v>0.0566037735849057</v>
      </c>
      <c r="AW410" s="21" t="n">
        <f aca="false">IF($J410=0,0,MAX(0,NETWORKDAYS(MAX($K410,AW$4),MIN($L410,EOMONTH(AW$4,0)),Assumptions!$F$4:$F$44))/NETWORKDAYS($K410,$L410,Assumptions!$F$4:$F$44))</f>
        <v>0</v>
      </c>
      <c r="AX410" s="21" t="n">
        <f aca="false">IF($J410=0,0,MAX(0,NETWORKDAYS(MAX($K410,AX$4),MIN($L410,EOMONTH(AX$4,0)),Assumptions!$F$4:$F$44))/NETWORKDAYS($K410,$L410,Assumptions!$F$4:$F$44))</f>
        <v>0</v>
      </c>
      <c r="AY410" s="21" t="n">
        <f aca="false">IF($J410=0,0,MAX(0,NETWORKDAYS(MAX($K410,AY$4),MIN($L410,EOMONTH(AY$4,0)),Assumptions!$F$4:$F$44))/NETWORKDAYS($K410,$L410,Assumptions!$F$4:$F$44))</f>
        <v>0</v>
      </c>
      <c r="AZ410" s="21" t="n">
        <f aca="false">IF($J410=0,0,MAX(0,NETWORKDAYS(MAX($K410,AZ$4),MIN($L410,EOMONTH(AZ$4,0)),Assumptions!$F$4:$F$44))/NETWORKDAYS($K410,$L410,Assumptions!$F$4:$F$44))</f>
        <v>0</v>
      </c>
      <c r="BA410" s="21" t="n">
        <f aca="false">IF($J410=0,0,MAX(0,NETWORKDAYS(MAX($K410,BA$4),MIN($L410,EOMONTH(BA$4,0)),Assumptions!$F$4:$F$44))/NETWORKDAYS($K410,$L410,Assumptions!$F$4:$F$44))</f>
        <v>0</v>
      </c>
      <c r="BB410" s="21" t="n">
        <f aca="false">IF($J410=0,0,MAX(0,NETWORKDAYS(MAX($K410,BB$4),MIN($L410,EOMONTH(BB$4,0)),Assumptions!$F$4:$F$44))/NETWORKDAYS($K410,$L410,Assumptions!$F$4:$F$44))</f>
        <v>0</v>
      </c>
      <c r="BC410" s="21" t="n">
        <f aca="false">IF($J410=0,0,MAX(0,NETWORKDAYS(MAX($K410,BC$4),MIN($L410,EOMONTH(BC$4,0)),Assumptions!$F$4:$F$44))/NETWORKDAYS($K410,$L410,Assumptions!$F$4:$F$44))</f>
        <v>0</v>
      </c>
    </row>
    <row r="411" customFormat="false" ht="15" hidden="false" customHeight="false" outlineLevel="2" collapsed="false">
      <c r="A411" s="27" t="n">
        <v>407</v>
      </c>
      <c r="B411" s="27" t="s">
        <v>869</v>
      </c>
      <c r="C411" s="27" t="n">
        <v>3</v>
      </c>
      <c r="D411" s="27" t="s">
        <v>92</v>
      </c>
      <c r="E411" s="28" t="s">
        <v>317</v>
      </c>
      <c r="F411" s="27" t="s">
        <v>846</v>
      </c>
      <c r="G411" s="27" t="s">
        <v>857</v>
      </c>
      <c r="H411" s="27" t="s">
        <v>51</v>
      </c>
      <c r="I411" s="29" t="n">
        <v>310</v>
      </c>
      <c r="J411" s="29" t="n">
        <v>40</v>
      </c>
      <c r="K411" s="30" t="n">
        <f aca="false">WORKDAY(Assumptions!$C$4,I411,Assumptions!$F$4:$F$44)</f>
        <v>46762</v>
      </c>
      <c r="L411" s="30" t="n">
        <f aca="false">IF(J411=0,K411,WORKDAY(K411,J411-1,Assumptions!$F$4:$F$44))</f>
        <v>46815</v>
      </c>
      <c r="M411" s="29" t="s">
        <v>868</v>
      </c>
      <c r="N411" s="31" t="n">
        <v>0</v>
      </c>
      <c r="O411" s="31" t="n">
        <v>0</v>
      </c>
      <c r="P411" s="31" t="n">
        <v>0</v>
      </c>
      <c r="Q411" s="31" t="n">
        <v>0</v>
      </c>
      <c r="R411" s="31" t="n">
        <v>0</v>
      </c>
      <c r="S411" s="31" t="n">
        <v>11</v>
      </c>
      <c r="T411" s="31" t="n">
        <v>0</v>
      </c>
      <c r="U411" s="31" t="n">
        <v>0</v>
      </c>
      <c r="V411" s="31" t="n">
        <v>0</v>
      </c>
      <c r="W411" s="31" t="n">
        <v>0</v>
      </c>
      <c r="X411" s="31" t="n">
        <v>0</v>
      </c>
      <c r="Y411" s="32" t="n">
        <f aca="false">SUM(N411:X411)</f>
        <v>11</v>
      </c>
      <c r="Z411" s="32" t="n">
        <f aca="false">Y411*(1+Assumptions!$C$5)</f>
        <v>12.65</v>
      </c>
      <c r="AA411" s="27" t="s">
        <v>318</v>
      </c>
      <c r="AB411" s="27" t="s">
        <v>95</v>
      </c>
      <c r="AC411" s="27"/>
      <c r="AD411" s="33" t="n">
        <v>0</v>
      </c>
      <c r="AF411" s="21" t="n">
        <f aca="false">IF($J411=0,0,MAX(0,NETWORKDAYS(MAX($K411,AF$4),MIN($L411,EOMONTH(AF$4,0)),Assumptions!$F$4:$F$44))/NETWORKDAYS($K411,$L411,Assumptions!$F$4:$F$44))</f>
        <v>0</v>
      </c>
      <c r="AG411" s="21" t="n">
        <f aca="false">IF($J411=0,0,MAX(0,NETWORKDAYS(MAX($K411,AG$4),MIN($L411,EOMONTH(AG$4,0)),Assumptions!$F$4:$F$44))/NETWORKDAYS($K411,$L411,Assumptions!$F$4:$F$44))</f>
        <v>0</v>
      </c>
      <c r="AH411" s="21" t="n">
        <f aca="false">IF($J411=0,0,MAX(0,NETWORKDAYS(MAX($K411,AH$4),MIN($L411,EOMONTH(AH$4,0)),Assumptions!$F$4:$F$44))/NETWORKDAYS($K411,$L411,Assumptions!$F$4:$F$44))</f>
        <v>0</v>
      </c>
      <c r="AI411" s="21" t="n">
        <f aca="false">IF($J411=0,0,MAX(0,NETWORKDAYS(MAX($K411,AI$4),MIN($L411,EOMONTH(AI$4,0)),Assumptions!$F$4:$F$44))/NETWORKDAYS($K411,$L411,Assumptions!$F$4:$F$44))</f>
        <v>0</v>
      </c>
      <c r="AJ411" s="21" t="n">
        <f aca="false">IF($J411=0,0,MAX(0,NETWORKDAYS(MAX($K411,AJ$4),MIN($L411,EOMONTH(AJ$4,0)),Assumptions!$F$4:$F$44))/NETWORKDAYS($K411,$L411,Assumptions!$F$4:$F$44))</f>
        <v>0</v>
      </c>
      <c r="AK411" s="21" t="n">
        <f aca="false">IF($J411=0,0,MAX(0,NETWORKDAYS(MAX($K411,AK$4),MIN($L411,EOMONTH(AK$4,0)),Assumptions!$F$4:$F$44))/NETWORKDAYS($K411,$L411,Assumptions!$F$4:$F$44))</f>
        <v>0</v>
      </c>
      <c r="AL411" s="21" t="n">
        <f aca="false">IF($J411=0,0,MAX(0,NETWORKDAYS(MAX($K411,AL$4),MIN($L411,EOMONTH(AL$4,0)),Assumptions!$F$4:$F$44))/NETWORKDAYS($K411,$L411,Assumptions!$F$4:$F$44))</f>
        <v>0</v>
      </c>
      <c r="AM411" s="21" t="n">
        <f aca="false">IF($J411=0,0,MAX(0,NETWORKDAYS(MAX($K411,AM$4),MIN($L411,EOMONTH(AM$4,0)),Assumptions!$F$4:$F$44))/NETWORKDAYS($K411,$L411,Assumptions!$F$4:$F$44))</f>
        <v>0</v>
      </c>
      <c r="AN411" s="21" t="n">
        <f aca="false">IF($J411=0,0,MAX(0,NETWORKDAYS(MAX($K411,AN$4),MIN($L411,EOMONTH(AN$4,0)),Assumptions!$F$4:$F$44))/NETWORKDAYS($K411,$L411,Assumptions!$F$4:$F$44))</f>
        <v>0</v>
      </c>
      <c r="AO411" s="21" t="n">
        <f aca="false">IF($J411=0,0,MAX(0,NETWORKDAYS(MAX($K411,AO$4),MIN($L411,EOMONTH(AO$4,0)),Assumptions!$F$4:$F$44))/NETWORKDAYS($K411,$L411,Assumptions!$F$4:$F$44))</f>
        <v>0</v>
      </c>
      <c r="AP411" s="21" t="n">
        <f aca="false">IF($J411=0,0,MAX(0,NETWORKDAYS(MAX($K411,AP$4),MIN($L411,EOMONTH(AP$4,0)),Assumptions!$F$4:$F$44))/NETWORKDAYS($K411,$L411,Assumptions!$F$4:$F$44))</f>
        <v>0</v>
      </c>
      <c r="AQ411" s="21" t="n">
        <f aca="false">IF($J411=0,0,MAX(0,NETWORKDAYS(MAX($K411,AQ$4),MIN($L411,EOMONTH(AQ$4,0)),Assumptions!$F$4:$F$44))/NETWORKDAYS($K411,$L411,Assumptions!$F$4:$F$44))</f>
        <v>0</v>
      </c>
      <c r="AR411" s="21" t="n">
        <f aca="false">IF($J411=0,0,MAX(0,NETWORKDAYS(MAX($K411,AR$4),MIN($L411,EOMONTH(AR$4,0)),Assumptions!$F$4:$F$44))/NETWORKDAYS($K411,$L411,Assumptions!$F$4:$F$44))</f>
        <v>0</v>
      </c>
      <c r="AS411" s="21" t="n">
        <f aca="false">IF($J411=0,0,MAX(0,NETWORKDAYS(MAX($K411,AS$4),MIN($L411,EOMONTH(AS$4,0)),Assumptions!$F$4:$F$44))/NETWORKDAYS($K411,$L411,Assumptions!$F$4:$F$44))</f>
        <v>0</v>
      </c>
      <c r="AT411" s="21" t="n">
        <f aca="false">IF($J411=0,0,MAX(0,NETWORKDAYS(MAX($K411,AT$4),MIN($L411,EOMONTH(AT$4,0)),Assumptions!$F$4:$F$44))/NETWORKDAYS($K411,$L411,Assumptions!$F$4:$F$44))</f>
        <v>0.4</v>
      </c>
      <c r="AU411" s="21" t="n">
        <f aca="false">IF($J411=0,0,MAX(0,NETWORKDAYS(MAX($K411,AU$4),MIN($L411,EOMONTH(AU$4,0)),Assumptions!$F$4:$F$44))/NETWORKDAYS($K411,$L411,Assumptions!$F$4:$F$44))</f>
        <v>0.525</v>
      </c>
      <c r="AV411" s="21" t="n">
        <f aca="false">IF($J411=0,0,MAX(0,NETWORKDAYS(MAX($K411,AV$4),MIN($L411,EOMONTH(AV$4,0)),Assumptions!$F$4:$F$44))/NETWORKDAYS($K411,$L411,Assumptions!$F$4:$F$44))</f>
        <v>0.075</v>
      </c>
      <c r="AW411" s="21" t="n">
        <f aca="false">IF($J411=0,0,MAX(0,NETWORKDAYS(MAX($K411,AW$4),MIN($L411,EOMONTH(AW$4,0)),Assumptions!$F$4:$F$44))/NETWORKDAYS($K411,$L411,Assumptions!$F$4:$F$44))</f>
        <v>0</v>
      </c>
      <c r="AX411" s="21" t="n">
        <f aca="false">IF($J411=0,0,MAX(0,NETWORKDAYS(MAX($K411,AX$4),MIN($L411,EOMONTH(AX$4,0)),Assumptions!$F$4:$F$44))/NETWORKDAYS($K411,$L411,Assumptions!$F$4:$F$44))</f>
        <v>0</v>
      </c>
      <c r="AY411" s="21" t="n">
        <f aca="false">IF($J411=0,0,MAX(0,NETWORKDAYS(MAX($K411,AY$4),MIN($L411,EOMONTH(AY$4,0)),Assumptions!$F$4:$F$44))/NETWORKDAYS($K411,$L411,Assumptions!$F$4:$F$44))</f>
        <v>0</v>
      </c>
      <c r="AZ411" s="21" t="n">
        <f aca="false">IF($J411=0,0,MAX(0,NETWORKDAYS(MAX($K411,AZ$4),MIN($L411,EOMONTH(AZ$4,0)),Assumptions!$F$4:$F$44))/NETWORKDAYS($K411,$L411,Assumptions!$F$4:$F$44))</f>
        <v>0</v>
      </c>
      <c r="BA411" s="21" t="n">
        <f aca="false">IF($J411=0,0,MAX(0,NETWORKDAYS(MAX($K411,BA$4),MIN($L411,EOMONTH(BA$4,0)),Assumptions!$F$4:$F$44))/NETWORKDAYS($K411,$L411,Assumptions!$F$4:$F$44))</f>
        <v>0</v>
      </c>
      <c r="BB411" s="21" t="n">
        <f aca="false">IF($J411=0,0,MAX(0,NETWORKDAYS(MAX($K411,BB$4),MIN($L411,EOMONTH(BB$4,0)),Assumptions!$F$4:$F$44))/NETWORKDAYS($K411,$L411,Assumptions!$F$4:$F$44))</f>
        <v>0</v>
      </c>
      <c r="BC411" s="21" t="n">
        <f aca="false">IF($J411=0,0,MAX(0,NETWORKDAYS(MAX($K411,BC$4),MIN($L411,EOMONTH(BC$4,0)),Assumptions!$F$4:$F$44))/NETWORKDAYS($K411,$L411,Assumptions!$F$4:$F$44))</f>
        <v>0</v>
      </c>
    </row>
    <row r="412" customFormat="false" ht="15" hidden="false" customHeight="false" outlineLevel="2" collapsed="false">
      <c r="A412" s="27" t="n">
        <v>408</v>
      </c>
      <c r="B412" s="27" t="s">
        <v>870</v>
      </c>
      <c r="C412" s="27" t="n">
        <v>3</v>
      </c>
      <c r="D412" s="27" t="s">
        <v>92</v>
      </c>
      <c r="E412" s="28" t="s">
        <v>871</v>
      </c>
      <c r="F412" s="27" t="s">
        <v>846</v>
      </c>
      <c r="G412" s="27" t="s">
        <v>857</v>
      </c>
      <c r="H412" s="27" t="s">
        <v>47</v>
      </c>
      <c r="I412" s="29" t="n">
        <v>317</v>
      </c>
      <c r="J412" s="29" t="n">
        <v>37</v>
      </c>
      <c r="K412" s="30" t="n">
        <f aca="false">WORKDAY(Assumptions!$C$4,I412,Assumptions!$F$4:$F$44)</f>
        <v>46771</v>
      </c>
      <c r="L412" s="30" t="n">
        <f aca="false">IF(J412=0,K412,WORKDAY(K412,J412-1,Assumptions!$F$4:$F$44))</f>
        <v>46821</v>
      </c>
      <c r="M412" s="29" t="s">
        <v>872</v>
      </c>
      <c r="N412" s="31" t="n">
        <v>0</v>
      </c>
      <c r="O412" s="31" t="n">
        <v>0</v>
      </c>
      <c r="P412" s="31" t="n">
        <v>0</v>
      </c>
      <c r="Q412" s="31" t="n">
        <v>6</v>
      </c>
      <c r="R412" s="31" t="n">
        <v>0</v>
      </c>
      <c r="S412" s="31" t="n">
        <v>0</v>
      </c>
      <c r="T412" s="31" t="n">
        <v>0</v>
      </c>
      <c r="U412" s="31" t="n">
        <v>0</v>
      </c>
      <c r="V412" s="31" t="n">
        <v>0</v>
      </c>
      <c r="W412" s="31" t="n">
        <v>0</v>
      </c>
      <c r="X412" s="31" t="n">
        <v>0</v>
      </c>
      <c r="Y412" s="32" t="n">
        <f aca="false">SUM(N412:X412)</f>
        <v>6</v>
      </c>
      <c r="Z412" s="32" t="n">
        <f aca="false">Y412*(1+Assumptions!$C$5)</f>
        <v>6.9</v>
      </c>
      <c r="AA412" s="27" t="s">
        <v>325</v>
      </c>
      <c r="AB412" s="27" t="s">
        <v>95</v>
      </c>
      <c r="AC412" s="27"/>
      <c r="AD412" s="33" t="n">
        <v>0</v>
      </c>
      <c r="AF412" s="21" t="n">
        <f aca="false">IF($J412=0,0,MAX(0,NETWORKDAYS(MAX($K412,AF$4),MIN($L412,EOMONTH(AF$4,0)),Assumptions!$F$4:$F$44))/NETWORKDAYS($K412,$L412,Assumptions!$F$4:$F$44))</f>
        <v>0</v>
      </c>
      <c r="AG412" s="21" t="n">
        <f aca="false">IF($J412=0,0,MAX(0,NETWORKDAYS(MAX($K412,AG$4),MIN($L412,EOMONTH(AG$4,0)),Assumptions!$F$4:$F$44))/NETWORKDAYS($K412,$L412,Assumptions!$F$4:$F$44))</f>
        <v>0</v>
      </c>
      <c r="AH412" s="21" t="n">
        <f aca="false">IF($J412=0,0,MAX(0,NETWORKDAYS(MAX($K412,AH$4),MIN($L412,EOMONTH(AH$4,0)),Assumptions!$F$4:$F$44))/NETWORKDAYS($K412,$L412,Assumptions!$F$4:$F$44))</f>
        <v>0</v>
      </c>
      <c r="AI412" s="21" t="n">
        <f aca="false">IF($J412=0,0,MAX(0,NETWORKDAYS(MAX($K412,AI$4),MIN($L412,EOMONTH(AI$4,0)),Assumptions!$F$4:$F$44))/NETWORKDAYS($K412,$L412,Assumptions!$F$4:$F$44))</f>
        <v>0</v>
      </c>
      <c r="AJ412" s="21" t="n">
        <f aca="false">IF($J412=0,0,MAX(0,NETWORKDAYS(MAX($K412,AJ$4),MIN($L412,EOMONTH(AJ$4,0)),Assumptions!$F$4:$F$44))/NETWORKDAYS($K412,$L412,Assumptions!$F$4:$F$44))</f>
        <v>0</v>
      </c>
      <c r="AK412" s="21" t="n">
        <f aca="false">IF($J412=0,0,MAX(0,NETWORKDAYS(MAX($K412,AK$4),MIN($L412,EOMONTH(AK$4,0)),Assumptions!$F$4:$F$44))/NETWORKDAYS($K412,$L412,Assumptions!$F$4:$F$44))</f>
        <v>0</v>
      </c>
      <c r="AL412" s="21" t="n">
        <f aca="false">IF($J412=0,0,MAX(0,NETWORKDAYS(MAX($K412,AL$4),MIN($L412,EOMONTH(AL$4,0)),Assumptions!$F$4:$F$44))/NETWORKDAYS($K412,$L412,Assumptions!$F$4:$F$44))</f>
        <v>0</v>
      </c>
      <c r="AM412" s="21" t="n">
        <f aca="false">IF($J412=0,0,MAX(0,NETWORKDAYS(MAX($K412,AM$4),MIN($L412,EOMONTH(AM$4,0)),Assumptions!$F$4:$F$44))/NETWORKDAYS($K412,$L412,Assumptions!$F$4:$F$44))</f>
        <v>0</v>
      </c>
      <c r="AN412" s="21" t="n">
        <f aca="false">IF($J412=0,0,MAX(0,NETWORKDAYS(MAX($K412,AN$4),MIN($L412,EOMONTH(AN$4,0)),Assumptions!$F$4:$F$44))/NETWORKDAYS($K412,$L412,Assumptions!$F$4:$F$44))</f>
        <v>0</v>
      </c>
      <c r="AO412" s="21" t="n">
        <f aca="false">IF($J412=0,0,MAX(0,NETWORKDAYS(MAX($K412,AO$4),MIN($L412,EOMONTH(AO$4,0)),Assumptions!$F$4:$F$44))/NETWORKDAYS($K412,$L412,Assumptions!$F$4:$F$44))</f>
        <v>0</v>
      </c>
      <c r="AP412" s="21" t="n">
        <f aca="false">IF($J412=0,0,MAX(0,NETWORKDAYS(MAX($K412,AP$4),MIN($L412,EOMONTH(AP$4,0)),Assumptions!$F$4:$F$44))/NETWORKDAYS($K412,$L412,Assumptions!$F$4:$F$44))</f>
        <v>0</v>
      </c>
      <c r="AQ412" s="21" t="n">
        <f aca="false">IF($J412=0,0,MAX(0,NETWORKDAYS(MAX($K412,AQ$4),MIN($L412,EOMONTH(AQ$4,0)),Assumptions!$F$4:$F$44))/NETWORKDAYS($K412,$L412,Assumptions!$F$4:$F$44))</f>
        <v>0</v>
      </c>
      <c r="AR412" s="21" t="n">
        <f aca="false">IF($J412=0,0,MAX(0,NETWORKDAYS(MAX($K412,AR$4),MIN($L412,EOMONTH(AR$4,0)),Assumptions!$F$4:$F$44))/NETWORKDAYS($K412,$L412,Assumptions!$F$4:$F$44))</f>
        <v>0</v>
      </c>
      <c r="AS412" s="21" t="n">
        <f aca="false">IF($J412=0,0,MAX(0,NETWORKDAYS(MAX($K412,AS$4),MIN($L412,EOMONTH(AS$4,0)),Assumptions!$F$4:$F$44))/NETWORKDAYS($K412,$L412,Assumptions!$F$4:$F$44))</f>
        <v>0</v>
      </c>
      <c r="AT412" s="21" t="n">
        <f aca="false">IF($J412=0,0,MAX(0,NETWORKDAYS(MAX($K412,AT$4),MIN($L412,EOMONTH(AT$4,0)),Assumptions!$F$4:$F$44))/NETWORKDAYS($K412,$L412,Assumptions!$F$4:$F$44))</f>
        <v>0.243243243243243</v>
      </c>
      <c r="AU412" s="21" t="n">
        <f aca="false">IF($J412=0,0,MAX(0,NETWORKDAYS(MAX($K412,AU$4),MIN($L412,EOMONTH(AU$4,0)),Assumptions!$F$4:$F$44))/NETWORKDAYS($K412,$L412,Assumptions!$F$4:$F$44))</f>
        <v>0.567567567567568</v>
      </c>
      <c r="AV412" s="21" t="n">
        <f aca="false">IF($J412=0,0,MAX(0,NETWORKDAYS(MAX($K412,AV$4),MIN($L412,EOMONTH(AV$4,0)),Assumptions!$F$4:$F$44))/NETWORKDAYS($K412,$L412,Assumptions!$F$4:$F$44))</f>
        <v>0.189189189189189</v>
      </c>
      <c r="AW412" s="21" t="n">
        <f aca="false">IF($J412=0,0,MAX(0,NETWORKDAYS(MAX($K412,AW$4),MIN($L412,EOMONTH(AW$4,0)),Assumptions!$F$4:$F$44))/NETWORKDAYS($K412,$L412,Assumptions!$F$4:$F$44))</f>
        <v>0</v>
      </c>
      <c r="AX412" s="21" t="n">
        <f aca="false">IF($J412=0,0,MAX(0,NETWORKDAYS(MAX($K412,AX$4),MIN($L412,EOMONTH(AX$4,0)),Assumptions!$F$4:$F$44))/NETWORKDAYS($K412,$L412,Assumptions!$F$4:$F$44))</f>
        <v>0</v>
      </c>
      <c r="AY412" s="21" t="n">
        <f aca="false">IF($J412=0,0,MAX(0,NETWORKDAYS(MAX($K412,AY$4),MIN($L412,EOMONTH(AY$4,0)),Assumptions!$F$4:$F$44))/NETWORKDAYS($K412,$L412,Assumptions!$F$4:$F$44))</f>
        <v>0</v>
      </c>
      <c r="AZ412" s="21" t="n">
        <f aca="false">IF($J412=0,0,MAX(0,NETWORKDAYS(MAX($K412,AZ$4),MIN($L412,EOMONTH(AZ$4,0)),Assumptions!$F$4:$F$44))/NETWORKDAYS($K412,$L412,Assumptions!$F$4:$F$44))</f>
        <v>0</v>
      </c>
      <c r="BA412" s="21" t="n">
        <f aca="false">IF($J412=0,0,MAX(0,NETWORKDAYS(MAX($K412,BA$4),MIN($L412,EOMONTH(BA$4,0)),Assumptions!$F$4:$F$44))/NETWORKDAYS($K412,$L412,Assumptions!$F$4:$F$44))</f>
        <v>0</v>
      </c>
      <c r="BB412" s="21" t="n">
        <f aca="false">IF($J412=0,0,MAX(0,NETWORKDAYS(MAX($K412,BB$4),MIN($L412,EOMONTH(BB$4,0)),Assumptions!$F$4:$F$44))/NETWORKDAYS($K412,$L412,Assumptions!$F$4:$F$44))</f>
        <v>0</v>
      </c>
      <c r="BC412" s="21" t="n">
        <f aca="false">IF($J412=0,0,MAX(0,NETWORKDAYS(MAX($K412,BC$4),MIN($L412,EOMONTH(BC$4,0)),Assumptions!$F$4:$F$44))/NETWORKDAYS($K412,$L412,Assumptions!$F$4:$F$44))</f>
        <v>0</v>
      </c>
    </row>
    <row r="413" customFormat="false" ht="15" hidden="false" customHeight="false" outlineLevel="2" collapsed="false">
      <c r="A413" s="27" t="n">
        <v>409</v>
      </c>
      <c r="B413" s="27" t="s">
        <v>873</v>
      </c>
      <c r="C413" s="27" t="n">
        <v>3</v>
      </c>
      <c r="D413" s="27" t="s">
        <v>92</v>
      </c>
      <c r="E413" s="28" t="s">
        <v>370</v>
      </c>
      <c r="F413" s="27" t="s">
        <v>846</v>
      </c>
      <c r="G413" s="27" t="s">
        <v>857</v>
      </c>
      <c r="H413" s="27" t="s">
        <v>47</v>
      </c>
      <c r="I413" s="29" t="n">
        <v>310</v>
      </c>
      <c r="J413" s="29" t="n">
        <v>44</v>
      </c>
      <c r="K413" s="30" t="n">
        <f aca="false">WORKDAY(Assumptions!$C$4,I413,Assumptions!$F$4:$F$44)</f>
        <v>46762</v>
      </c>
      <c r="L413" s="30" t="n">
        <f aca="false">IF(J413=0,K413,WORKDAY(K413,J413-1,Assumptions!$F$4:$F$44))</f>
        <v>46821</v>
      </c>
      <c r="M413" s="29" t="s">
        <v>865</v>
      </c>
      <c r="N413" s="31" t="n">
        <v>0</v>
      </c>
      <c r="O413" s="31" t="n">
        <v>0</v>
      </c>
      <c r="P413" s="31" t="n">
        <v>0</v>
      </c>
      <c r="Q413" s="31" t="n">
        <v>10</v>
      </c>
      <c r="R413" s="31" t="n">
        <v>0</v>
      </c>
      <c r="S413" s="31" t="n">
        <v>0</v>
      </c>
      <c r="T413" s="31" t="n">
        <v>0</v>
      </c>
      <c r="U413" s="31" t="n">
        <v>0</v>
      </c>
      <c r="V413" s="31" t="n">
        <v>2</v>
      </c>
      <c r="W413" s="31" t="n">
        <v>0</v>
      </c>
      <c r="X413" s="31" t="n">
        <v>0</v>
      </c>
      <c r="Y413" s="32" t="n">
        <f aca="false">SUM(N413:X413)</f>
        <v>12</v>
      </c>
      <c r="Z413" s="32" t="n">
        <f aca="false">Y413*(1+Assumptions!$C$5)</f>
        <v>13.8</v>
      </c>
      <c r="AA413" s="27" t="s">
        <v>328</v>
      </c>
      <c r="AB413" s="27" t="s">
        <v>95</v>
      </c>
      <c r="AC413" s="27"/>
      <c r="AD413" s="33" t="n">
        <v>0</v>
      </c>
      <c r="AF413" s="21" t="n">
        <f aca="false">IF($J413=0,0,MAX(0,NETWORKDAYS(MAX($K413,AF$4),MIN($L413,EOMONTH(AF$4,0)),Assumptions!$F$4:$F$44))/NETWORKDAYS($K413,$L413,Assumptions!$F$4:$F$44))</f>
        <v>0</v>
      </c>
      <c r="AG413" s="21" t="n">
        <f aca="false">IF($J413=0,0,MAX(0,NETWORKDAYS(MAX($K413,AG$4),MIN($L413,EOMONTH(AG$4,0)),Assumptions!$F$4:$F$44))/NETWORKDAYS($K413,$L413,Assumptions!$F$4:$F$44))</f>
        <v>0</v>
      </c>
      <c r="AH413" s="21" t="n">
        <f aca="false">IF($J413=0,0,MAX(0,NETWORKDAYS(MAX($K413,AH$4),MIN($L413,EOMONTH(AH$4,0)),Assumptions!$F$4:$F$44))/NETWORKDAYS($K413,$L413,Assumptions!$F$4:$F$44))</f>
        <v>0</v>
      </c>
      <c r="AI413" s="21" t="n">
        <f aca="false">IF($J413=0,0,MAX(0,NETWORKDAYS(MAX($K413,AI$4),MIN($L413,EOMONTH(AI$4,0)),Assumptions!$F$4:$F$44))/NETWORKDAYS($K413,$L413,Assumptions!$F$4:$F$44))</f>
        <v>0</v>
      </c>
      <c r="AJ413" s="21" t="n">
        <f aca="false">IF($J413=0,0,MAX(0,NETWORKDAYS(MAX($K413,AJ$4),MIN($L413,EOMONTH(AJ$4,0)),Assumptions!$F$4:$F$44))/NETWORKDAYS($K413,$L413,Assumptions!$F$4:$F$44))</f>
        <v>0</v>
      </c>
      <c r="AK413" s="21" t="n">
        <f aca="false">IF($J413=0,0,MAX(0,NETWORKDAYS(MAX($K413,AK$4),MIN($L413,EOMONTH(AK$4,0)),Assumptions!$F$4:$F$44))/NETWORKDAYS($K413,$L413,Assumptions!$F$4:$F$44))</f>
        <v>0</v>
      </c>
      <c r="AL413" s="21" t="n">
        <f aca="false">IF($J413=0,0,MAX(0,NETWORKDAYS(MAX($K413,AL$4),MIN($L413,EOMONTH(AL$4,0)),Assumptions!$F$4:$F$44))/NETWORKDAYS($K413,$L413,Assumptions!$F$4:$F$44))</f>
        <v>0</v>
      </c>
      <c r="AM413" s="21" t="n">
        <f aca="false">IF($J413=0,0,MAX(0,NETWORKDAYS(MAX($K413,AM$4),MIN($L413,EOMONTH(AM$4,0)),Assumptions!$F$4:$F$44))/NETWORKDAYS($K413,$L413,Assumptions!$F$4:$F$44))</f>
        <v>0</v>
      </c>
      <c r="AN413" s="21" t="n">
        <f aca="false">IF($J413=0,0,MAX(0,NETWORKDAYS(MAX($K413,AN$4),MIN($L413,EOMONTH(AN$4,0)),Assumptions!$F$4:$F$44))/NETWORKDAYS($K413,$L413,Assumptions!$F$4:$F$44))</f>
        <v>0</v>
      </c>
      <c r="AO413" s="21" t="n">
        <f aca="false">IF($J413=0,0,MAX(0,NETWORKDAYS(MAX($K413,AO$4),MIN($L413,EOMONTH(AO$4,0)),Assumptions!$F$4:$F$44))/NETWORKDAYS($K413,$L413,Assumptions!$F$4:$F$44))</f>
        <v>0</v>
      </c>
      <c r="AP413" s="21" t="n">
        <f aca="false">IF($J413=0,0,MAX(0,NETWORKDAYS(MAX($K413,AP$4),MIN($L413,EOMONTH(AP$4,0)),Assumptions!$F$4:$F$44))/NETWORKDAYS($K413,$L413,Assumptions!$F$4:$F$44))</f>
        <v>0</v>
      </c>
      <c r="AQ413" s="21" t="n">
        <f aca="false">IF($J413=0,0,MAX(0,NETWORKDAYS(MAX($K413,AQ$4),MIN($L413,EOMONTH(AQ$4,0)),Assumptions!$F$4:$F$44))/NETWORKDAYS($K413,$L413,Assumptions!$F$4:$F$44))</f>
        <v>0</v>
      </c>
      <c r="AR413" s="21" t="n">
        <f aca="false">IF($J413=0,0,MAX(0,NETWORKDAYS(MAX($K413,AR$4),MIN($L413,EOMONTH(AR$4,0)),Assumptions!$F$4:$F$44))/NETWORKDAYS($K413,$L413,Assumptions!$F$4:$F$44))</f>
        <v>0</v>
      </c>
      <c r="AS413" s="21" t="n">
        <f aca="false">IF($J413=0,0,MAX(0,NETWORKDAYS(MAX($K413,AS$4),MIN($L413,EOMONTH(AS$4,0)),Assumptions!$F$4:$F$44))/NETWORKDAYS($K413,$L413,Assumptions!$F$4:$F$44))</f>
        <v>0</v>
      </c>
      <c r="AT413" s="21" t="n">
        <f aca="false">IF($J413=0,0,MAX(0,NETWORKDAYS(MAX($K413,AT$4),MIN($L413,EOMONTH(AT$4,0)),Assumptions!$F$4:$F$44))/NETWORKDAYS($K413,$L413,Assumptions!$F$4:$F$44))</f>
        <v>0.363636363636364</v>
      </c>
      <c r="AU413" s="21" t="n">
        <f aca="false">IF($J413=0,0,MAX(0,NETWORKDAYS(MAX($K413,AU$4),MIN($L413,EOMONTH(AU$4,0)),Assumptions!$F$4:$F$44))/NETWORKDAYS($K413,$L413,Assumptions!$F$4:$F$44))</f>
        <v>0.477272727272727</v>
      </c>
      <c r="AV413" s="21" t="n">
        <f aca="false">IF($J413=0,0,MAX(0,NETWORKDAYS(MAX($K413,AV$4),MIN($L413,EOMONTH(AV$4,0)),Assumptions!$F$4:$F$44))/NETWORKDAYS($K413,$L413,Assumptions!$F$4:$F$44))</f>
        <v>0.159090909090909</v>
      </c>
      <c r="AW413" s="21" t="n">
        <f aca="false">IF($J413=0,0,MAX(0,NETWORKDAYS(MAX($K413,AW$4),MIN($L413,EOMONTH(AW$4,0)),Assumptions!$F$4:$F$44))/NETWORKDAYS($K413,$L413,Assumptions!$F$4:$F$44))</f>
        <v>0</v>
      </c>
      <c r="AX413" s="21" t="n">
        <f aca="false">IF($J413=0,0,MAX(0,NETWORKDAYS(MAX($K413,AX$4),MIN($L413,EOMONTH(AX$4,0)),Assumptions!$F$4:$F$44))/NETWORKDAYS($K413,$L413,Assumptions!$F$4:$F$44))</f>
        <v>0</v>
      </c>
      <c r="AY413" s="21" t="n">
        <f aca="false">IF($J413=0,0,MAX(0,NETWORKDAYS(MAX($K413,AY$4),MIN($L413,EOMONTH(AY$4,0)),Assumptions!$F$4:$F$44))/NETWORKDAYS($K413,$L413,Assumptions!$F$4:$F$44))</f>
        <v>0</v>
      </c>
      <c r="AZ413" s="21" t="n">
        <f aca="false">IF($J413=0,0,MAX(0,NETWORKDAYS(MAX($K413,AZ$4),MIN($L413,EOMONTH(AZ$4,0)),Assumptions!$F$4:$F$44))/NETWORKDAYS($K413,$L413,Assumptions!$F$4:$F$44))</f>
        <v>0</v>
      </c>
      <c r="BA413" s="21" t="n">
        <f aca="false">IF($J413=0,0,MAX(0,NETWORKDAYS(MAX($K413,BA$4),MIN($L413,EOMONTH(BA$4,0)),Assumptions!$F$4:$F$44))/NETWORKDAYS($K413,$L413,Assumptions!$F$4:$F$44))</f>
        <v>0</v>
      </c>
      <c r="BB413" s="21" t="n">
        <f aca="false">IF($J413=0,0,MAX(0,NETWORKDAYS(MAX($K413,BB$4),MIN($L413,EOMONTH(BB$4,0)),Assumptions!$F$4:$F$44))/NETWORKDAYS($K413,$L413,Assumptions!$F$4:$F$44))</f>
        <v>0</v>
      </c>
      <c r="BC413" s="21" t="n">
        <f aca="false">IF($J413=0,0,MAX(0,NETWORKDAYS(MAX($K413,BC$4),MIN($L413,EOMONTH(BC$4,0)),Assumptions!$F$4:$F$44))/NETWORKDAYS($K413,$L413,Assumptions!$F$4:$F$44))</f>
        <v>0</v>
      </c>
    </row>
    <row r="414" customFormat="false" ht="15" hidden="false" customHeight="false" outlineLevel="2" collapsed="false">
      <c r="A414" s="27" t="n">
        <v>410</v>
      </c>
      <c r="B414" s="27" t="s">
        <v>874</v>
      </c>
      <c r="C414" s="27" t="n">
        <v>3</v>
      </c>
      <c r="D414" s="27" t="s">
        <v>92</v>
      </c>
      <c r="E414" s="28" t="s">
        <v>330</v>
      </c>
      <c r="F414" s="27" t="s">
        <v>846</v>
      </c>
      <c r="G414" s="27" t="s">
        <v>857</v>
      </c>
      <c r="H414" s="27" t="s">
        <v>47</v>
      </c>
      <c r="I414" s="29" t="n">
        <v>330</v>
      </c>
      <c r="J414" s="29" t="n">
        <v>26</v>
      </c>
      <c r="K414" s="30" t="n">
        <f aca="false">WORKDAY(Assumptions!$C$4,I414,Assumptions!$F$4:$F$44)</f>
        <v>46790</v>
      </c>
      <c r="L414" s="30" t="n">
        <f aca="false">IF(J414=0,K414,WORKDAY(K414,J414-1,Assumptions!$F$4:$F$44))</f>
        <v>46825</v>
      </c>
      <c r="M414" s="29" t="s">
        <v>872</v>
      </c>
      <c r="N414" s="31" t="n">
        <v>0</v>
      </c>
      <c r="O414" s="31" t="n">
        <v>2</v>
      </c>
      <c r="P414" s="31" t="n">
        <v>0</v>
      </c>
      <c r="Q414" s="31" t="n">
        <v>4</v>
      </c>
      <c r="R414" s="31" t="n">
        <v>4</v>
      </c>
      <c r="S414" s="31" t="n">
        <v>0</v>
      </c>
      <c r="T414" s="31" t="n">
        <v>0</v>
      </c>
      <c r="U414" s="31" t="n">
        <v>0</v>
      </c>
      <c r="V414" s="31" t="n">
        <v>0</v>
      </c>
      <c r="W414" s="31" t="n">
        <v>0</v>
      </c>
      <c r="X414" s="31" t="n">
        <v>0</v>
      </c>
      <c r="Y414" s="32" t="n">
        <f aca="false">SUM(N414:X414)</f>
        <v>10</v>
      </c>
      <c r="Z414" s="32" t="n">
        <f aca="false">Y414*(1+Assumptions!$C$5)</f>
        <v>11.5</v>
      </c>
      <c r="AA414" s="27" t="s">
        <v>331</v>
      </c>
      <c r="AB414" s="27" t="s">
        <v>95</v>
      </c>
      <c r="AC414" s="27"/>
      <c r="AD414" s="33" t="n">
        <v>0</v>
      </c>
      <c r="AF414" s="21" t="n">
        <f aca="false">IF($J414=0,0,MAX(0,NETWORKDAYS(MAX($K414,AF$4),MIN($L414,EOMONTH(AF$4,0)),Assumptions!$F$4:$F$44))/NETWORKDAYS($K414,$L414,Assumptions!$F$4:$F$44))</f>
        <v>0</v>
      </c>
      <c r="AG414" s="21" t="n">
        <f aca="false">IF($J414=0,0,MAX(0,NETWORKDAYS(MAX($K414,AG$4),MIN($L414,EOMONTH(AG$4,0)),Assumptions!$F$4:$F$44))/NETWORKDAYS($K414,$L414,Assumptions!$F$4:$F$44))</f>
        <v>0</v>
      </c>
      <c r="AH414" s="21" t="n">
        <f aca="false">IF($J414=0,0,MAX(0,NETWORKDAYS(MAX($K414,AH$4),MIN($L414,EOMONTH(AH$4,0)),Assumptions!$F$4:$F$44))/NETWORKDAYS($K414,$L414,Assumptions!$F$4:$F$44))</f>
        <v>0</v>
      </c>
      <c r="AI414" s="21" t="n">
        <f aca="false">IF($J414=0,0,MAX(0,NETWORKDAYS(MAX($K414,AI$4),MIN($L414,EOMONTH(AI$4,0)),Assumptions!$F$4:$F$44))/NETWORKDAYS($K414,$L414,Assumptions!$F$4:$F$44))</f>
        <v>0</v>
      </c>
      <c r="AJ414" s="21" t="n">
        <f aca="false">IF($J414=0,0,MAX(0,NETWORKDAYS(MAX($K414,AJ$4),MIN($L414,EOMONTH(AJ$4,0)),Assumptions!$F$4:$F$44))/NETWORKDAYS($K414,$L414,Assumptions!$F$4:$F$44))</f>
        <v>0</v>
      </c>
      <c r="AK414" s="21" t="n">
        <f aca="false">IF($J414=0,0,MAX(0,NETWORKDAYS(MAX($K414,AK$4),MIN($L414,EOMONTH(AK$4,0)),Assumptions!$F$4:$F$44))/NETWORKDAYS($K414,$L414,Assumptions!$F$4:$F$44))</f>
        <v>0</v>
      </c>
      <c r="AL414" s="21" t="n">
        <f aca="false">IF($J414=0,0,MAX(0,NETWORKDAYS(MAX($K414,AL$4),MIN($L414,EOMONTH(AL$4,0)),Assumptions!$F$4:$F$44))/NETWORKDAYS($K414,$L414,Assumptions!$F$4:$F$44))</f>
        <v>0</v>
      </c>
      <c r="AM414" s="21" t="n">
        <f aca="false">IF($J414=0,0,MAX(0,NETWORKDAYS(MAX($K414,AM$4),MIN($L414,EOMONTH(AM$4,0)),Assumptions!$F$4:$F$44))/NETWORKDAYS($K414,$L414,Assumptions!$F$4:$F$44))</f>
        <v>0</v>
      </c>
      <c r="AN414" s="21" t="n">
        <f aca="false">IF($J414=0,0,MAX(0,NETWORKDAYS(MAX($K414,AN$4),MIN($L414,EOMONTH(AN$4,0)),Assumptions!$F$4:$F$44))/NETWORKDAYS($K414,$L414,Assumptions!$F$4:$F$44))</f>
        <v>0</v>
      </c>
      <c r="AO414" s="21" t="n">
        <f aca="false">IF($J414=0,0,MAX(0,NETWORKDAYS(MAX($K414,AO$4),MIN($L414,EOMONTH(AO$4,0)),Assumptions!$F$4:$F$44))/NETWORKDAYS($K414,$L414,Assumptions!$F$4:$F$44))</f>
        <v>0</v>
      </c>
      <c r="AP414" s="21" t="n">
        <f aca="false">IF($J414=0,0,MAX(0,NETWORKDAYS(MAX($K414,AP$4),MIN($L414,EOMONTH(AP$4,0)),Assumptions!$F$4:$F$44))/NETWORKDAYS($K414,$L414,Assumptions!$F$4:$F$44))</f>
        <v>0</v>
      </c>
      <c r="AQ414" s="21" t="n">
        <f aca="false">IF($J414=0,0,MAX(0,NETWORKDAYS(MAX($K414,AQ$4),MIN($L414,EOMONTH(AQ$4,0)),Assumptions!$F$4:$F$44))/NETWORKDAYS($K414,$L414,Assumptions!$F$4:$F$44))</f>
        <v>0</v>
      </c>
      <c r="AR414" s="21" t="n">
        <f aca="false">IF($J414=0,0,MAX(0,NETWORKDAYS(MAX($K414,AR$4),MIN($L414,EOMONTH(AR$4,0)),Assumptions!$F$4:$F$44))/NETWORKDAYS($K414,$L414,Assumptions!$F$4:$F$44))</f>
        <v>0</v>
      </c>
      <c r="AS414" s="21" t="n">
        <f aca="false">IF($J414=0,0,MAX(0,NETWORKDAYS(MAX($K414,AS$4),MIN($L414,EOMONTH(AS$4,0)),Assumptions!$F$4:$F$44))/NETWORKDAYS($K414,$L414,Assumptions!$F$4:$F$44))</f>
        <v>0</v>
      </c>
      <c r="AT414" s="21" t="n">
        <f aca="false">IF($J414=0,0,MAX(0,NETWORKDAYS(MAX($K414,AT$4),MIN($L414,EOMONTH(AT$4,0)),Assumptions!$F$4:$F$44))/NETWORKDAYS($K414,$L414,Assumptions!$F$4:$F$44))</f>
        <v>0</v>
      </c>
      <c r="AU414" s="21" t="n">
        <f aca="false">IF($J414=0,0,MAX(0,NETWORKDAYS(MAX($K414,AU$4),MIN($L414,EOMONTH(AU$4,0)),Assumptions!$F$4:$F$44))/NETWORKDAYS($K414,$L414,Assumptions!$F$4:$F$44))</f>
        <v>0.653846153846154</v>
      </c>
      <c r="AV414" s="21" t="n">
        <f aca="false">IF($J414=0,0,MAX(0,NETWORKDAYS(MAX($K414,AV$4),MIN($L414,EOMONTH(AV$4,0)),Assumptions!$F$4:$F$44))/NETWORKDAYS($K414,$L414,Assumptions!$F$4:$F$44))</f>
        <v>0.346153846153846</v>
      </c>
      <c r="AW414" s="21" t="n">
        <f aca="false">IF($J414=0,0,MAX(0,NETWORKDAYS(MAX($K414,AW$4),MIN($L414,EOMONTH(AW$4,0)),Assumptions!$F$4:$F$44))/NETWORKDAYS($K414,$L414,Assumptions!$F$4:$F$44))</f>
        <v>0</v>
      </c>
      <c r="AX414" s="21" t="n">
        <f aca="false">IF($J414=0,0,MAX(0,NETWORKDAYS(MAX($K414,AX$4),MIN($L414,EOMONTH(AX$4,0)),Assumptions!$F$4:$F$44))/NETWORKDAYS($K414,$L414,Assumptions!$F$4:$F$44))</f>
        <v>0</v>
      </c>
      <c r="AY414" s="21" t="n">
        <f aca="false">IF($J414=0,0,MAX(0,NETWORKDAYS(MAX($K414,AY$4),MIN($L414,EOMONTH(AY$4,0)),Assumptions!$F$4:$F$44))/NETWORKDAYS($K414,$L414,Assumptions!$F$4:$F$44))</f>
        <v>0</v>
      </c>
      <c r="AZ414" s="21" t="n">
        <f aca="false">IF($J414=0,0,MAX(0,NETWORKDAYS(MAX($K414,AZ$4),MIN($L414,EOMONTH(AZ$4,0)),Assumptions!$F$4:$F$44))/NETWORKDAYS($K414,$L414,Assumptions!$F$4:$F$44))</f>
        <v>0</v>
      </c>
      <c r="BA414" s="21" t="n">
        <f aca="false">IF($J414=0,0,MAX(0,NETWORKDAYS(MAX($K414,BA$4),MIN($L414,EOMONTH(BA$4,0)),Assumptions!$F$4:$F$44))/NETWORKDAYS($K414,$L414,Assumptions!$F$4:$F$44))</f>
        <v>0</v>
      </c>
      <c r="BB414" s="21" t="n">
        <f aca="false">IF($J414=0,0,MAX(0,NETWORKDAYS(MAX($K414,BB$4),MIN($L414,EOMONTH(BB$4,0)),Assumptions!$F$4:$F$44))/NETWORKDAYS($K414,$L414,Assumptions!$F$4:$F$44))</f>
        <v>0</v>
      </c>
      <c r="BC414" s="21" t="n">
        <f aca="false">IF($J414=0,0,MAX(0,NETWORKDAYS(MAX($K414,BC$4),MIN($L414,EOMONTH(BC$4,0)),Assumptions!$F$4:$F$44))/NETWORKDAYS($K414,$L414,Assumptions!$F$4:$F$44))</f>
        <v>0</v>
      </c>
    </row>
    <row r="415" customFormat="false" ht="15" hidden="false" customHeight="false" outlineLevel="2" collapsed="false">
      <c r="A415" s="27" t="n">
        <v>411</v>
      </c>
      <c r="B415" s="27" t="s">
        <v>875</v>
      </c>
      <c r="C415" s="27" t="n">
        <v>3</v>
      </c>
      <c r="D415" s="27" t="s">
        <v>92</v>
      </c>
      <c r="E415" s="28" t="s">
        <v>876</v>
      </c>
      <c r="F415" s="27" t="s">
        <v>846</v>
      </c>
      <c r="G415" s="27" t="s">
        <v>857</v>
      </c>
      <c r="H415" s="27" t="s">
        <v>59</v>
      </c>
      <c r="I415" s="29" t="n">
        <v>304</v>
      </c>
      <c r="J415" s="29" t="n">
        <v>59</v>
      </c>
      <c r="K415" s="30" t="n">
        <f aca="false">WORKDAY(Assumptions!$C$4,I415,Assumptions!$F$4:$F$44)</f>
        <v>46752</v>
      </c>
      <c r="L415" s="30" t="n">
        <f aca="false">IF(J415=0,K415,WORKDAY(K415,J415-1,Assumptions!$F$4:$F$44))</f>
        <v>46834</v>
      </c>
      <c r="M415" s="29" t="s">
        <v>865</v>
      </c>
      <c r="N415" s="31" t="n">
        <v>0</v>
      </c>
      <c r="O415" s="31" t="n">
        <v>2</v>
      </c>
      <c r="P415" s="31" t="n">
        <v>0</v>
      </c>
      <c r="Q415" s="31" t="n">
        <v>0</v>
      </c>
      <c r="R415" s="31" t="n">
        <v>0</v>
      </c>
      <c r="S415" s="31" t="n">
        <v>0</v>
      </c>
      <c r="T415" s="31" t="n">
        <v>0</v>
      </c>
      <c r="U415" s="31" t="n">
        <v>0</v>
      </c>
      <c r="V415" s="31" t="n">
        <v>0</v>
      </c>
      <c r="W415" s="31" t="n">
        <v>11</v>
      </c>
      <c r="X415" s="31" t="n">
        <v>0</v>
      </c>
      <c r="Y415" s="32" t="n">
        <f aca="false">SUM(N415:X415)</f>
        <v>13</v>
      </c>
      <c r="Z415" s="32" t="n">
        <f aca="false">Y415*(1+Assumptions!$C$5)</f>
        <v>14.95</v>
      </c>
      <c r="AA415" s="27" t="s">
        <v>334</v>
      </c>
      <c r="AB415" s="27" t="s">
        <v>95</v>
      </c>
      <c r="AC415" s="27"/>
      <c r="AD415" s="33" t="n">
        <v>0</v>
      </c>
      <c r="AF415" s="21" t="n">
        <f aca="false">IF($J415=0,0,MAX(0,NETWORKDAYS(MAX($K415,AF$4),MIN($L415,EOMONTH(AF$4,0)),Assumptions!$F$4:$F$44))/NETWORKDAYS($K415,$L415,Assumptions!$F$4:$F$44))</f>
        <v>0</v>
      </c>
      <c r="AG415" s="21" t="n">
        <f aca="false">IF($J415=0,0,MAX(0,NETWORKDAYS(MAX($K415,AG$4),MIN($L415,EOMONTH(AG$4,0)),Assumptions!$F$4:$F$44))/NETWORKDAYS($K415,$L415,Assumptions!$F$4:$F$44))</f>
        <v>0</v>
      </c>
      <c r="AH415" s="21" t="n">
        <f aca="false">IF($J415=0,0,MAX(0,NETWORKDAYS(MAX($K415,AH$4),MIN($L415,EOMONTH(AH$4,0)),Assumptions!$F$4:$F$44))/NETWORKDAYS($K415,$L415,Assumptions!$F$4:$F$44))</f>
        <v>0</v>
      </c>
      <c r="AI415" s="21" t="n">
        <f aca="false">IF($J415=0,0,MAX(0,NETWORKDAYS(MAX($K415,AI$4),MIN($L415,EOMONTH(AI$4,0)),Assumptions!$F$4:$F$44))/NETWORKDAYS($K415,$L415,Assumptions!$F$4:$F$44))</f>
        <v>0</v>
      </c>
      <c r="AJ415" s="21" t="n">
        <f aca="false">IF($J415=0,0,MAX(0,NETWORKDAYS(MAX($K415,AJ$4),MIN($L415,EOMONTH(AJ$4,0)),Assumptions!$F$4:$F$44))/NETWORKDAYS($K415,$L415,Assumptions!$F$4:$F$44))</f>
        <v>0</v>
      </c>
      <c r="AK415" s="21" t="n">
        <f aca="false">IF($J415=0,0,MAX(0,NETWORKDAYS(MAX($K415,AK$4),MIN($L415,EOMONTH(AK$4,0)),Assumptions!$F$4:$F$44))/NETWORKDAYS($K415,$L415,Assumptions!$F$4:$F$44))</f>
        <v>0</v>
      </c>
      <c r="AL415" s="21" t="n">
        <f aca="false">IF($J415=0,0,MAX(0,NETWORKDAYS(MAX($K415,AL$4),MIN($L415,EOMONTH(AL$4,0)),Assumptions!$F$4:$F$44))/NETWORKDAYS($K415,$L415,Assumptions!$F$4:$F$44))</f>
        <v>0</v>
      </c>
      <c r="AM415" s="21" t="n">
        <f aca="false">IF($J415=0,0,MAX(0,NETWORKDAYS(MAX($K415,AM$4),MIN($L415,EOMONTH(AM$4,0)),Assumptions!$F$4:$F$44))/NETWORKDAYS($K415,$L415,Assumptions!$F$4:$F$44))</f>
        <v>0</v>
      </c>
      <c r="AN415" s="21" t="n">
        <f aca="false">IF($J415=0,0,MAX(0,NETWORKDAYS(MAX($K415,AN$4),MIN($L415,EOMONTH(AN$4,0)),Assumptions!$F$4:$F$44))/NETWORKDAYS($K415,$L415,Assumptions!$F$4:$F$44))</f>
        <v>0</v>
      </c>
      <c r="AO415" s="21" t="n">
        <f aca="false">IF($J415=0,0,MAX(0,NETWORKDAYS(MAX($K415,AO$4),MIN($L415,EOMONTH(AO$4,0)),Assumptions!$F$4:$F$44))/NETWORKDAYS($K415,$L415,Assumptions!$F$4:$F$44))</f>
        <v>0</v>
      </c>
      <c r="AP415" s="21" t="n">
        <f aca="false">IF($J415=0,0,MAX(0,NETWORKDAYS(MAX($K415,AP$4),MIN($L415,EOMONTH(AP$4,0)),Assumptions!$F$4:$F$44))/NETWORKDAYS($K415,$L415,Assumptions!$F$4:$F$44))</f>
        <v>0</v>
      </c>
      <c r="AQ415" s="21" t="n">
        <f aca="false">IF($J415=0,0,MAX(0,NETWORKDAYS(MAX($K415,AQ$4),MIN($L415,EOMONTH(AQ$4,0)),Assumptions!$F$4:$F$44))/NETWORKDAYS($K415,$L415,Assumptions!$F$4:$F$44))</f>
        <v>0</v>
      </c>
      <c r="AR415" s="21" t="n">
        <f aca="false">IF($J415=0,0,MAX(0,NETWORKDAYS(MAX($K415,AR$4),MIN($L415,EOMONTH(AR$4,0)),Assumptions!$F$4:$F$44))/NETWORKDAYS($K415,$L415,Assumptions!$F$4:$F$44))</f>
        <v>0</v>
      </c>
      <c r="AS415" s="21" t="n">
        <f aca="false">IF($J415=0,0,MAX(0,NETWORKDAYS(MAX($K415,AS$4),MIN($L415,EOMONTH(AS$4,0)),Assumptions!$F$4:$F$44))/NETWORKDAYS($K415,$L415,Assumptions!$F$4:$F$44))</f>
        <v>0.0169491525423729</v>
      </c>
      <c r="AT415" s="21" t="n">
        <f aca="false">IF($J415=0,0,MAX(0,NETWORKDAYS(MAX($K415,AT$4),MIN($L415,EOMONTH(AT$4,0)),Assumptions!$F$4:$F$44))/NETWORKDAYS($K415,$L415,Assumptions!$F$4:$F$44))</f>
        <v>0.355932203389831</v>
      </c>
      <c r="AU415" s="21" t="n">
        <f aca="false">IF($J415=0,0,MAX(0,NETWORKDAYS(MAX($K415,AU$4),MIN($L415,EOMONTH(AU$4,0)),Assumptions!$F$4:$F$44))/NETWORKDAYS($K415,$L415,Assumptions!$F$4:$F$44))</f>
        <v>0.355932203389831</v>
      </c>
      <c r="AV415" s="21" t="n">
        <f aca="false">IF($J415=0,0,MAX(0,NETWORKDAYS(MAX($K415,AV$4),MIN($L415,EOMONTH(AV$4,0)),Assumptions!$F$4:$F$44))/NETWORKDAYS($K415,$L415,Assumptions!$F$4:$F$44))</f>
        <v>0.271186440677966</v>
      </c>
      <c r="AW415" s="21" t="n">
        <f aca="false">IF($J415=0,0,MAX(0,NETWORKDAYS(MAX($K415,AW$4),MIN($L415,EOMONTH(AW$4,0)),Assumptions!$F$4:$F$44))/NETWORKDAYS($K415,$L415,Assumptions!$F$4:$F$44))</f>
        <v>0</v>
      </c>
      <c r="AX415" s="21" t="n">
        <f aca="false">IF($J415=0,0,MAX(0,NETWORKDAYS(MAX($K415,AX$4),MIN($L415,EOMONTH(AX$4,0)),Assumptions!$F$4:$F$44))/NETWORKDAYS($K415,$L415,Assumptions!$F$4:$F$44))</f>
        <v>0</v>
      </c>
      <c r="AY415" s="21" t="n">
        <f aca="false">IF($J415=0,0,MAX(0,NETWORKDAYS(MAX($K415,AY$4),MIN($L415,EOMONTH(AY$4,0)),Assumptions!$F$4:$F$44))/NETWORKDAYS($K415,$L415,Assumptions!$F$4:$F$44))</f>
        <v>0</v>
      </c>
      <c r="AZ415" s="21" t="n">
        <f aca="false">IF($J415=0,0,MAX(0,NETWORKDAYS(MAX($K415,AZ$4),MIN($L415,EOMONTH(AZ$4,0)),Assumptions!$F$4:$F$44))/NETWORKDAYS($K415,$L415,Assumptions!$F$4:$F$44))</f>
        <v>0</v>
      </c>
      <c r="BA415" s="21" t="n">
        <f aca="false">IF($J415=0,0,MAX(0,NETWORKDAYS(MAX($K415,BA$4),MIN($L415,EOMONTH(BA$4,0)),Assumptions!$F$4:$F$44))/NETWORKDAYS($K415,$L415,Assumptions!$F$4:$F$44))</f>
        <v>0</v>
      </c>
      <c r="BB415" s="21" t="n">
        <f aca="false">IF($J415=0,0,MAX(0,NETWORKDAYS(MAX($K415,BB$4),MIN($L415,EOMONTH(BB$4,0)),Assumptions!$F$4:$F$44))/NETWORKDAYS($K415,$L415,Assumptions!$F$4:$F$44))</f>
        <v>0</v>
      </c>
      <c r="BC415" s="21" t="n">
        <f aca="false">IF($J415=0,0,MAX(0,NETWORKDAYS(MAX($K415,BC$4),MIN($L415,EOMONTH(BC$4,0)),Assumptions!$F$4:$F$44))/NETWORKDAYS($K415,$L415,Assumptions!$F$4:$F$44))</f>
        <v>0</v>
      </c>
    </row>
    <row r="416" customFormat="false" ht="15" hidden="false" customHeight="false" outlineLevel="2" collapsed="false">
      <c r="A416" s="27" t="n">
        <v>412</v>
      </c>
      <c r="B416" s="27" t="s">
        <v>877</v>
      </c>
      <c r="C416" s="27" t="n">
        <v>3</v>
      </c>
      <c r="D416" s="27" t="s">
        <v>92</v>
      </c>
      <c r="E416" s="28" t="s">
        <v>336</v>
      </c>
      <c r="F416" s="27" t="s">
        <v>846</v>
      </c>
      <c r="G416" s="27" t="s">
        <v>857</v>
      </c>
      <c r="H416" s="27" t="s">
        <v>57</v>
      </c>
      <c r="I416" s="29" t="n">
        <v>346</v>
      </c>
      <c r="J416" s="29" t="n">
        <v>21</v>
      </c>
      <c r="K416" s="30" t="n">
        <f aca="false">WORKDAY(Assumptions!$C$4,I416,Assumptions!$F$4:$F$44)</f>
        <v>46812</v>
      </c>
      <c r="L416" s="30" t="n">
        <f aca="false">IF(J416=0,K416,WORKDAY(K416,J416-1,Assumptions!$F$4:$F$44))</f>
        <v>46840</v>
      </c>
      <c r="M416" s="29" t="s">
        <v>878</v>
      </c>
      <c r="N416" s="31" t="n">
        <v>0</v>
      </c>
      <c r="O416" s="31" t="n">
        <v>0</v>
      </c>
      <c r="P416" s="31" t="n">
        <v>0</v>
      </c>
      <c r="Q416" s="31" t="n">
        <v>0</v>
      </c>
      <c r="R416" s="31" t="n">
        <v>0</v>
      </c>
      <c r="S416" s="31" t="n">
        <v>0</v>
      </c>
      <c r="T416" s="31" t="n">
        <v>0</v>
      </c>
      <c r="U416" s="31" t="n">
        <v>0</v>
      </c>
      <c r="V416" s="31" t="n">
        <v>19</v>
      </c>
      <c r="W416" s="31" t="n">
        <v>0</v>
      </c>
      <c r="X416" s="31" t="n">
        <v>0</v>
      </c>
      <c r="Y416" s="32" t="n">
        <f aca="false">SUM(N416:X416)</f>
        <v>19</v>
      </c>
      <c r="Z416" s="32" t="n">
        <f aca="false">Y416*(1+Assumptions!$C$5)</f>
        <v>21.85</v>
      </c>
      <c r="AA416" s="27" t="s">
        <v>338</v>
      </c>
      <c r="AB416" s="27" t="s">
        <v>95</v>
      </c>
      <c r="AC416" s="27"/>
      <c r="AD416" s="33" t="n">
        <v>0</v>
      </c>
      <c r="AF416" s="21" t="n">
        <f aca="false">IF($J416=0,0,MAX(0,NETWORKDAYS(MAX($K416,AF$4),MIN($L416,EOMONTH(AF$4,0)),Assumptions!$F$4:$F$44))/NETWORKDAYS($K416,$L416,Assumptions!$F$4:$F$44))</f>
        <v>0</v>
      </c>
      <c r="AG416" s="21" t="n">
        <f aca="false">IF($J416=0,0,MAX(0,NETWORKDAYS(MAX($K416,AG$4),MIN($L416,EOMONTH(AG$4,0)),Assumptions!$F$4:$F$44))/NETWORKDAYS($K416,$L416,Assumptions!$F$4:$F$44))</f>
        <v>0</v>
      </c>
      <c r="AH416" s="21" t="n">
        <f aca="false">IF($J416=0,0,MAX(0,NETWORKDAYS(MAX($K416,AH$4),MIN($L416,EOMONTH(AH$4,0)),Assumptions!$F$4:$F$44))/NETWORKDAYS($K416,$L416,Assumptions!$F$4:$F$44))</f>
        <v>0</v>
      </c>
      <c r="AI416" s="21" t="n">
        <f aca="false">IF($J416=0,0,MAX(0,NETWORKDAYS(MAX($K416,AI$4),MIN($L416,EOMONTH(AI$4,0)),Assumptions!$F$4:$F$44))/NETWORKDAYS($K416,$L416,Assumptions!$F$4:$F$44))</f>
        <v>0</v>
      </c>
      <c r="AJ416" s="21" t="n">
        <f aca="false">IF($J416=0,0,MAX(0,NETWORKDAYS(MAX($K416,AJ$4),MIN($L416,EOMONTH(AJ$4,0)),Assumptions!$F$4:$F$44))/NETWORKDAYS($K416,$L416,Assumptions!$F$4:$F$44))</f>
        <v>0</v>
      </c>
      <c r="AK416" s="21" t="n">
        <f aca="false">IF($J416=0,0,MAX(0,NETWORKDAYS(MAX($K416,AK$4),MIN($L416,EOMONTH(AK$4,0)),Assumptions!$F$4:$F$44))/NETWORKDAYS($K416,$L416,Assumptions!$F$4:$F$44))</f>
        <v>0</v>
      </c>
      <c r="AL416" s="21" t="n">
        <f aca="false">IF($J416=0,0,MAX(0,NETWORKDAYS(MAX($K416,AL$4),MIN($L416,EOMONTH(AL$4,0)),Assumptions!$F$4:$F$44))/NETWORKDAYS($K416,$L416,Assumptions!$F$4:$F$44))</f>
        <v>0</v>
      </c>
      <c r="AM416" s="21" t="n">
        <f aca="false">IF($J416=0,0,MAX(0,NETWORKDAYS(MAX($K416,AM$4),MIN($L416,EOMONTH(AM$4,0)),Assumptions!$F$4:$F$44))/NETWORKDAYS($K416,$L416,Assumptions!$F$4:$F$44))</f>
        <v>0</v>
      </c>
      <c r="AN416" s="21" t="n">
        <f aca="false">IF($J416=0,0,MAX(0,NETWORKDAYS(MAX($K416,AN$4),MIN($L416,EOMONTH(AN$4,0)),Assumptions!$F$4:$F$44))/NETWORKDAYS($K416,$L416,Assumptions!$F$4:$F$44))</f>
        <v>0</v>
      </c>
      <c r="AO416" s="21" t="n">
        <f aca="false">IF($J416=0,0,MAX(0,NETWORKDAYS(MAX($K416,AO$4),MIN($L416,EOMONTH(AO$4,0)),Assumptions!$F$4:$F$44))/NETWORKDAYS($K416,$L416,Assumptions!$F$4:$F$44))</f>
        <v>0</v>
      </c>
      <c r="AP416" s="21" t="n">
        <f aca="false">IF($J416=0,0,MAX(0,NETWORKDAYS(MAX($K416,AP$4),MIN($L416,EOMONTH(AP$4,0)),Assumptions!$F$4:$F$44))/NETWORKDAYS($K416,$L416,Assumptions!$F$4:$F$44))</f>
        <v>0</v>
      </c>
      <c r="AQ416" s="21" t="n">
        <f aca="false">IF($J416=0,0,MAX(0,NETWORKDAYS(MAX($K416,AQ$4),MIN($L416,EOMONTH(AQ$4,0)),Assumptions!$F$4:$F$44))/NETWORKDAYS($K416,$L416,Assumptions!$F$4:$F$44))</f>
        <v>0</v>
      </c>
      <c r="AR416" s="21" t="n">
        <f aca="false">IF($J416=0,0,MAX(0,NETWORKDAYS(MAX($K416,AR$4),MIN($L416,EOMONTH(AR$4,0)),Assumptions!$F$4:$F$44))/NETWORKDAYS($K416,$L416,Assumptions!$F$4:$F$44))</f>
        <v>0</v>
      </c>
      <c r="AS416" s="21" t="n">
        <f aca="false">IF($J416=0,0,MAX(0,NETWORKDAYS(MAX($K416,AS$4),MIN($L416,EOMONTH(AS$4,0)),Assumptions!$F$4:$F$44))/NETWORKDAYS($K416,$L416,Assumptions!$F$4:$F$44))</f>
        <v>0</v>
      </c>
      <c r="AT416" s="21" t="n">
        <f aca="false">IF($J416=0,0,MAX(0,NETWORKDAYS(MAX($K416,AT$4),MIN($L416,EOMONTH(AT$4,0)),Assumptions!$F$4:$F$44))/NETWORKDAYS($K416,$L416,Assumptions!$F$4:$F$44))</f>
        <v>0</v>
      </c>
      <c r="AU416" s="21" t="n">
        <f aca="false">IF($J416=0,0,MAX(0,NETWORKDAYS(MAX($K416,AU$4),MIN($L416,EOMONTH(AU$4,0)),Assumptions!$F$4:$F$44))/NETWORKDAYS($K416,$L416,Assumptions!$F$4:$F$44))</f>
        <v>0.0476190476190476</v>
      </c>
      <c r="AV416" s="21" t="n">
        <f aca="false">IF($J416=0,0,MAX(0,NETWORKDAYS(MAX($K416,AV$4),MIN($L416,EOMONTH(AV$4,0)),Assumptions!$F$4:$F$44))/NETWORKDAYS($K416,$L416,Assumptions!$F$4:$F$44))</f>
        <v>0.952380952380952</v>
      </c>
      <c r="AW416" s="21" t="n">
        <f aca="false">IF($J416=0,0,MAX(0,NETWORKDAYS(MAX($K416,AW$4),MIN($L416,EOMONTH(AW$4,0)),Assumptions!$F$4:$F$44))/NETWORKDAYS($K416,$L416,Assumptions!$F$4:$F$44))</f>
        <v>0</v>
      </c>
      <c r="AX416" s="21" t="n">
        <f aca="false">IF($J416=0,0,MAX(0,NETWORKDAYS(MAX($K416,AX$4),MIN($L416,EOMONTH(AX$4,0)),Assumptions!$F$4:$F$44))/NETWORKDAYS($K416,$L416,Assumptions!$F$4:$F$44))</f>
        <v>0</v>
      </c>
      <c r="AY416" s="21" t="n">
        <f aca="false">IF($J416=0,0,MAX(0,NETWORKDAYS(MAX($K416,AY$4),MIN($L416,EOMONTH(AY$4,0)),Assumptions!$F$4:$F$44))/NETWORKDAYS($K416,$L416,Assumptions!$F$4:$F$44))</f>
        <v>0</v>
      </c>
      <c r="AZ416" s="21" t="n">
        <f aca="false">IF($J416=0,0,MAX(0,NETWORKDAYS(MAX($K416,AZ$4),MIN($L416,EOMONTH(AZ$4,0)),Assumptions!$F$4:$F$44))/NETWORKDAYS($K416,$L416,Assumptions!$F$4:$F$44))</f>
        <v>0</v>
      </c>
      <c r="BA416" s="21" t="n">
        <f aca="false">IF($J416=0,0,MAX(0,NETWORKDAYS(MAX($K416,BA$4),MIN($L416,EOMONTH(BA$4,0)),Assumptions!$F$4:$F$44))/NETWORKDAYS($K416,$L416,Assumptions!$F$4:$F$44))</f>
        <v>0</v>
      </c>
      <c r="BB416" s="21" t="n">
        <f aca="false">IF($J416=0,0,MAX(0,NETWORKDAYS(MAX($K416,BB$4),MIN($L416,EOMONTH(BB$4,0)),Assumptions!$F$4:$F$44))/NETWORKDAYS($K416,$L416,Assumptions!$F$4:$F$44))</f>
        <v>0</v>
      </c>
      <c r="BC416" s="21" t="n">
        <f aca="false">IF($J416=0,0,MAX(0,NETWORKDAYS(MAX($K416,BC$4),MIN($L416,EOMONTH(BC$4,0)),Assumptions!$F$4:$F$44))/NETWORKDAYS($K416,$L416,Assumptions!$F$4:$F$44))</f>
        <v>0</v>
      </c>
    </row>
    <row r="417" customFormat="false" ht="15" hidden="false" customHeight="false" outlineLevel="2" collapsed="false">
      <c r="A417" s="27" t="n">
        <v>413</v>
      </c>
      <c r="B417" s="27" t="s">
        <v>879</v>
      </c>
      <c r="C417" s="27" t="n">
        <v>3</v>
      </c>
      <c r="D417" s="27" t="s">
        <v>92</v>
      </c>
      <c r="E417" s="28" t="s">
        <v>340</v>
      </c>
      <c r="F417" s="27" t="s">
        <v>846</v>
      </c>
      <c r="G417" s="27" t="s">
        <v>857</v>
      </c>
      <c r="H417" s="27" t="s">
        <v>47</v>
      </c>
      <c r="I417" s="29" t="n">
        <v>350</v>
      </c>
      <c r="J417" s="29" t="n">
        <v>26</v>
      </c>
      <c r="K417" s="30" t="n">
        <f aca="false">WORKDAY(Assumptions!$C$4,I417,Assumptions!$F$4:$F$44)</f>
        <v>46818</v>
      </c>
      <c r="L417" s="30" t="n">
        <f aca="false">IF(J417=0,K417,WORKDAY(K417,J417-1,Assumptions!$F$4:$F$44))</f>
        <v>46853</v>
      </c>
      <c r="M417" s="29" t="s">
        <v>880</v>
      </c>
      <c r="N417" s="31" t="n">
        <v>0</v>
      </c>
      <c r="O417" s="31" t="n">
        <v>0</v>
      </c>
      <c r="P417" s="31" t="n">
        <v>0</v>
      </c>
      <c r="Q417" s="31" t="n">
        <v>8</v>
      </c>
      <c r="R417" s="31" t="n">
        <v>5</v>
      </c>
      <c r="S417" s="31" t="n">
        <v>0</v>
      </c>
      <c r="T417" s="31" t="n">
        <v>0</v>
      </c>
      <c r="U417" s="31" t="n">
        <v>0</v>
      </c>
      <c r="V417" s="31" t="n">
        <v>4</v>
      </c>
      <c r="W417" s="31" t="n">
        <v>0</v>
      </c>
      <c r="X417" s="31" t="n">
        <v>0</v>
      </c>
      <c r="Y417" s="32" t="n">
        <f aca="false">SUM(N417:X417)</f>
        <v>17</v>
      </c>
      <c r="Z417" s="32" t="n">
        <f aca="false">Y417*(1+Assumptions!$C$5)</f>
        <v>19.55</v>
      </c>
      <c r="AA417" s="27" t="s">
        <v>342</v>
      </c>
      <c r="AB417" s="27" t="s">
        <v>95</v>
      </c>
      <c r="AC417" s="27"/>
      <c r="AD417" s="33" t="n">
        <v>0</v>
      </c>
      <c r="AF417" s="21" t="n">
        <f aca="false">IF($J417=0,0,MAX(0,NETWORKDAYS(MAX($K417,AF$4),MIN($L417,EOMONTH(AF$4,0)),Assumptions!$F$4:$F$44))/NETWORKDAYS($K417,$L417,Assumptions!$F$4:$F$44))</f>
        <v>0</v>
      </c>
      <c r="AG417" s="21" t="n">
        <f aca="false">IF($J417=0,0,MAX(0,NETWORKDAYS(MAX($K417,AG$4),MIN($L417,EOMONTH(AG$4,0)),Assumptions!$F$4:$F$44))/NETWORKDAYS($K417,$L417,Assumptions!$F$4:$F$44))</f>
        <v>0</v>
      </c>
      <c r="AH417" s="21" t="n">
        <f aca="false">IF($J417=0,0,MAX(0,NETWORKDAYS(MAX($K417,AH$4),MIN($L417,EOMONTH(AH$4,0)),Assumptions!$F$4:$F$44))/NETWORKDAYS($K417,$L417,Assumptions!$F$4:$F$44))</f>
        <v>0</v>
      </c>
      <c r="AI417" s="21" t="n">
        <f aca="false">IF($J417=0,0,MAX(0,NETWORKDAYS(MAX($K417,AI$4),MIN($L417,EOMONTH(AI$4,0)),Assumptions!$F$4:$F$44))/NETWORKDAYS($K417,$L417,Assumptions!$F$4:$F$44))</f>
        <v>0</v>
      </c>
      <c r="AJ417" s="21" t="n">
        <f aca="false">IF($J417=0,0,MAX(0,NETWORKDAYS(MAX($K417,AJ$4),MIN($L417,EOMONTH(AJ$4,0)),Assumptions!$F$4:$F$44))/NETWORKDAYS($K417,$L417,Assumptions!$F$4:$F$44))</f>
        <v>0</v>
      </c>
      <c r="AK417" s="21" t="n">
        <f aca="false">IF($J417=0,0,MAX(0,NETWORKDAYS(MAX($K417,AK$4),MIN($L417,EOMONTH(AK$4,0)),Assumptions!$F$4:$F$44))/NETWORKDAYS($K417,$L417,Assumptions!$F$4:$F$44))</f>
        <v>0</v>
      </c>
      <c r="AL417" s="21" t="n">
        <f aca="false">IF($J417=0,0,MAX(0,NETWORKDAYS(MAX($K417,AL$4),MIN($L417,EOMONTH(AL$4,0)),Assumptions!$F$4:$F$44))/NETWORKDAYS($K417,$L417,Assumptions!$F$4:$F$44))</f>
        <v>0</v>
      </c>
      <c r="AM417" s="21" t="n">
        <f aca="false">IF($J417=0,0,MAX(0,NETWORKDAYS(MAX($K417,AM$4),MIN($L417,EOMONTH(AM$4,0)),Assumptions!$F$4:$F$44))/NETWORKDAYS($K417,$L417,Assumptions!$F$4:$F$44))</f>
        <v>0</v>
      </c>
      <c r="AN417" s="21" t="n">
        <f aca="false">IF($J417=0,0,MAX(0,NETWORKDAYS(MAX($K417,AN$4),MIN($L417,EOMONTH(AN$4,0)),Assumptions!$F$4:$F$44))/NETWORKDAYS($K417,$L417,Assumptions!$F$4:$F$44))</f>
        <v>0</v>
      </c>
      <c r="AO417" s="21" t="n">
        <f aca="false">IF($J417=0,0,MAX(0,NETWORKDAYS(MAX($K417,AO$4),MIN($L417,EOMONTH(AO$4,0)),Assumptions!$F$4:$F$44))/NETWORKDAYS($K417,$L417,Assumptions!$F$4:$F$44))</f>
        <v>0</v>
      </c>
      <c r="AP417" s="21" t="n">
        <f aca="false">IF($J417=0,0,MAX(0,NETWORKDAYS(MAX($K417,AP$4),MIN($L417,EOMONTH(AP$4,0)),Assumptions!$F$4:$F$44))/NETWORKDAYS($K417,$L417,Assumptions!$F$4:$F$44))</f>
        <v>0</v>
      </c>
      <c r="AQ417" s="21" t="n">
        <f aca="false">IF($J417=0,0,MAX(0,NETWORKDAYS(MAX($K417,AQ$4),MIN($L417,EOMONTH(AQ$4,0)),Assumptions!$F$4:$F$44))/NETWORKDAYS($K417,$L417,Assumptions!$F$4:$F$44))</f>
        <v>0</v>
      </c>
      <c r="AR417" s="21" t="n">
        <f aca="false">IF($J417=0,0,MAX(0,NETWORKDAYS(MAX($K417,AR$4),MIN($L417,EOMONTH(AR$4,0)),Assumptions!$F$4:$F$44))/NETWORKDAYS($K417,$L417,Assumptions!$F$4:$F$44))</f>
        <v>0</v>
      </c>
      <c r="AS417" s="21" t="n">
        <f aca="false">IF($J417=0,0,MAX(0,NETWORKDAYS(MAX($K417,AS$4),MIN($L417,EOMONTH(AS$4,0)),Assumptions!$F$4:$F$44))/NETWORKDAYS($K417,$L417,Assumptions!$F$4:$F$44))</f>
        <v>0</v>
      </c>
      <c r="AT417" s="21" t="n">
        <f aca="false">IF($J417=0,0,MAX(0,NETWORKDAYS(MAX($K417,AT$4),MIN($L417,EOMONTH(AT$4,0)),Assumptions!$F$4:$F$44))/NETWORKDAYS($K417,$L417,Assumptions!$F$4:$F$44))</f>
        <v>0</v>
      </c>
      <c r="AU417" s="21" t="n">
        <f aca="false">IF($J417=0,0,MAX(0,NETWORKDAYS(MAX($K417,AU$4),MIN($L417,EOMONTH(AU$4,0)),Assumptions!$F$4:$F$44))/NETWORKDAYS($K417,$L417,Assumptions!$F$4:$F$44))</f>
        <v>0</v>
      </c>
      <c r="AV417" s="21" t="n">
        <f aca="false">IF($J417=0,0,MAX(0,NETWORKDAYS(MAX($K417,AV$4),MIN($L417,EOMONTH(AV$4,0)),Assumptions!$F$4:$F$44))/NETWORKDAYS($K417,$L417,Assumptions!$F$4:$F$44))</f>
        <v>0.769230769230769</v>
      </c>
      <c r="AW417" s="21" t="n">
        <f aca="false">IF($J417=0,0,MAX(0,NETWORKDAYS(MAX($K417,AW$4),MIN($L417,EOMONTH(AW$4,0)),Assumptions!$F$4:$F$44))/NETWORKDAYS($K417,$L417,Assumptions!$F$4:$F$44))</f>
        <v>0.230769230769231</v>
      </c>
      <c r="AX417" s="21" t="n">
        <f aca="false">IF($J417=0,0,MAX(0,NETWORKDAYS(MAX($K417,AX$4),MIN($L417,EOMONTH(AX$4,0)),Assumptions!$F$4:$F$44))/NETWORKDAYS($K417,$L417,Assumptions!$F$4:$F$44))</f>
        <v>0</v>
      </c>
      <c r="AY417" s="21" t="n">
        <f aca="false">IF($J417=0,0,MAX(0,NETWORKDAYS(MAX($K417,AY$4),MIN($L417,EOMONTH(AY$4,0)),Assumptions!$F$4:$F$44))/NETWORKDAYS($K417,$L417,Assumptions!$F$4:$F$44))</f>
        <v>0</v>
      </c>
      <c r="AZ417" s="21" t="n">
        <f aca="false">IF($J417=0,0,MAX(0,NETWORKDAYS(MAX($K417,AZ$4),MIN($L417,EOMONTH(AZ$4,0)),Assumptions!$F$4:$F$44))/NETWORKDAYS($K417,$L417,Assumptions!$F$4:$F$44))</f>
        <v>0</v>
      </c>
      <c r="BA417" s="21" t="n">
        <f aca="false">IF($J417=0,0,MAX(0,NETWORKDAYS(MAX($K417,BA$4),MIN($L417,EOMONTH(BA$4,0)),Assumptions!$F$4:$F$44))/NETWORKDAYS($K417,$L417,Assumptions!$F$4:$F$44))</f>
        <v>0</v>
      </c>
      <c r="BB417" s="21" t="n">
        <f aca="false">IF($J417=0,0,MAX(0,NETWORKDAYS(MAX($K417,BB$4),MIN($L417,EOMONTH(BB$4,0)),Assumptions!$F$4:$F$44))/NETWORKDAYS($K417,$L417,Assumptions!$F$4:$F$44))</f>
        <v>0</v>
      </c>
      <c r="BC417" s="21" t="n">
        <f aca="false">IF($J417=0,0,MAX(0,NETWORKDAYS(MAX($K417,BC$4),MIN($L417,EOMONTH(BC$4,0)),Assumptions!$F$4:$F$44))/NETWORKDAYS($K417,$L417,Assumptions!$F$4:$F$44))</f>
        <v>0</v>
      </c>
    </row>
    <row r="418" customFormat="false" ht="15" hidden="false" customHeight="false" outlineLevel="2" collapsed="false">
      <c r="A418" s="27" t="n">
        <v>414</v>
      </c>
      <c r="B418" s="27" t="s">
        <v>881</v>
      </c>
      <c r="C418" s="27" t="n">
        <v>3</v>
      </c>
      <c r="D418" s="27" t="s">
        <v>92</v>
      </c>
      <c r="E418" s="28" t="s">
        <v>344</v>
      </c>
      <c r="F418" s="27" t="s">
        <v>846</v>
      </c>
      <c r="G418" s="27" t="s">
        <v>857</v>
      </c>
      <c r="H418" s="27" t="s">
        <v>43</v>
      </c>
      <c r="I418" s="29" t="n">
        <v>367</v>
      </c>
      <c r="J418" s="29" t="n">
        <v>13</v>
      </c>
      <c r="K418" s="30" t="n">
        <f aca="false">WORKDAY(Assumptions!$C$4,I418,Assumptions!$F$4:$F$44)</f>
        <v>46841</v>
      </c>
      <c r="L418" s="30" t="n">
        <f aca="false">IF(J418=0,K418,WORKDAY(K418,J418-1,Assumptions!$F$4:$F$44))</f>
        <v>46857</v>
      </c>
      <c r="M418" s="29" t="s">
        <v>880</v>
      </c>
      <c r="N418" s="31" t="n">
        <v>0</v>
      </c>
      <c r="O418" s="31" t="n">
        <v>5</v>
      </c>
      <c r="P418" s="31" t="n">
        <v>0</v>
      </c>
      <c r="Q418" s="31" t="n">
        <v>0</v>
      </c>
      <c r="R418" s="31" t="n">
        <v>0</v>
      </c>
      <c r="S418" s="31" t="n">
        <v>0</v>
      </c>
      <c r="T418" s="31" t="n">
        <v>0</v>
      </c>
      <c r="U418" s="31" t="n">
        <v>0</v>
      </c>
      <c r="V418" s="31" t="n">
        <v>5</v>
      </c>
      <c r="W418" s="31" t="n">
        <v>0</v>
      </c>
      <c r="X418" s="31" t="n">
        <v>0</v>
      </c>
      <c r="Y418" s="32" t="n">
        <f aca="false">SUM(N418:X418)</f>
        <v>10</v>
      </c>
      <c r="Z418" s="32" t="n">
        <f aca="false">Y418*(1+Assumptions!$C$5)</f>
        <v>11.5</v>
      </c>
      <c r="AA418" s="27" t="s">
        <v>345</v>
      </c>
      <c r="AB418" s="27" t="s">
        <v>95</v>
      </c>
      <c r="AC418" s="27"/>
      <c r="AD418" s="33" t="n">
        <v>0</v>
      </c>
      <c r="AF418" s="21" t="n">
        <f aca="false">IF($J418=0,0,MAX(0,NETWORKDAYS(MAX($K418,AF$4),MIN($L418,EOMONTH(AF$4,0)),Assumptions!$F$4:$F$44))/NETWORKDAYS($K418,$L418,Assumptions!$F$4:$F$44))</f>
        <v>0</v>
      </c>
      <c r="AG418" s="21" t="n">
        <f aca="false">IF($J418=0,0,MAX(0,NETWORKDAYS(MAX($K418,AG$4),MIN($L418,EOMONTH(AG$4,0)),Assumptions!$F$4:$F$44))/NETWORKDAYS($K418,$L418,Assumptions!$F$4:$F$44))</f>
        <v>0</v>
      </c>
      <c r="AH418" s="21" t="n">
        <f aca="false">IF($J418=0,0,MAX(0,NETWORKDAYS(MAX($K418,AH$4),MIN($L418,EOMONTH(AH$4,0)),Assumptions!$F$4:$F$44))/NETWORKDAYS($K418,$L418,Assumptions!$F$4:$F$44))</f>
        <v>0</v>
      </c>
      <c r="AI418" s="21" t="n">
        <f aca="false">IF($J418=0,0,MAX(0,NETWORKDAYS(MAX($K418,AI$4),MIN($L418,EOMONTH(AI$4,0)),Assumptions!$F$4:$F$44))/NETWORKDAYS($K418,$L418,Assumptions!$F$4:$F$44))</f>
        <v>0</v>
      </c>
      <c r="AJ418" s="21" t="n">
        <f aca="false">IF($J418=0,0,MAX(0,NETWORKDAYS(MAX($K418,AJ$4),MIN($L418,EOMONTH(AJ$4,0)),Assumptions!$F$4:$F$44))/NETWORKDAYS($K418,$L418,Assumptions!$F$4:$F$44))</f>
        <v>0</v>
      </c>
      <c r="AK418" s="21" t="n">
        <f aca="false">IF($J418=0,0,MAX(0,NETWORKDAYS(MAX($K418,AK$4),MIN($L418,EOMONTH(AK$4,0)),Assumptions!$F$4:$F$44))/NETWORKDAYS($K418,$L418,Assumptions!$F$4:$F$44))</f>
        <v>0</v>
      </c>
      <c r="AL418" s="21" t="n">
        <f aca="false">IF($J418=0,0,MAX(0,NETWORKDAYS(MAX($K418,AL$4),MIN($L418,EOMONTH(AL$4,0)),Assumptions!$F$4:$F$44))/NETWORKDAYS($K418,$L418,Assumptions!$F$4:$F$44))</f>
        <v>0</v>
      </c>
      <c r="AM418" s="21" t="n">
        <f aca="false">IF($J418=0,0,MAX(0,NETWORKDAYS(MAX($K418,AM$4),MIN($L418,EOMONTH(AM$4,0)),Assumptions!$F$4:$F$44))/NETWORKDAYS($K418,$L418,Assumptions!$F$4:$F$44))</f>
        <v>0</v>
      </c>
      <c r="AN418" s="21" t="n">
        <f aca="false">IF($J418=0,0,MAX(0,NETWORKDAYS(MAX($K418,AN$4),MIN($L418,EOMONTH(AN$4,0)),Assumptions!$F$4:$F$44))/NETWORKDAYS($K418,$L418,Assumptions!$F$4:$F$44))</f>
        <v>0</v>
      </c>
      <c r="AO418" s="21" t="n">
        <f aca="false">IF($J418=0,0,MAX(0,NETWORKDAYS(MAX($K418,AO$4),MIN($L418,EOMONTH(AO$4,0)),Assumptions!$F$4:$F$44))/NETWORKDAYS($K418,$L418,Assumptions!$F$4:$F$44))</f>
        <v>0</v>
      </c>
      <c r="AP418" s="21" t="n">
        <f aca="false">IF($J418=0,0,MAX(0,NETWORKDAYS(MAX($K418,AP$4),MIN($L418,EOMONTH(AP$4,0)),Assumptions!$F$4:$F$44))/NETWORKDAYS($K418,$L418,Assumptions!$F$4:$F$44))</f>
        <v>0</v>
      </c>
      <c r="AQ418" s="21" t="n">
        <f aca="false">IF($J418=0,0,MAX(0,NETWORKDAYS(MAX($K418,AQ$4),MIN($L418,EOMONTH(AQ$4,0)),Assumptions!$F$4:$F$44))/NETWORKDAYS($K418,$L418,Assumptions!$F$4:$F$44))</f>
        <v>0</v>
      </c>
      <c r="AR418" s="21" t="n">
        <f aca="false">IF($J418=0,0,MAX(0,NETWORKDAYS(MAX($K418,AR$4),MIN($L418,EOMONTH(AR$4,0)),Assumptions!$F$4:$F$44))/NETWORKDAYS($K418,$L418,Assumptions!$F$4:$F$44))</f>
        <v>0</v>
      </c>
      <c r="AS418" s="21" t="n">
        <f aca="false">IF($J418=0,0,MAX(0,NETWORKDAYS(MAX($K418,AS$4),MIN($L418,EOMONTH(AS$4,0)),Assumptions!$F$4:$F$44))/NETWORKDAYS($K418,$L418,Assumptions!$F$4:$F$44))</f>
        <v>0</v>
      </c>
      <c r="AT418" s="21" t="n">
        <f aca="false">IF($J418=0,0,MAX(0,NETWORKDAYS(MAX($K418,AT$4),MIN($L418,EOMONTH(AT$4,0)),Assumptions!$F$4:$F$44))/NETWORKDAYS($K418,$L418,Assumptions!$F$4:$F$44))</f>
        <v>0</v>
      </c>
      <c r="AU418" s="21" t="n">
        <f aca="false">IF($J418=0,0,MAX(0,NETWORKDAYS(MAX($K418,AU$4),MIN($L418,EOMONTH(AU$4,0)),Assumptions!$F$4:$F$44))/NETWORKDAYS($K418,$L418,Assumptions!$F$4:$F$44))</f>
        <v>0</v>
      </c>
      <c r="AV418" s="21" t="n">
        <f aca="false">IF($J418=0,0,MAX(0,NETWORKDAYS(MAX($K418,AV$4),MIN($L418,EOMONTH(AV$4,0)),Assumptions!$F$4:$F$44))/NETWORKDAYS($K418,$L418,Assumptions!$F$4:$F$44))</f>
        <v>0.230769230769231</v>
      </c>
      <c r="AW418" s="21" t="n">
        <f aca="false">IF($J418=0,0,MAX(0,NETWORKDAYS(MAX($K418,AW$4),MIN($L418,EOMONTH(AW$4,0)),Assumptions!$F$4:$F$44))/NETWORKDAYS($K418,$L418,Assumptions!$F$4:$F$44))</f>
        <v>0.769230769230769</v>
      </c>
      <c r="AX418" s="21" t="n">
        <f aca="false">IF($J418=0,0,MAX(0,NETWORKDAYS(MAX($K418,AX$4),MIN($L418,EOMONTH(AX$4,0)),Assumptions!$F$4:$F$44))/NETWORKDAYS($K418,$L418,Assumptions!$F$4:$F$44))</f>
        <v>0</v>
      </c>
      <c r="AY418" s="21" t="n">
        <f aca="false">IF($J418=0,0,MAX(0,NETWORKDAYS(MAX($K418,AY$4),MIN($L418,EOMONTH(AY$4,0)),Assumptions!$F$4:$F$44))/NETWORKDAYS($K418,$L418,Assumptions!$F$4:$F$44))</f>
        <v>0</v>
      </c>
      <c r="AZ418" s="21" t="n">
        <f aca="false">IF($J418=0,0,MAX(0,NETWORKDAYS(MAX($K418,AZ$4),MIN($L418,EOMONTH(AZ$4,0)),Assumptions!$F$4:$F$44))/NETWORKDAYS($K418,$L418,Assumptions!$F$4:$F$44))</f>
        <v>0</v>
      </c>
      <c r="BA418" s="21" t="n">
        <f aca="false">IF($J418=0,0,MAX(0,NETWORKDAYS(MAX($K418,BA$4),MIN($L418,EOMONTH(BA$4,0)),Assumptions!$F$4:$F$44))/NETWORKDAYS($K418,$L418,Assumptions!$F$4:$F$44))</f>
        <v>0</v>
      </c>
      <c r="BB418" s="21" t="n">
        <f aca="false">IF($J418=0,0,MAX(0,NETWORKDAYS(MAX($K418,BB$4),MIN($L418,EOMONTH(BB$4,0)),Assumptions!$F$4:$F$44))/NETWORKDAYS($K418,$L418,Assumptions!$F$4:$F$44))</f>
        <v>0</v>
      </c>
      <c r="BC418" s="21" t="n">
        <f aca="false">IF($J418=0,0,MAX(0,NETWORKDAYS(MAX($K418,BC$4),MIN($L418,EOMONTH(BC$4,0)),Assumptions!$F$4:$F$44))/NETWORKDAYS($K418,$L418,Assumptions!$F$4:$F$44))</f>
        <v>0</v>
      </c>
    </row>
    <row r="419" customFormat="false" ht="15" hidden="false" customHeight="false" outlineLevel="2" collapsed="false">
      <c r="A419" s="27" t="n">
        <v>415</v>
      </c>
      <c r="B419" s="27" t="s">
        <v>882</v>
      </c>
      <c r="C419" s="27" t="n">
        <v>3</v>
      </c>
      <c r="D419" s="27" t="s">
        <v>92</v>
      </c>
      <c r="E419" s="28" t="s">
        <v>347</v>
      </c>
      <c r="F419" s="27" t="s">
        <v>846</v>
      </c>
      <c r="G419" s="27" t="s">
        <v>857</v>
      </c>
      <c r="H419" s="27" t="s">
        <v>61</v>
      </c>
      <c r="I419" s="29" t="n">
        <v>370</v>
      </c>
      <c r="J419" s="29" t="n">
        <v>13</v>
      </c>
      <c r="K419" s="30" t="n">
        <f aca="false">WORKDAY(Assumptions!$C$4,I419,Assumptions!$F$4:$F$44)</f>
        <v>46846</v>
      </c>
      <c r="L419" s="30" t="n">
        <f aca="false">IF(J419=0,K419,WORKDAY(K419,J419-1,Assumptions!$F$4:$F$44))</f>
        <v>46862</v>
      </c>
      <c r="M419" s="29" t="s">
        <v>883</v>
      </c>
      <c r="N419" s="31" t="n">
        <v>0</v>
      </c>
      <c r="O419" s="31" t="n">
        <v>2</v>
      </c>
      <c r="P419" s="31" t="n">
        <v>0</v>
      </c>
      <c r="Q419" s="31" t="n">
        <v>0</v>
      </c>
      <c r="R419" s="31" t="n">
        <v>0</v>
      </c>
      <c r="S419" s="31" t="n">
        <v>0</v>
      </c>
      <c r="T419" s="31" t="n">
        <v>0</v>
      </c>
      <c r="U419" s="31" t="n">
        <v>0</v>
      </c>
      <c r="V419" s="31" t="n">
        <v>0</v>
      </c>
      <c r="W419" s="31" t="n">
        <v>0</v>
      </c>
      <c r="X419" s="31" t="n">
        <v>6</v>
      </c>
      <c r="Y419" s="32" t="n">
        <f aca="false">SUM(N419:X419)</f>
        <v>8</v>
      </c>
      <c r="Z419" s="32" t="n">
        <f aca="false">Y419*(1+Assumptions!$C$5)</f>
        <v>9.2</v>
      </c>
      <c r="AA419" s="27" t="s">
        <v>349</v>
      </c>
      <c r="AB419" s="27" t="s">
        <v>95</v>
      </c>
      <c r="AC419" s="27"/>
      <c r="AD419" s="33" t="n">
        <v>0</v>
      </c>
      <c r="AF419" s="21" t="n">
        <f aca="false">IF($J419=0,0,MAX(0,NETWORKDAYS(MAX($K419,AF$4),MIN($L419,EOMONTH(AF$4,0)),Assumptions!$F$4:$F$44))/NETWORKDAYS($K419,$L419,Assumptions!$F$4:$F$44))</f>
        <v>0</v>
      </c>
      <c r="AG419" s="21" t="n">
        <f aca="false">IF($J419=0,0,MAX(0,NETWORKDAYS(MAX($K419,AG$4),MIN($L419,EOMONTH(AG$4,0)),Assumptions!$F$4:$F$44))/NETWORKDAYS($K419,$L419,Assumptions!$F$4:$F$44))</f>
        <v>0</v>
      </c>
      <c r="AH419" s="21" t="n">
        <f aca="false">IF($J419=0,0,MAX(0,NETWORKDAYS(MAX($K419,AH$4),MIN($L419,EOMONTH(AH$4,0)),Assumptions!$F$4:$F$44))/NETWORKDAYS($K419,$L419,Assumptions!$F$4:$F$44))</f>
        <v>0</v>
      </c>
      <c r="AI419" s="21" t="n">
        <f aca="false">IF($J419=0,0,MAX(0,NETWORKDAYS(MAX($K419,AI$4),MIN($L419,EOMONTH(AI$4,0)),Assumptions!$F$4:$F$44))/NETWORKDAYS($K419,$L419,Assumptions!$F$4:$F$44))</f>
        <v>0</v>
      </c>
      <c r="AJ419" s="21" t="n">
        <f aca="false">IF($J419=0,0,MAX(0,NETWORKDAYS(MAX($K419,AJ$4),MIN($L419,EOMONTH(AJ$4,0)),Assumptions!$F$4:$F$44))/NETWORKDAYS($K419,$L419,Assumptions!$F$4:$F$44))</f>
        <v>0</v>
      </c>
      <c r="AK419" s="21" t="n">
        <f aca="false">IF($J419=0,0,MAX(0,NETWORKDAYS(MAX($K419,AK$4),MIN($L419,EOMONTH(AK$4,0)),Assumptions!$F$4:$F$44))/NETWORKDAYS($K419,$L419,Assumptions!$F$4:$F$44))</f>
        <v>0</v>
      </c>
      <c r="AL419" s="21" t="n">
        <f aca="false">IF($J419=0,0,MAX(0,NETWORKDAYS(MAX($K419,AL$4),MIN($L419,EOMONTH(AL$4,0)),Assumptions!$F$4:$F$44))/NETWORKDAYS($K419,$L419,Assumptions!$F$4:$F$44))</f>
        <v>0</v>
      </c>
      <c r="AM419" s="21" t="n">
        <f aca="false">IF($J419=0,0,MAX(0,NETWORKDAYS(MAX($K419,AM$4),MIN($L419,EOMONTH(AM$4,0)),Assumptions!$F$4:$F$44))/NETWORKDAYS($K419,$L419,Assumptions!$F$4:$F$44))</f>
        <v>0</v>
      </c>
      <c r="AN419" s="21" t="n">
        <f aca="false">IF($J419=0,0,MAX(0,NETWORKDAYS(MAX($K419,AN$4),MIN($L419,EOMONTH(AN$4,0)),Assumptions!$F$4:$F$44))/NETWORKDAYS($K419,$L419,Assumptions!$F$4:$F$44))</f>
        <v>0</v>
      </c>
      <c r="AO419" s="21" t="n">
        <f aca="false">IF($J419=0,0,MAX(0,NETWORKDAYS(MAX($K419,AO$4),MIN($L419,EOMONTH(AO$4,0)),Assumptions!$F$4:$F$44))/NETWORKDAYS($K419,$L419,Assumptions!$F$4:$F$44))</f>
        <v>0</v>
      </c>
      <c r="AP419" s="21" t="n">
        <f aca="false">IF($J419=0,0,MAX(0,NETWORKDAYS(MAX($K419,AP$4),MIN($L419,EOMONTH(AP$4,0)),Assumptions!$F$4:$F$44))/NETWORKDAYS($K419,$L419,Assumptions!$F$4:$F$44))</f>
        <v>0</v>
      </c>
      <c r="AQ419" s="21" t="n">
        <f aca="false">IF($J419=0,0,MAX(0,NETWORKDAYS(MAX($K419,AQ$4),MIN($L419,EOMONTH(AQ$4,0)),Assumptions!$F$4:$F$44))/NETWORKDAYS($K419,$L419,Assumptions!$F$4:$F$44))</f>
        <v>0</v>
      </c>
      <c r="AR419" s="21" t="n">
        <f aca="false">IF($J419=0,0,MAX(0,NETWORKDAYS(MAX($K419,AR$4),MIN($L419,EOMONTH(AR$4,0)),Assumptions!$F$4:$F$44))/NETWORKDAYS($K419,$L419,Assumptions!$F$4:$F$44))</f>
        <v>0</v>
      </c>
      <c r="AS419" s="21" t="n">
        <f aca="false">IF($J419=0,0,MAX(0,NETWORKDAYS(MAX($K419,AS$4),MIN($L419,EOMONTH(AS$4,0)),Assumptions!$F$4:$F$44))/NETWORKDAYS($K419,$L419,Assumptions!$F$4:$F$44))</f>
        <v>0</v>
      </c>
      <c r="AT419" s="21" t="n">
        <f aca="false">IF($J419=0,0,MAX(0,NETWORKDAYS(MAX($K419,AT$4),MIN($L419,EOMONTH(AT$4,0)),Assumptions!$F$4:$F$44))/NETWORKDAYS($K419,$L419,Assumptions!$F$4:$F$44))</f>
        <v>0</v>
      </c>
      <c r="AU419" s="21" t="n">
        <f aca="false">IF($J419=0,0,MAX(0,NETWORKDAYS(MAX($K419,AU$4),MIN($L419,EOMONTH(AU$4,0)),Assumptions!$F$4:$F$44))/NETWORKDAYS($K419,$L419,Assumptions!$F$4:$F$44))</f>
        <v>0</v>
      </c>
      <c r="AV419" s="21" t="n">
        <f aca="false">IF($J419=0,0,MAX(0,NETWORKDAYS(MAX($K419,AV$4),MIN($L419,EOMONTH(AV$4,0)),Assumptions!$F$4:$F$44))/NETWORKDAYS($K419,$L419,Assumptions!$F$4:$F$44))</f>
        <v>0</v>
      </c>
      <c r="AW419" s="21" t="n">
        <f aca="false">IF($J419=0,0,MAX(0,NETWORKDAYS(MAX($K419,AW$4),MIN($L419,EOMONTH(AW$4,0)),Assumptions!$F$4:$F$44))/NETWORKDAYS($K419,$L419,Assumptions!$F$4:$F$44))</f>
        <v>1</v>
      </c>
      <c r="AX419" s="21" t="n">
        <f aca="false">IF($J419=0,0,MAX(0,NETWORKDAYS(MAX($K419,AX$4),MIN($L419,EOMONTH(AX$4,0)),Assumptions!$F$4:$F$44))/NETWORKDAYS($K419,$L419,Assumptions!$F$4:$F$44))</f>
        <v>0</v>
      </c>
      <c r="AY419" s="21" t="n">
        <f aca="false">IF($J419=0,0,MAX(0,NETWORKDAYS(MAX($K419,AY$4),MIN($L419,EOMONTH(AY$4,0)),Assumptions!$F$4:$F$44))/NETWORKDAYS($K419,$L419,Assumptions!$F$4:$F$44))</f>
        <v>0</v>
      </c>
      <c r="AZ419" s="21" t="n">
        <f aca="false">IF($J419=0,0,MAX(0,NETWORKDAYS(MAX($K419,AZ$4),MIN($L419,EOMONTH(AZ$4,0)),Assumptions!$F$4:$F$44))/NETWORKDAYS($K419,$L419,Assumptions!$F$4:$F$44))</f>
        <v>0</v>
      </c>
      <c r="BA419" s="21" t="n">
        <f aca="false">IF($J419=0,0,MAX(0,NETWORKDAYS(MAX($K419,BA$4),MIN($L419,EOMONTH(BA$4,0)),Assumptions!$F$4:$F$44))/NETWORKDAYS($K419,$L419,Assumptions!$F$4:$F$44))</f>
        <v>0</v>
      </c>
      <c r="BB419" s="21" t="n">
        <f aca="false">IF($J419=0,0,MAX(0,NETWORKDAYS(MAX($K419,BB$4),MIN($L419,EOMONTH(BB$4,0)),Assumptions!$F$4:$F$44))/NETWORKDAYS($K419,$L419,Assumptions!$F$4:$F$44))</f>
        <v>0</v>
      </c>
      <c r="BC419" s="21" t="n">
        <f aca="false">IF($J419=0,0,MAX(0,NETWORKDAYS(MAX($K419,BC$4),MIN($L419,EOMONTH(BC$4,0)),Assumptions!$F$4:$F$44))/NETWORKDAYS($K419,$L419,Assumptions!$F$4:$F$44))</f>
        <v>0</v>
      </c>
    </row>
    <row r="420" customFormat="false" ht="15" hidden="false" customHeight="false" outlineLevel="1" collapsed="false">
      <c r="A420" s="22" t="n">
        <v>416</v>
      </c>
      <c r="B420" s="22" t="s">
        <v>884</v>
      </c>
      <c r="C420" s="22" t="n">
        <v>2</v>
      </c>
      <c r="D420" s="22" t="s">
        <v>89</v>
      </c>
      <c r="E420" s="23" t="s">
        <v>885</v>
      </c>
      <c r="F420" s="22" t="s">
        <v>846</v>
      </c>
      <c r="G420" s="22" t="s">
        <v>886</v>
      </c>
      <c r="H420" s="22"/>
      <c r="I420" s="22"/>
      <c r="J420" s="22" t="n">
        <f aca="false">NETWORKDAYS(K420,L420,Assumptions!$F$4:$F$44)</f>
        <v>119</v>
      </c>
      <c r="K420" s="24" t="n">
        <f aca="false">MIN(K421:K435)</f>
        <v>46696</v>
      </c>
      <c r="L420" s="24" t="n">
        <f aca="false">MAX(L421:L435)</f>
        <v>46862</v>
      </c>
      <c r="M420" s="22"/>
      <c r="N420" s="25" t="n">
        <f aca="false">SUMPRODUCT(($C$421:$C$435=3)*(N421:N435))</f>
        <v>1</v>
      </c>
      <c r="O420" s="25" t="n">
        <f aca="false">SUMPRODUCT(($C$421:$C$435=3)*(O421:O435))</f>
        <v>21</v>
      </c>
      <c r="P420" s="25" t="n">
        <f aca="false">SUMPRODUCT(($C$421:$C$435=3)*(P421:P435))</f>
        <v>6</v>
      </c>
      <c r="Q420" s="25" t="n">
        <f aca="false">SUMPRODUCT(($C$421:$C$435=3)*(Q421:Q435))</f>
        <v>61</v>
      </c>
      <c r="R420" s="25" t="n">
        <f aca="false">SUMPRODUCT(($C$421:$C$435=3)*(R421:R435))</f>
        <v>30</v>
      </c>
      <c r="S420" s="25" t="n">
        <f aca="false">SUMPRODUCT(($C$421:$C$435=3)*(S421:S435))</f>
        <v>9</v>
      </c>
      <c r="T420" s="25" t="n">
        <f aca="false">SUMPRODUCT(($C$421:$C$435=3)*(T421:T435))</f>
        <v>8</v>
      </c>
      <c r="U420" s="25" t="n">
        <f aca="false">SUMPRODUCT(($C$421:$C$435=3)*(U421:U435))</f>
        <v>0</v>
      </c>
      <c r="V420" s="25" t="n">
        <f aca="false">SUMPRODUCT(($C$421:$C$435=3)*(V421:V435))</f>
        <v>22</v>
      </c>
      <c r="W420" s="25" t="n">
        <f aca="false">SUMPRODUCT(($C$421:$C$435=3)*(W421:W435))</f>
        <v>9</v>
      </c>
      <c r="X420" s="25" t="n">
        <f aca="false">SUMPRODUCT(($C$421:$C$435=3)*(X421:X435))</f>
        <v>4</v>
      </c>
      <c r="Y420" s="25" t="n">
        <f aca="false">SUM(N420:X420)</f>
        <v>171</v>
      </c>
      <c r="Z420" s="25" t="n">
        <f aca="false">Y420*(1+Assumptions!$C$5)</f>
        <v>196.65</v>
      </c>
      <c r="AA420" s="22" t="s">
        <v>887</v>
      </c>
      <c r="AB420" s="22"/>
      <c r="AC420" s="22"/>
      <c r="AD420" s="26"/>
      <c r="AF420" s="21" t="n">
        <v>0</v>
      </c>
      <c r="AG420" s="21" t="n">
        <v>0</v>
      </c>
      <c r="AH420" s="21" t="n">
        <v>0</v>
      </c>
      <c r="AI420" s="21" t="n">
        <v>0</v>
      </c>
      <c r="AJ420" s="21" t="n">
        <v>0</v>
      </c>
      <c r="AK420" s="21" t="n">
        <v>0</v>
      </c>
      <c r="AL420" s="21" t="n">
        <v>0</v>
      </c>
      <c r="AM420" s="21" t="n">
        <v>0</v>
      </c>
      <c r="AN420" s="21" t="n">
        <v>0</v>
      </c>
      <c r="AO420" s="21" t="n">
        <v>0</v>
      </c>
      <c r="AP420" s="21" t="n">
        <v>0</v>
      </c>
      <c r="AQ420" s="21" t="n">
        <v>0</v>
      </c>
      <c r="AR420" s="21" t="n">
        <v>0</v>
      </c>
      <c r="AS420" s="21" t="n">
        <v>0</v>
      </c>
      <c r="AT420" s="21" t="n">
        <v>0</v>
      </c>
      <c r="AU420" s="21" t="n">
        <v>0</v>
      </c>
      <c r="AV420" s="21" t="n">
        <v>0</v>
      </c>
      <c r="AW420" s="21" t="n">
        <v>0</v>
      </c>
      <c r="AX420" s="21" t="n">
        <v>0</v>
      </c>
      <c r="AY420" s="21" t="n">
        <v>0</v>
      </c>
      <c r="AZ420" s="21" t="n">
        <v>0</v>
      </c>
      <c r="BA420" s="21" t="n">
        <v>0</v>
      </c>
      <c r="BB420" s="21" t="n">
        <v>0</v>
      </c>
      <c r="BC420" s="21" t="n">
        <v>0</v>
      </c>
    </row>
    <row r="421" customFormat="false" ht="15" hidden="false" customHeight="false" outlineLevel="2" collapsed="false">
      <c r="A421" s="27" t="n">
        <v>417</v>
      </c>
      <c r="B421" s="27" t="s">
        <v>888</v>
      </c>
      <c r="C421" s="27" t="n">
        <v>3</v>
      </c>
      <c r="D421" s="27" t="s">
        <v>92</v>
      </c>
      <c r="E421" s="28" t="s">
        <v>292</v>
      </c>
      <c r="F421" s="27" t="s">
        <v>846</v>
      </c>
      <c r="G421" s="27" t="s">
        <v>886</v>
      </c>
      <c r="H421" s="27" t="s">
        <v>43</v>
      </c>
      <c r="I421" s="29" t="n">
        <v>264</v>
      </c>
      <c r="J421" s="29" t="n">
        <v>16</v>
      </c>
      <c r="K421" s="30" t="n">
        <f aca="false">WORKDAY(Assumptions!$C$4,I421,Assumptions!$F$4:$F$44)</f>
        <v>46696</v>
      </c>
      <c r="L421" s="30" t="n">
        <f aca="false">IF(J421=0,K421,WORKDAY(K421,J421-1,Assumptions!$F$4:$F$44))</f>
        <v>46717</v>
      </c>
      <c r="M421" s="29" t="s">
        <v>860</v>
      </c>
      <c r="N421" s="31" t="n">
        <v>1</v>
      </c>
      <c r="O421" s="31" t="n">
        <v>6</v>
      </c>
      <c r="P421" s="31" t="n">
        <v>2</v>
      </c>
      <c r="Q421" s="31" t="n">
        <v>0</v>
      </c>
      <c r="R421" s="31" t="n">
        <v>0</v>
      </c>
      <c r="S421" s="31" t="n">
        <v>0</v>
      </c>
      <c r="T421" s="31" t="n">
        <v>0</v>
      </c>
      <c r="U421" s="31" t="n">
        <v>0</v>
      </c>
      <c r="V421" s="31" t="n">
        <v>0</v>
      </c>
      <c r="W421" s="31" t="n">
        <v>0</v>
      </c>
      <c r="X421" s="31" t="n">
        <v>0</v>
      </c>
      <c r="Y421" s="32" t="n">
        <f aca="false">SUM(N421:X421)</f>
        <v>9</v>
      </c>
      <c r="Z421" s="32" t="n">
        <f aca="false">Y421*(1+Assumptions!$C$5)</f>
        <v>10.35</v>
      </c>
      <c r="AA421" s="27" t="s">
        <v>294</v>
      </c>
      <c r="AB421" s="27" t="s">
        <v>95</v>
      </c>
      <c r="AC421" s="27"/>
      <c r="AD421" s="33" t="n">
        <v>0</v>
      </c>
      <c r="AF421" s="21" t="n">
        <f aca="false">IF($J421=0,0,MAX(0,NETWORKDAYS(MAX($K421,AF$4),MIN($L421,EOMONTH(AF$4,0)),Assumptions!$F$4:$F$44))/NETWORKDAYS($K421,$L421,Assumptions!$F$4:$F$44))</f>
        <v>0</v>
      </c>
      <c r="AG421" s="21" t="n">
        <f aca="false">IF($J421=0,0,MAX(0,NETWORKDAYS(MAX($K421,AG$4),MIN($L421,EOMONTH(AG$4,0)),Assumptions!$F$4:$F$44))/NETWORKDAYS($K421,$L421,Assumptions!$F$4:$F$44))</f>
        <v>0</v>
      </c>
      <c r="AH421" s="21" t="n">
        <f aca="false">IF($J421=0,0,MAX(0,NETWORKDAYS(MAX($K421,AH$4),MIN($L421,EOMONTH(AH$4,0)),Assumptions!$F$4:$F$44))/NETWORKDAYS($K421,$L421,Assumptions!$F$4:$F$44))</f>
        <v>0</v>
      </c>
      <c r="AI421" s="21" t="n">
        <f aca="false">IF($J421=0,0,MAX(0,NETWORKDAYS(MAX($K421,AI$4),MIN($L421,EOMONTH(AI$4,0)),Assumptions!$F$4:$F$44))/NETWORKDAYS($K421,$L421,Assumptions!$F$4:$F$44))</f>
        <v>0</v>
      </c>
      <c r="AJ421" s="21" t="n">
        <f aca="false">IF($J421=0,0,MAX(0,NETWORKDAYS(MAX($K421,AJ$4),MIN($L421,EOMONTH(AJ$4,0)),Assumptions!$F$4:$F$44))/NETWORKDAYS($K421,$L421,Assumptions!$F$4:$F$44))</f>
        <v>0</v>
      </c>
      <c r="AK421" s="21" t="n">
        <f aca="false">IF($J421=0,0,MAX(0,NETWORKDAYS(MAX($K421,AK$4),MIN($L421,EOMONTH(AK$4,0)),Assumptions!$F$4:$F$44))/NETWORKDAYS($K421,$L421,Assumptions!$F$4:$F$44))</f>
        <v>0</v>
      </c>
      <c r="AL421" s="21" t="n">
        <f aca="false">IF($J421=0,0,MAX(0,NETWORKDAYS(MAX($K421,AL$4),MIN($L421,EOMONTH(AL$4,0)),Assumptions!$F$4:$F$44))/NETWORKDAYS($K421,$L421,Assumptions!$F$4:$F$44))</f>
        <v>0</v>
      </c>
      <c r="AM421" s="21" t="n">
        <f aca="false">IF($J421=0,0,MAX(0,NETWORKDAYS(MAX($K421,AM$4),MIN($L421,EOMONTH(AM$4,0)),Assumptions!$F$4:$F$44))/NETWORKDAYS($K421,$L421,Assumptions!$F$4:$F$44))</f>
        <v>0</v>
      </c>
      <c r="AN421" s="21" t="n">
        <f aca="false">IF($J421=0,0,MAX(0,NETWORKDAYS(MAX($K421,AN$4),MIN($L421,EOMONTH(AN$4,0)),Assumptions!$F$4:$F$44))/NETWORKDAYS($K421,$L421,Assumptions!$F$4:$F$44))</f>
        <v>0</v>
      </c>
      <c r="AO421" s="21" t="n">
        <f aca="false">IF($J421=0,0,MAX(0,NETWORKDAYS(MAX($K421,AO$4),MIN($L421,EOMONTH(AO$4,0)),Assumptions!$F$4:$F$44))/NETWORKDAYS($K421,$L421,Assumptions!$F$4:$F$44))</f>
        <v>0</v>
      </c>
      <c r="AP421" s="21" t="n">
        <f aca="false">IF($J421=0,0,MAX(0,NETWORKDAYS(MAX($K421,AP$4),MIN($L421,EOMONTH(AP$4,0)),Assumptions!$F$4:$F$44))/NETWORKDAYS($K421,$L421,Assumptions!$F$4:$F$44))</f>
        <v>0</v>
      </c>
      <c r="AQ421" s="21" t="n">
        <f aca="false">IF($J421=0,0,MAX(0,NETWORKDAYS(MAX($K421,AQ$4),MIN($L421,EOMONTH(AQ$4,0)),Assumptions!$F$4:$F$44))/NETWORKDAYS($K421,$L421,Assumptions!$F$4:$F$44))</f>
        <v>0</v>
      </c>
      <c r="AR421" s="21" t="n">
        <f aca="false">IF($J421=0,0,MAX(0,NETWORKDAYS(MAX($K421,AR$4),MIN($L421,EOMONTH(AR$4,0)),Assumptions!$F$4:$F$44))/NETWORKDAYS($K421,$L421,Assumptions!$F$4:$F$44))</f>
        <v>1</v>
      </c>
      <c r="AS421" s="21" t="n">
        <f aca="false">IF($J421=0,0,MAX(0,NETWORKDAYS(MAX($K421,AS$4),MIN($L421,EOMONTH(AS$4,0)),Assumptions!$F$4:$F$44))/NETWORKDAYS($K421,$L421,Assumptions!$F$4:$F$44))</f>
        <v>0</v>
      </c>
      <c r="AT421" s="21" t="n">
        <f aca="false">IF($J421=0,0,MAX(0,NETWORKDAYS(MAX($K421,AT$4),MIN($L421,EOMONTH(AT$4,0)),Assumptions!$F$4:$F$44))/NETWORKDAYS($K421,$L421,Assumptions!$F$4:$F$44))</f>
        <v>0</v>
      </c>
      <c r="AU421" s="21" t="n">
        <f aca="false">IF($J421=0,0,MAX(0,NETWORKDAYS(MAX($K421,AU$4),MIN($L421,EOMONTH(AU$4,0)),Assumptions!$F$4:$F$44))/NETWORKDAYS($K421,$L421,Assumptions!$F$4:$F$44))</f>
        <v>0</v>
      </c>
      <c r="AV421" s="21" t="n">
        <f aca="false">IF($J421=0,0,MAX(0,NETWORKDAYS(MAX($K421,AV$4),MIN($L421,EOMONTH(AV$4,0)),Assumptions!$F$4:$F$44))/NETWORKDAYS($K421,$L421,Assumptions!$F$4:$F$44))</f>
        <v>0</v>
      </c>
      <c r="AW421" s="21" t="n">
        <f aca="false">IF($J421=0,0,MAX(0,NETWORKDAYS(MAX($K421,AW$4),MIN($L421,EOMONTH(AW$4,0)),Assumptions!$F$4:$F$44))/NETWORKDAYS($K421,$L421,Assumptions!$F$4:$F$44))</f>
        <v>0</v>
      </c>
      <c r="AX421" s="21" t="n">
        <f aca="false">IF($J421=0,0,MAX(0,NETWORKDAYS(MAX($K421,AX$4),MIN($L421,EOMONTH(AX$4,0)),Assumptions!$F$4:$F$44))/NETWORKDAYS($K421,$L421,Assumptions!$F$4:$F$44))</f>
        <v>0</v>
      </c>
      <c r="AY421" s="21" t="n">
        <f aca="false">IF($J421=0,0,MAX(0,NETWORKDAYS(MAX($K421,AY$4),MIN($L421,EOMONTH(AY$4,0)),Assumptions!$F$4:$F$44))/NETWORKDAYS($K421,$L421,Assumptions!$F$4:$F$44))</f>
        <v>0</v>
      </c>
      <c r="AZ421" s="21" t="n">
        <f aca="false">IF($J421=0,0,MAX(0,NETWORKDAYS(MAX($K421,AZ$4),MIN($L421,EOMONTH(AZ$4,0)),Assumptions!$F$4:$F$44))/NETWORKDAYS($K421,$L421,Assumptions!$F$4:$F$44))</f>
        <v>0</v>
      </c>
      <c r="BA421" s="21" t="n">
        <f aca="false">IF($J421=0,0,MAX(0,NETWORKDAYS(MAX($K421,BA$4),MIN($L421,EOMONTH(BA$4,0)),Assumptions!$F$4:$F$44))/NETWORKDAYS($K421,$L421,Assumptions!$F$4:$F$44))</f>
        <v>0</v>
      </c>
      <c r="BB421" s="21" t="n">
        <f aca="false">IF($J421=0,0,MAX(0,NETWORKDAYS(MAX($K421,BB$4),MIN($L421,EOMONTH(BB$4,0)),Assumptions!$F$4:$F$44))/NETWORKDAYS($K421,$L421,Assumptions!$F$4:$F$44))</f>
        <v>0</v>
      </c>
      <c r="BC421" s="21" t="n">
        <f aca="false">IF($J421=0,0,MAX(0,NETWORKDAYS(MAX($K421,BC$4),MIN($L421,EOMONTH(BC$4,0)),Assumptions!$F$4:$F$44))/NETWORKDAYS($K421,$L421,Assumptions!$F$4:$F$44))</f>
        <v>0</v>
      </c>
    </row>
    <row r="422" customFormat="false" ht="15" hidden="false" customHeight="false" outlineLevel="2" collapsed="false">
      <c r="A422" s="27" t="n">
        <v>418</v>
      </c>
      <c r="B422" s="27" t="s">
        <v>889</v>
      </c>
      <c r="C422" s="27" t="n">
        <v>3</v>
      </c>
      <c r="D422" s="27" t="s">
        <v>92</v>
      </c>
      <c r="E422" s="28" t="s">
        <v>296</v>
      </c>
      <c r="F422" s="27" t="s">
        <v>846</v>
      </c>
      <c r="G422" s="27" t="s">
        <v>886</v>
      </c>
      <c r="H422" s="27" t="s">
        <v>45</v>
      </c>
      <c r="I422" s="29" t="n">
        <v>275</v>
      </c>
      <c r="J422" s="29" t="n">
        <v>16</v>
      </c>
      <c r="K422" s="30" t="n">
        <f aca="false">WORKDAY(Assumptions!$C$4,I422,Assumptions!$F$4:$F$44)</f>
        <v>46713</v>
      </c>
      <c r="L422" s="30" t="n">
        <f aca="false">IF(J422=0,K422,WORKDAY(K422,J422-1,Assumptions!$F$4:$F$44))</f>
        <v>46734</v>
      </c>
      <c r="M422" s="29" t="s">
        <v>890</v>
      </c>
      <c r="N422" s="31" t="n">
        <v>0</v>
      </c>
      <c r="O422" s="31" t="n">
        <v>0</v>
      </c>
      <c r="P422" s="31" t="n">
        <v>4</v>
      </c>
      <c r="Q422" s="31" t="n">
        <v>4</v>
      </c>
      <c r="R422" s="31" t="n">
        <v>0</v>
      </c>
      <c r="S422" s="31" t="n">
        <v>0</v>
      </c>
      <c r="T422" s="31" t="n">
        <v>0</v>
      </c>
      <c r="U422" s="31" t="n">
        <v>0</v>
      </c>
      <c r="V422" s="31" t="n">
        <v>0</v>
      </c>
      <c r="W422" s="31" t="n">
        <v>0</v>
      </c>
      <c r="X422" s="31" t="n">
        <v>0</v>
      </c>
      <c r="Y422" s="32" t="n">
        <f aca="false">SUM(N422:X422)</f>
        <v>8</v>
      </c>
      <c r="Z422" s="32" t="n">
        <f aca="false">Y422*(1+Assumptions!$C$5)</f>
        <v>9.2</v>
      </c>
      <c r="AA422" s="27" t="s">
        <v>298</v>
      </c>
      <c r="AB422" s="27" t="s">
        <v>95</v>
      </c>
      <c r="AC422" s="27"/>
      <c r="AD422" s="33" t="n">
        <v>0</v>
      </c>
      <c r="AF422" s="21" t="n">
        <f aca="false">IF($J422=0,0,MAX(0,NETWORKDAYS(MAX($K422,AF$4),MIN($L422,EOMONTH(AF$4,0)),Assumptions!$F$4:$F$44))/NETWORKDAYS($K422,$L422,Assumptions!$F$4:$F$44))</f>
        <v>0</v>
      </c>
      <c r="AG422" s="21" t="n">
        <f aca="false">IF($J422=0,0,MAX(0,NETWORKDAYS(MAX($K422,AG$4),MIN($L422,EOMONTH(AG$4,0)),Assumptions!$F$4:$F$44))/NETWORKDAYS($K422,$L422,Assumptions!$F$4:$F$44))</f>
        <v>0</v>
      </c>
      <c r="AH422" s="21" t="n">
        <f aca="false">IF($J422=0,0,MAX(0,NETWORKDAYS(MAX($K422,AH$4),MIN($L422,EOMONTH(AH$4,0)),Assumptions!$F$4:$F$44))/NETWORKDAYS($K422,$L422,Assumptions!$F$4:$F$44))</f>
        <v>0</v>
      </c>
      <c r="AI422" s="21" t="n">
        <f aca="false">IF($J422=0,0,MAX(0,NETWORKDAYS(MAX($K422,AI$4),MIN($L422,EOMONTH(AI$4,0)),Assumptions!$F$4:$F$44))/NETWORKDAYS($K422,$L422,Assumptions!$F$4:$F$44))</f>
        <v>0</v>
      </c>
      <c r="AJ422" s="21" t="n">
        <f aca="false">IF($J422=0,0,MAX(0,NETWORKDAYS(MAX($K422,AJ$4),MIN($L422,EOMONTH(AJ$4,0)),Assumptions!$F$4:$F$44))/NETWORKDAYS($K422,$L422,Assumptions!$F$4:$F$44))</f>
        <v>0</v>
      </c>
      <c r="AK422" s="21" t="n">
        <f aca="false">IF($J422=0,0,MAX(0,NETWORKDAYS(MAX($K422,AK$4),MIN($L422,EOMONTH(AK$4,0)),Assumptions!$F$4:$F$44))/NETWORKDAYS($K422,$L422,Assumptions!$F$4:$F$44))</f>
        <v>0</v>
      </c>
      <c r="AL422" s="21" t="n">
        <f aca="false">IF($J422=0,0,MAX(0,NETWORKDAYS(MAX($K422,AL$4),MIN($L422,EOMONTH(AL$4,0)),Assumptions!$F$4:$F$44))/NETWORKDAYS($K422,$L422,Assumptions!$F$4:$F$44))</f>
        <v>0</v>
      </c>
      <c r="AM422" s="21" t="n">
        <f aca="false">IF($J422=0,0,MAX(0,NETWORKDAYS(MAX($K422,AM$4),MIN($L422,EOMONTH(AM$4,0)),Assumptions!$F$4:$F$44))/NETWORKDAYS($K422,$L422,Assumptions!$F$4:$F$44))</f>
        <v>0</v>
      </c>
      <c r="AN422" s="21" t="n">
        <f aca="false">IF($J422=0,0,MAX(0,NETWORKDAYS(MAX($K422,AN$4),MIN($L422,EOMONTH(AN$4,0)),Assumptions!$F$4:$F$44))/NETWORKDAYS($K422,$L422,Assumptions!$F$4:$F$44))</f>
        <v>0</v>
      </c>
      <c r="AO422" s="21" t="n">
        <f aca="false">IF($J422=0,0,MAX(0,NETWORKDAYS(MAX($K422,AO$4),MIN($L422,EOMONTH(AO$4,0)),Assumptions!$F$4:$F$44))/NETWORKDAYS($K422,$L422,Assumptions!$F$4:$F$44))</f>
        <v>0</v>
      </c>
      <c r="AP422" s="21" t="n">
        <f aca="false">IF($J422=0,0,MAX(0,NETWORKDAYS(MAX($K422,AP$4),MIN($L422,EOMONTH(AP$4,0)),Assumptions!$F$4:$F$44))/NETWORKDAYS($K422,$L422,Assumptions!$F$4:$F$44))</f>
        <v>0</v>
      </c>
      <c r="AQ422" s="21" t="n">
        <f aca="false">IF($J422=0,0,MAX(0,NETWORKDAYS(MAX($K422,AQ$4),MIN($L422,EOMONTH(AQ$4,0)),Assumptions!$F$4:$F$44))/NETWORKDAYS($K422,$L422,Assumptions!$F$4:$F$44))</f>
        <v>0</v>
      </c>
      <c r="AR422" s="21" t="n">
        <f aca="false">IF($J422=0,0,MAX(0,NETWORKDAYS(MAX($K422,AR$4),MIN($L422,EOMONTH(AR$4,0)),Assumptions!$F$4:$F$44))/NETWORKDAYS($K422,$L422,Assumptions!$F$4:$F$44))</f>
        <v>0.4375</v>
      </c>
      <c r="AS422" s="21" t="n">
        <f aca="false">IF($J422=0,0,MAX(0,NETWORKDAYS(MAX($K422,AS$4),MIN($L422,EOMONTH(AS$4,0)),Assumptions!$F$4:$F$44))/NETWORKDAYS($K422,$L422,Assumptions!$F$4:$F$44))</f>
        <v>0.5625</v>
      </c>
      <c r="AT422" s="21" t="n">
        <f aca="false">IF($J422=0,0,MAX(0,NETWORKDAYS(MAX($K422,AT$4),MIN($L422,EOMONTH(AT$4,0)),Assumptions!$F$4:$F$44))/NETWORKDAYS($K422,$L422,Assumptions!$F$4:$F$44))</f>
        <v>0</v>
      </c>
      <c r="AU422" s="21" t="n">
        <f aca="false">IF($J422=0,0,MAX(0,NETWORKDAYS(MAX($K422,AU$4),MIN($L422,EOMONTH(AU$4,0)),Assumptions!$F$4:$F$44))/NETWORKDAYS($K422,$L422,Assumptions!$F$4:$F$44))</f>
        <v>0</v>
      </c>
      <c r="AV422" s="21" t="n">
        <f aca="false">IF($J422=0,0,MAX(0,NETWORKDAYS(MAX($K422,AV$4),MIN($L422,EOMONTH(AV$4,0)),Assumptions!$F$4:$F$44))/NETWORKDAYS($K422,$L422,Assumptions!$F$4:$F$44))</f>
        <v>0</v>
      </c>
      <c r="AW422" s="21" t="n">
        <f aca="false">IF($J422=0,0,MAX(0,NETWORKDAYS(MAX($K422,AW$4),MIN($L422,EOMONTH(AW$4,0)),Assumptions!$F$4:$F$44))/NETWORKDAYS($K422,$L422,Assumptions!$F$4:$F$44))</f>
        <v>0</v>
      </c>
      <c r="AX422" s="21" t="n">
        <f aca="false">IF($J422=0,0,MAX(0,NETWORKDAYS(MAX($K422,AX$4),MIN($L422,EOMONTH(AX$4,0)),Assumptions!$F$4:$F$44))/NETWORKDAYS($K422,$L422,Assumptions!$F$4:$F$44))</f>
        <v>0</v>
      </c>
      <c r="AY422" s="21" t="n">
        <f aca="false">IF($J422=0,0,MAX(0,NETWORKDAYS(MAX($K422,AY$4),MIN($L422,EOMONTH(AY$4,0)),Assumptions!$F$4:$F$44))/NETWORKDAYS($K422,$L422,Assumptions!$F$4:$F$44))</f>
        <v>0</v>
      </c>
      <c r="AZ422" s="21" t="n">
        <f aca="false">IF($J422=0,0,MAX(0,NETWORKDAYS(MAX($K422,AZ$4),MIN($L422,EOMONTH(AZ$4,0)),Assumptions!$F$4:$F$44))/NETWORKDAYS($K422,$L422,Assumptions!$F$4:$F$44))</f>
        <v>0</v>
      </c>
      <c r="BA422" s="21" t="n">
        <f aca="false">IF($J422=0,0,MAX(0,NETWORKDAYS(MAX($K422,BA$4),MIN($L422,EOMONTH(BA$4,0)),Assumptions!$F$4:$F$44))/NETWORKDAYS($K422,$L422,Assumptions!$F$4:$F$44))</f>
        <v>0</v>
      </c>
      <c r="BB422" s="21" t="n">
        <f aca="false">IF($J422=0,0,MAX(0,NETWORKDAYS(MAX($K422,BB$4),MIN($L422,EOMONTH(BB$4,0)),Assumptions!$F$4:$F$44))/NETWORKDAYS($K422,$L422,Assumptions!$F$4:$F$44))</f>
        <v>0</v>
      </c>
      <c r="BC422" s="21" t="n">
        <f aca="false">IF($J422=0,0,MAX(0,NETWORKDAYS(MAX($K422,BC$4),MIN($L422,EOMONTH(BC$4,0)),Assumptions!$F$4:$F$44))/NETWORKDAYS($K422,$L422,Assumptions!$F$4:$F$44))</f>
        <v>0</v>
      </c>
    </row>
    <row r="423" customFormat="false" ht="15" hidden="false" customHeight="false" outlineLevel="2" collapsed="false">
      <c r="A423" s="27" t="n">
        <v>419</v>
      </c>
      <c r="B423" s="27" t="s">
        <v>891</v>
      </c>
      <c r="C423" s="27" t="n">
        <v>3</v>
      </c>
      <c r="D423" s="27" t="s">
        <v>92</v>
      </c>
      <c r="E423" s="28" t="s">
        <v>300</v>
      </c>
      <c r="F423" s="27" t="s">
        <v>846</v>
      </c>
      <c r="G423" s="27" t="s">
        <v>886</v>
      </c>
      <c r="H423" s="27" t="s">
        <v>49</v>
      </c>
      <c r="I423" s="29" t="n">
        <v>275</v>
      </c>
      <c r="J423" s="29" t="n">
        <v>16</v>
      </c>
      <c r="K423" s="30" t="n">
        <f aca="false">WORKDAY(Assumptions!$C$4,I423,Assumptions!$F$4:$F$44)</f>
        <v>46713</v>
      </c>
      <c r="L423" s="30" t="n">
        <f aca="false">IF(J423=0,K423,WORKDAY(K423,J423-1,Assumptions!$F$4:$F$44))</f>
        <v>46734</v>
      </c>
      <c r="M423" s="29" t="s">
        <v>890</v>
      </c>
      <c r="N423" s="31" t="n">
        <v>0</v>
      </c>
      <c r="O423" s="31" t="n">
        <v>2</v>
      </c>
      <c r="P423" s="31" t="n">
        <v>0</v>
      </c>
      <c r="Q423" s="31" t="n">
        <v>0</v>
      </c>
      <c r="R423" s="31" t="n">
        <v>4</v>
      </c>
      <c r="S423" s="31" t="n">
        <v>0</v>
      </c>
      <c r="T423" s="31" t="n">
        <v>0</v>
      </c>
      <c r="U423" s="31" t="n">
        <v>0</v>
      </c>
      <c r="V423" s="31" t="n">
        <v>0</v>
      </c>
      <c r="W423" s="31" t="n">
        <v>0</v>
      </c>
      <c r="X423" s="31" t="n">
        <v>0</v>
      </c>
      <c r="Y423" s="32" t="n">
        <f aca="false">SUM(N423:X423)</f>
        <v>6</v>
      </c>
      <c r="Z423" s="32" t="n">
        <f aca="false">Y423*(1+Assumptions!$C$5)</f>
        <v>6.9</v>
      </c>
      <c r="AA423" s="27" t="s">
        <v>301</v>
      </c>
      <c r="AB423" s="27" t="s">
        <v>95</v>
      </c>
      <c r="AC423" s="27"/>
      <c r="AD423" s="33" t="n">
        <v>0</v>
      </c>
      <c r="AF423" s="21" t="n">
        <f aca="false">IF($J423=0,0,MAX(0,NETWORKDAYS(MAX($K423,AF$4),MIN($L423,EOMONTH(AF$4,0)),Assumptions!$F$4:$F$44))/NETWORKDAYS($K423,$L423,Assumptions!$F$4:$F$44))</f>
        <v>0</v>
      </c>
      <c r="AG423" s="21" t="n">
        <f aca="false">IF($J423=0,0,MAX(0,NETWORKDAYS(MAX($K423,AG$4),MIN($L423,EOMONTH(AG$4,0)),Assumptions!$F$4:$F$44))/NETWORKDAYS($K423,$L423,Assumptions!$F$4:$F$44))</f>
        <v>0</v>
      </c>
      <c r="AH423" s="21" t="n">
        <f aca="false">IF($J423=0,0,MAX(0,NETWORKDAYS(MAX($K423,AH$4),MIN($L423,EOMONTH(AH$4,0)),Assumptions!$F$4:$F$44))/NETWORKDAYS($K423,$L423,Assumptions!$F$4:$F$44))</f>
        <v>0</v>
      </c>
      <c r="AI423" s="21" t="n">
        <f aca="false">IF($J423=0,0,MAX(0,NETWORKDAYS(MAX($K423,AI$4),MIN($L423,EOMONTH(AI$4,0)),Assumptions!$F$4:$F$44))/NETWORKDAYS($K423,$L423,Assumptions!$F$4:$F$44))</f>
        <v>0</v>
      </c>
      <c r="AJ423" s="21" t="n">
        <f aca="false">IF($J423=0,0,MAX(0,NETWORKDAYS(MAX($K423,AJ$4),MIN($L423,EOMONTH(AJ$4,0)),Assumptions!$F$4:$F$44))/NETWORKDAYS($K423,$L423,Assumptions!$F$4:$F$44))</f>
        <v>0</v>
      </c>
      <c r="AK423" s="21" t="n">
        <f aca="false">IF($J423=0,0,MAX(0,NETWORKDAYS(MAX($K423,AK$4),MIN($L423,EOMONTH(AK$4,0)),Assumptions!$F$4:$F$44))/NETWORKDAYS($K423,$L423,Assumptions!$F$4:$F$44))</f>
        <v>0</v>
      </c>
      <c r="AL423" s="21" t="n">
        <f aca="false">IF($J423=0,0,MAX(0,NETWORKDAYS(MAX($K423,AL$4),MIN($L423,EOMONTH(AL$4,0)),Assumptions!$F$4:$F$44))/NETWORKDAYS($K423,$L423,Assumptions!$F$4:$F$44))</f>
        <v>0</v>
      </c>
      <c r="AM423" s="21" t="n">
        <f aca="false">IF($J423=0,0,MAX(0,NETWORKDAYS(MAX($K423,AM$4),MIN($L423,EOMONTH(AM$4,0)),Assumptions!$F$4:$F$44))/NETWORKDAYS($K423,$L423,Assumptions!$F$4:$F$44))</f>
        <v>0</v>
      </c>
      <c r="AN423" s="21" t="n">
        <f aca="false">IF($J423=0,0,MAX(0,NETWORKDAYS(MAX($K423,AN$4),MIN($L423,EOMONTH(AN$4,0)),Assumptions!$F$4:$F$44))/NETWORKDAYS($K423,$L423,Assumptions!$F$4:$F$44))</f>
        <v>0</v>
      </c>
      <c r="AO423" s="21" t="n">
        <f aca="false">IF($J423=0,0,MAX(0,NETWORKDAYS(MAX($K423,AO$4),MIN($L423,EOMONTH(AO$4,0)),Assumptions!$F$4:$F$44))/NETWORKDAYS($K423,$L423,Assumptions!$F$4:$F$44))</f>
        <v>0</v>
      </c>
      <c r="AP423" s="21" t="n">
        <f aca="false">IF($J423=0,0,MAX(0,NETWORKDAYS(MAX($K423,AP$4),MIN($L423,EOMONTH(AP$4,0)),Assumptions!$F$4:$F$44))/NETWORKDAYS($K423,$L423,Assumptions!$F$4:$F$44))</f>
        <v>0</v>
      </c>
      <c r="AQ423" s="21" t="n">
        <f aca="false">IF($J423=0,0,MAX(0,NETWORKDAYS(MAX($K423,AQ$4),MIN($L423,EOMONTH(AQ$4,0)),Assumptions!$F$4:$F$44))/NETWORKDAYS($K423,$L423,Assumptions!$F$4:$F$44))</f>
        <v>0</v>
      </c>
      <c r="AR423" s="21" t="n">
        <f aca="false">IF($J423=0,0,MAX(0,NETWORKDAYS(MAX($K423,AR$4),MIN($L423,EOMONTH(AR$4,0)),Assumptions!$F$4:$F$44))/NETWORKDAYS($K423,$L423,Assumptions!$F$4:$F$44))</f>
        <v>0.4375</v>
      </c>
      <c r="AS423" s="21" t="n">
        <f aca="false">IF($J423=0,0,MAX(0,NETWORKDAYS(MAX($K423,AS$4),MIN($L423,EOMONTH(AS$4,0)),Assumptions!$F$4:$F$44))/NETWORKDAYS($K423,$L423,Assumptions!$F$4:$F$44))</f>
        <v>0.5625</v>
      </c>
      <c r="AT423" s="21" t="n">
        <f aca="false">IF($J423=0,0,MAX(0,NETWORKDAYS(MAX($K423,AT$4),MIN($L423,EOMONTH(AT$4,0)),Assumptions!$F$4:$F$44))/NETWORKDAYS($K423,$L423,Assumptions!$F$4:$F$44))</f>
        <v>0</v>
      </c>
      <c r="AU423" s="21" t="n">
        <f aca="false">IF($J423=0,0,MAX(0,NETWORKDAYS(MAX($K423,AU$4),MIN($L423,EOMONTH(AU$4,0)),Assumptions!$F$4:$F$44))/NETWORKDAYS($K423,$L423,Assumptions!$F$4:$F$44))</f>
        <v>0</v>
      </c>
      <c r="AV423" s="21" t="n">
        <f aca="false">IF($J423=0,0,MAX(0,NETWORKDAYS(MAX($K423,AV$4),MIN($L423,EOMONTH(AV$4,0)),Assumptions!$F$4:$F$44))/NETWORKDAYS($K423,$L423,Assumptions!$F$4:$F$44))</f>
        <v>0</v>
      </c>
      <c r="AW423" s="21" t="n">
        <f aca="false">IF($J423=0,0,MAX(0,NETWORKDAYS(MAX($K423,AW$4),MIN($L423,EOMONTH(AW$4,0)),Assumptions!$F$4:$F$44))/NETWORKDAYS($K423,$L423,Assumptions!$F$4:$F$44))</f>
        <v>0</v>
      </c>
      <c r="AX423" s="21" t="n">
        <f aca="false">IF($J423=0,0,MAX(0,NETWORKDAYS(MAX($K423,AX$4),MIN($L423,EOMONTH(AX$4,0)),Assumptions!$F$4:$F$44))/NETWORKDAYS($K423,$L423,Assumptions!$F$4:$F$44))</f>
        <v>0</v>
      </c>
      <c r="AY423" s="21" t="n">
        <f aca="false">IF($J423=0,0,MAX(0,NETWORKDAYS(MAX($K423,AY$4),MIN($L423,EOMONTH(AY$4,0)),Assumptions!$F$4:$F$44))/NETWORKDAYS($K423,$L423,Assumptions!$F$4:$F$44))</f>
        <v>0</v>
      </c>
      <c r="AZ423" s="21" t="n">
        <f aca="false">IF($J423=0,0,MAX(0,NETWORKDAYS(MAX($K423,AZ$4),MIN($L423,EOMONTH(AZ$4,0)),Assumptions!$F$4:$F$44))/NETWORKDAYS($K423,$L423,Assumptions!$F$4:$F$44))</f>
        <v>0</v>
      </c>
      <c r="BA423" s="21" t="n">
        <f aca="false">IF($J423=0,0,MAX(0,NETWORKDAYS(MAX($K423,BA$4),MIN($L423,EOMONTH(BA$4,0)),Assumptions!$F$4:$F$44))/NETWORKDAYS($K423,$L423,Assumptions!$F$4:$F$44))</f>
        <v>0</v>
      </c>
      <c r="BB423" s="21" t="n">
        <f aca="false">IF($J423=0,0,MAX(0,NETWORKDAYS(MAX($K423,BB$4),MIN($L423,EOMONTH(BB$4,0)),Assumptions!$F$4:$F$44))/NETWORKDAYS($K423,$L423,Assumptions!$F$4:$F$44))</f>
        <v>0</v>
      </c>
      <c r="BC423" s="21" t="n">
        <f aca="false">IF($J423=0,0,MAX(0,NETWORKDAYS(MAX($K423,BC$4),MIN($L423,EOMONTH(BC$4,0)),Assumptions!$F$4:$F$44))/NETWORKDAYS($K423,$L423,Assumptions!$F$4:$F$44))</f>
        <v>0</v>
      </c>
    </row>
    <row r="424" customFormat="false" ht="15" hidden="false" customHeight="false" outlineLevel="2" collapsed="false">
      <c r="A424" s="27" t="n">
        <v>420</v>
      </c>
      <c r="B424" s="27" t="s">
        <v>892</v>
      </c>
      <c r="C424" s="27" t="n">
        <v>3</v>
      </c>
      <c r="D424" s="27" t="s">
        <v>92</v>
      </c>
      <c r="E424" s="28" t="s">
        <v>303</v>
      </c>
      <c r="F424" s="27" t="s">
        <v>846</v>
      </c>
      <c r="G424" s="27" t="s">
        <v>886</v>
      </c>
      <c r="H424" s="27" t="s">
        <v>47</v>
      </c>
      <c r="I424" s="29" t="n">
        <v>288</v>
      </c>
      <c r="J424" s="29" t="n">
        <v>55</v>
      </c>
      <c r="K424" s="30" t="n">
        <f aca="false">WORKDAY(Assumptions!$C$4,I424,Assumptions!$F$4:$F$44)</f>
        <v>46730</v>
      </c>
      <c r="L424" s="30" t="n">
        <f aca="false">IF(J424=0,K424,WORKDAY(K424,J424-1,Assumptions!$F$4:$F$44))</f>
        <v>46806</v>
      </c>
      <c r="M424" s="29" t="s">
        <v>893</v>
      </c>
      <c r="N424" s="31" t="n">
        <v>0</v>
      </c>
      <c r="O424" s="31" t="n">
        <v>0</v>
      </c>
      <c r="P424" s="31" t="n">
        <v>0</v>
      </c>
      <c r="Q424" s="31" t="n">
        <v>22</v>
      </c>
      <c r="R424" s="31" t="n">
        <v>0</v>
      </c>
      <c r="S424" s="31" t="n">
        <v>0</v>
      </c>
      <c r="T424" s="31" t="n">
        <v>0</v>
      </c>
      <c r="U424" s="31" t="n">
        <v>0</v>
      </c>
      <c r="V424" s="31" t="n">
        <v>0</v>
      </c>
      <c r="W424" s="31" t="n">
        <v>0</v>
      </c>
      <c r="X424" s="31" t="n">
        <v>0</v>
      </c>
      <c r="Y424" s="32" t="n">
        <f aca="false">SUM(N424:X424)</f>
        <v>22</v>
      </c>
      <c r="Z424" s="32" t="n">
        <f aca="false">Y424*(1+Assumptions!$C$5)</f>
        <v>25.3</v>
      </c>
      <c r="AA424" s="27" t="s">
        <v>305</v>
      </c>
      <c r="AB424" s="27" t="s">
        <v>95</v>
      </c>
      <c r="AC424" s="27"/>
      <c r="AD424" s="33" t="n">
        <v>0</v>
      </c>
      <c r="AF424" s="21" t="n">
        <f aca="false">IF($J424=0,0,MAX(0,NETWORKDAYS(MAX($K424,AF$4),MIN($L424,EOMONTH(AF$4,0)),Assumptions!$F$4:$F$44))/NETWORKDAYS($K424,$L424,Assumptions!$F$4:$F$44))</f>
        <v>0</v>
      </c>
      <c r="AG424" s="21" t="n">
        <f aca="false">IF($J424=0,0,MAX(0,NETWORKDAYS(MAX($K424,AG$4),MIN($L424,EOMONTH(AG$4,0)),Assumptions!$F$4:$F$44))/NETWORKDAYS($K424,$L424,Assumptions!$F$4:$F$44))</f>
        <v>0</v>
      </c>
      <c r="AH424" s="21" t="n">
        <f aca="false">IF($J424=0,0,MAX(0,NETWORKDAYS(MAX($K424,AH$4),MIN($L424,EOMONTH(AH$4,0)),Assumptions!$F$4:$F$44))/NETWORKDAYS($K424,$L424,Assumptions!$F$4:$F$44))</f>
        <v>0</v>
      </c>
      <c r="AI424" s="21" t="n">
        <f aca="false">IF($J424=0,0,MAX(0,NETWORKDAYS(MAX($K424,AI$4),MIN($L424,EOMONTH(AI$4,0)),Assumptions!$F$4:$F$44))/NETWORKDAYS($K424,$L424,Assumptions!$F$4:$F$44))</f>
        <v>0</v>
      </c>
      <c r="AJ424" s="21" t="n">
        <f aca="false">IF($J424=0,0,MAX(0,NETWORKDAYS(MAX($K424,AJ$4),MIN($L424,EOMONTH(AJ$4,0)),Assumptions!$F$4:$F$44))/NETWORKDAYS($K424,$L424,Assumptions!$F$4:$F$44))</f>
        <v>0</v>
      </c>
      <c r="AK424" s="21" t="n">
        <f aca="false">IF($J424=0,0,MAX(0,NETWORKDAYS(MAX($K424,AK$4),MIN($L424,EOMONTH(AK$4,0)),Assumptions!$F$4:$F$44))/NETWORKDAYS($K424,$L424,Assumptions!$F$4:$F$44))</f>
        <v>0</v>
      </c>
      <c r="AL424" s="21" t="n">
        <f aca="false">IF($J424=0,0,MAX(0,NETWORKDAYS(MAX($K424,AL$4),MIN($L424,EOMONTH(AL$4,0)),Assumptions!$F$4:$F$44))/NETWORKDAYS($K424,$L424,Assumptions!$F$4:$F$44))</f>
        <v>0</v>
      </c>
      <c r="AM424" s="21" t="n">
        <f aca="false">IF($J424=0,0,MAX(0,NETWORKDAYS(MAX($K424,AM$4),MIN($L424,EOMONTH(AM$4,0)),Assumptions!$F$4:$F$44))/NETWORKDAYS($K424,$L424,Assumptions!$F$4:$F$44))</f>
        <v>0</v>
      </c>
      <c r="AN424" s="21" t="n">
        <f aca="false">IF($J424=0,0,MAX(0,NETWORKDAYS(MAX($K424,AN$4),MIN($L424,EOMONTH(AN$4,0)),Assumptions!$F$4:$F$44))/NETWORKDAYS($K424,$L424,Assumptions!$F$4:$F$44))</f>
        <v>0</v>
      </c>
      <c r="AO424" s="21" t="n">
        <f aca="false">IF($J424=0,0,MAX(0,NETWORKDAYS(MAX($K424,AO$4),MIN($L424,EOMONTH(AO$4,0)),Assumptions!$F$4:$F$44))/NETWORKDAYS($K424,$L424,Assumptions!$F$4:$F$44))</f>
        <v>0</v>
      </c>
      <c r="AP424" s="21" t="n">
        <f aca="false">IF($J424=0,0,MAX(0,NETWORKDAYS(MAX($K424,AP$4),MIN($L424,EOMONTH(AP$4,0)),Assumptions!$F$4:$F$44))/NETWORKDAYS($K424,$L424,Assumptions!$F$4:$F$44))</f>
        <v>0</v>
      </c>
      <c r="AQ424" s="21" t="n">
        <f aca="false">IF($J424=0,0,MAX(0,NETWORKDAYS(MAX($K424,AQ$4),MIN($L424,EOMONTH(AQ$4,0)),Assumptions!$F$4:$F$44))/NETWORKDAYS($K424,$L424,Assumptions!$F$4:$F$44))</f>
        <v>0</v>
      </c>
      <c r="AR424" s="21" t="n">
        <f aca="false">IF($J424=0,0,MAX(0,NETWORKDAYS(MAX($K424,AR$4),MIN($L424,EOMONTH(AR$4,0)),Assumptions!$F$4:$F$44))/NETWORKDAYS($K424,$L424,Assumptions!$F$4:$F$44))</f>
        <v>0</v>
      </c>
      <c r="AS424" s="21" t="n">
        <f aca="false">IF($J424=0,0,MAX(0,NETWORKDAYS(MAX($K424,AS$4),MIN($L424,EOMONTH(AS$4,0)),Assumptions!$F$4:$F$44))/NETWORKDAYS($K424,$L424,Assumptions!$F$4:$F$44))</f>
        <v>0.309090909090909</v>
      </c>
      <c r="AT424" s="21" t="n">
        <f aca="false">IF($J424=0,0,MAX(0,NETWORKDAYS(MAX($K424,AT$4),MIN($L424,EOMONTH(AT$4,0)),Assumptions!$F$4:$F$44))/NETWORKDAYS($K424,$L424,Assumptions!$F$4:$F$44))</f>
        <v>0.381818181818182</v>
      </c>
      <c r="AU424" s="21" t="n">
        <f aca="false">IF($J424=0,0,MAX(0,NETWORKDAYS(MAX($K424,AU$4),MIN($L424,EOMONTH(AU$4,0)),Assumptions!$F$4:$F$44))/NETWORKDAYS($K424,$L424,Assumptions!$F$4:$F$44))</f>
        <v>0.309090909090909</v>
      </c>
      <c r="AV424" s="21" t="n">
        <f aca="false">IF($J424=0,0,MAX(0,NETWORKDAYS(MAX($K424,AV$4),MIN($L424,EOMONTH(AV$4,0)),Assumptions!$F$4:$F$44))/NETWORKDAYS($K424,$L424,Assumptions!$F$4:$F$44))</f>
        <v>0</v>
      </c>
      <c r="AW424" s="21" t="n">
        <f aca="false">IF($J424=0,0,MAX(0,NETWORKDAYS(MAX($K424,AW$4),MIN($L424,EOMONTH(AW$4,0)),Assumptions!$F$4:$F$44))/NETWORKDAYS($K424,$L424,Assumptions!$F$4:$F$44))</f>
        <v>0</v>
      </c>
      <c r="AX424" s="21" t="n">
        <f aca="false">IF($J424=0,0,MAX(0,NETWORKDAYS(MAX($K424,AX$4),MIN($L424,EOMONTH(AX$4,0)),Assumptions!$F$4:$F$44))/NETWORKDAYS($K424,$L424,Assumptions!$F$4:$F$44))</f>
        <v>0</v>
      </c>
      <c r="AY424" s="21" t="n">
        <f aca="false">IF($J424=0,0,MAX(0,NETWORKDAYS(MAX($K424,AY$4),MIN($L424,EOMONTH(AY$4,0)),Assumptions!$F$4:$F$44))/NETWORKDAYS($K424,$L424,Assumptions!$F$4:$F$44))</f>
        <v>0</v>
      </c>
      <c r="AZ424" s="21" t="n">
        <f aca="false">IF($J424=0,0,MAX(0,NETWORKDAYS(MAX($K424,AZ$4),MIN($L424,EOMONTH(AZ$4,0)),Assumptions!$F$4:$F$44))/NETWORKDAYS($K424,$L424,Assumptions!$F$4:$F$44))</f>
        <v>0</v>
      </c>
      <c r="BA424" s="21" t="n">
        <f aca="false">IF($J424=0,0,MAX(0,NETWORKDAYS(MAX($K424,BA$4),MIN($L424,EOMONTH(BA$4,0)),Assumptions!$F$4:$F$44))/NETWORKDAYS($K424,$L424,Assumptions!$F$4:$F$44))</f>
        <v>0</v>
      </c>
      <c r="BB424" s="21" t="n">
        <f aca="false">IF($J424=0,0,MAX(0,NETWORKDAYS(MAX($K424,BB$4),MIN($L424,EOMONTH(BB$4,0)),Assumptions!$F$4:$F$44))/NETWORKDAYS($K424,$L424,Assumptions!$F$4:$F$44))</f>
        <v>0</v>
      </c>
      <c r="BC424" s="21" t="n">
        <f aca="false">IF($J424=0,0,MAX(0,NETWORKDAYS(MAX($K424,BC$4),MIN($L424,EOMONTH(BC$4,0)),Assumptions!$F$4:$F$44))/NETWORKDAYS($K424,$L424,Assumptions!$F$4:$F$44))</f>
        <v>0</v>
      </c>
    </row>
    <row r="425" customFormat="false" ht="15" hidden="false" customHeight="false" outlineLevel="2" collapsed="false">
      <c r="A425" s="27" t="n">
        <v>421</v>
      </c>
      <c r="B425" s="27" t="s">
        <v>894</v>
      </c>
      <c r="C425" s="27" t="n">
        <v>3</v>
      </c>
      <c r="D425" s="27" t="s">
        <v>92</v>
      </c>
      <c r="E425" s="28" t="s">
        <v>307</v>
      </c>
      <c r="F425" s="27" t="s">
        <v>846</v>
      </c>
      <c r="G425" s="27" t="s">
        <v>886</v>
      </c>
      <c r="H425" s="27" t="s">
        <v>47</v>
      </c>
      <c r="I425" s="29" t="n">
        <v>304</v>
      </c>
      <c r="J425" s="29" t="n">
        <v>40</v>
      </c>
      <c r="K425" s="30" t="n">
        <f aca="false">WORKDAY(Assumptions!$C$4,I425,Assumptions!$F$4:$F$44)</f>
        <v>46752</v>
      </c>
      <c r="L425" s="30" t="n">
        <f aca="false">IF(J425=0,K425,WORKDAY(K425,J425-1,Assumptions!$F$4:$F$44))</f>
        <v>46807</v>
      </c>
      <c r="M425" s="29" t="s">
        <v>893</v>
      </c>
      <c r="N425" s="31" t="n">
        <v>0</v>
      </c>
      <c r="O425" s="31" t="n">
        <v>3</v>
      </c>
      <c r="P425" s="31" t="n">
        <v>0</v>
      </c>
      <c r="Q425" s="31" t="n">
        <v>8</v>
      </c>
      <c r="R425" s="31" t="n">
        <v>0</v>
      </c>
      <c r="S425" s="31" t="n">
        <v>0</v>
      </c>
      <c r="T425" s="31" t="n">
        <v>0</v>
      </c>
      <c r="U425" s="31" t="n">
        <v>0</v>
      </c>
      <c r="V425" s="31" t="n">
        <v>0</v>
      </c>
      <c r="W425" s="31" t="n">
        <v>0</v>
      </c>
      <c r="X425" s="31" t="n">
        <v>0</v>
      </c>
      <c r="Y425" s="32" t="n">
        <f aca="false">SUM(N425:X425)</f>
        <v>11</v>
      </c>
      <c r="Z425" s="32" t="n">
        <f aca="false">Y425*(1+Assumptions!$C$5)</f>
        <v>12.65</v>
      </c>
      <c r="AA425" s="27" t="s">
        <v>308</v>
      </c>
      <c r="AB425" s="27" t="s">
        <v>95</v>
      </c>
      <c r="AC425" s="27"/>
      <c r="AD425" s="33" t="n">
        <v>0</v>
      </c>
      <c r="AF425" s="21" t="n">
        <f aca="false">IF($J425=0,0,MAX(0,NETWORKDAYS(MAX($K425,AF$4),MIN($L425,EOMONTH(AF$4,0)),Assumptions!$F$4:$F$44))/NETWORKDAYS($K425,$L425,Assumptions!$F$4:$F$44))</f>
        <v>0</v>
      </c>
      <c r="AG425" s="21" t="n">
        <f aca="false">IF($J425=0,0,MAX(0,NETWORKDAYS(MAX($K425,AG$4),MIN($L425,EOMONTH(AG$4,0)),Assumptions!$F$4:$F$44))/NETWORKDAYS($K425,$L425,Assumptions!$F$4:$F$44))</f>
        <v>0</v>
      </c>
      <c r="AH425" s="21" t="n">
        <f aca="false">IF($J425=0,0,MAX(0,NETWORKDAYS(MAX($K425,AH$4),MIN($L425,EOMONTH(AH$4,0)),Assumptions!$F$4:$F$44))/NETWORKDAYS($K425,$L425,Assumptions!$F$4:$F$44))</f>
        <v>0</v>
      </c>
      <c r="AI425" s="21" t="n">
        <f aca="false">IF($J425=0,0,MAX(0,NETWORKDAYS(MAX($K425,AI$4),MIN($L425,EOMONTH(AI$4,0)),Assumptions!$F$4:$F$44))/NETWORKDAYS($K425,$L425,Assumptions!$F$4:$F$44))</f>
        <v>0</v>
      </c>
      <c r="AJ425" s="21" t="n">
        <f aca="false">IF($J425=0,0,MAX(0,NETWORKDAYS(MAX($K425,AJ$4),MIN($L425,EOMONTH(AJ$4,0)),Assumptions!$F$4:$F$44))/NETWORKDAYS($K425,$L425,Assumptions!$F$4:$F$44))</f>
        <v>0</v>
      </c>
      <c r="AK425" s="21" t="n">
        <f aca="false">IF($J425=0,0,MAX(0,NETWORKDAYS(MAX($K425,AK$4),MIN($L425,EOMONTH(AK$4,0)),Assumptions!$F$4:$F$44))/NETWORKDAYS($K425,$L425,Assumptions!$F$4:$F$44))</f>
        <v>0</v>
      </c>
      <c r="AL425" s="21" t="n">
        <f aca="false">IF($J425=0,0,MAX(0,NETWORKDAYS(MAX($K425,AL$4),MIN($L425,EOMONTH(AL$4,0)),Assumptions!$F$4:$F$44))/NETWORKDAYS($K425,$L425,Assumptions!$F$4:$F$44))</f>
        <v>0</v>
      </c>
      <c r="AM425" s="21" t="n">
        <f aca="false">IF($J425=0,0,MAX(0,NETWORKDAYS(MAX($K425,AM$4),MIN($L425,EOMONTH(AM$4,0)),Assumptions!$F$4:$F$44))/NETWORKDAYS($K425,$L425,Assumptions!$F$4:$F$44))</f>
        <v>0</v>
      </c>
      <c r="AN425" s="21" t="n">
        <f aca="false">IF($J425=0,0,MAX(0,NETWORKDAYS(MAX($K425,AN$4),MIN($L425,EOMONTH(AN$4,0)),Assumptions!$F$4:$F$44))/NETWORKDAYS($K425,$L425,Assumptions!$F$4:$F$44))</f>
        <v>0</v>
      </c>
      <c r="AO425" s="21" t="n">
        <f aca="false">IF($J425=0,0,MAX(0,NETWORKDAYS(MAX($K425,AO$4),MIN($L425,EOMONTH(AO$4,0)),Assumptions!$F$4:$F$44))/NETWORKDAYS($K425,$L425,Assumptions!$F$4:$F$44))</f>
        <v>0</v>
      </c>
      <c r="AP425" s="21" t="n">
        <f aca="false">IF($J425=0,0,MAX(0,NETWORKDAYS(MAX($K425,AP$4),MIN($L425,EOMONTH(AP$4,0)),Assumptions!$F$4:$F$44))/NETWORKDAYS($K425,$L425,Assumptions!$F$4:$F$44))</f>
        <v>0</v>
      </c>
      <c r="AQ425" s="21" t="n">
        <f aca="false">IF($J425=0,0,MAX(0,NETWORKDAYS(MAX($K425,AQ$4),MIN($L425,EOMONTH(AQ$4,0)),Assumptions!$F$4:$F$44))/NETWORKDAYS($K425,$L425,Assumptions!$F$4:$F$44))</f>
        <v>0</v>
      </c>
      <c r="AR425" s="21" t="n">
        <f aca="false">IF($J425=0,0,MAX(0,NETWORKDAYS(MAX($K425,AR$4),MIN($L425,EOMONTH(AR$4,0)),Assumptions!$F$4:$F$44))/NETWORKDAYS($K425,$L425,Assumptions!$F$4:$F$44))</f>
        <v>0</v>
      </c>
      <c r="AS425" s="21" t="n">
        <f aca="false">IF($J425=0,0,MAX(0,NETWORKDAYS(MAX($K425,AS$4),MIN($L425,EOMONTH(AS$4,0)),Assumptions!$F$4:$F$44))/NETWORKDAYS($K425,$L425,Assumptions!$F$4:$F$44))</f>
        <v>0.025</v>
      </c>
      <c r="AT425" s="21" t="n">
        <f aca="false">IF($J425=0,0,MAX(0,NETWORKDAYS(MAX($K425,AT$4),MIN($L425,EOMONTH(AT$4,0)),Assumptions!$F$4:$F$44))/NETWORKDAYS($K425,$L425,Assumptions!$F$4:$F$44))</f>
        <v>0.525</v>
      </c>
      <c r="AU425" s="21" t="n">
        <f aca="false">IF($J425=0,0,MAX(0,NETWORKDAYS(MAX($K425,AU$4),MIN($L425,EOMONTH(AU$4,0)),Assumptions!$F$4:$F$44))/NETWORKDAYS($K425,$L425,Assumptions!$F$4:$F$44))</f>
        <v>0.45</v>
      </c>
      <c r="AV425" s="21" t="n">
        <f aca="false">IF($J425=0,0,MAX(0,NETWORKDAYS(MAX($K425,AV$4),MIN($L425,EOMONTH(AV$4,0)),Assumptions!$F$4:$F$44))/NETWORKDAYS($K425,$L425,Assumptions!$F$4:$F$44))</f>
        <v>0</v>
      </c>
      <c r="AW425" s="21" t="n">
        <f aca="false">IF($J425=0,0,MAX(0,NETWORKDAYS(MAX($K425,AW$4),MIN($L425,EOMONTH(AW$4,0)),Assumptions!$F$4:$F$44))/NETWORKDAYS($K425,$L425,Assumptions!$F$4:$F$44))</f>
        <v>0</v>
      </c>
      <c r="AX425" s="21" t="n">
        <f aca="false">IF($J425=0,0,MAX(0,NETWORKDAYS(MAX($K425,AX$4),MIN($L425,EOMONTH(AX$4,0)),Assumptions!$F$4:$F$44))/NETWORKDAYS($K425,$L425,Assumptions!$F$4:$F$44))</f>
        <v>0</v>
      </c>
      <c r="AY425" s="21" t="n">
        <f aca="false">IF($J425=0,0,MAX(0,NETWORKDAYS(MAX($K425,AY$4),MIN($L425,EOMONTH(AY$4,0)),Assumptions!$F$4:$F$44))/NETWORKDAYS($K425,$L425,Assumptions!$F$4:$F$44))</f>
        <v>0</v>
      </c>
      <c r="AZ425" s="21" t="n">
        <f aca="false">IF($J425=0,0,MAX(0,NETWORKDAYS(MAX($K425,AZ$4),MIN($L425,EOMONTH(AZ$4,0)),Assumptions!$F$4:$F$44))/NETWORKDAYS($K425,$L425,Assumptions!$F$4:$F$44))</f>
        <v>0</v>
      </c>
      <c r="BA425" s="21" t="n">
        <f aca="false">IF($J425=0,0,MAX(0,NETWORKDAYS(MAX($K425,BA$4),MIN($L425,EOMONTH(BA$4,0)),Assumptions!$F$4:$F$44))/NETWORKDAYS($K425,$L425,Assumptions!$F$4:$F$44))</f>
        <v>0</v>
      </c>
      <c r="BB425" s="21" t="n">
        <f aca="false">IF($J425=0,0,MAX(0,NETWORKDAYS(MAX($K425,BB$4),MIN($L425,EOMONTH(BB$4,0)),Assumptions!$F$4:$F$44))/NETWORKDAYS($K425,$L425,Assumptions!$F$4:$F$44))</f>
        <v>0</v>
      </c>
      <c r="BC425" s="21" t="n">
        <f aca="false">IF($J425=0,0,MAX(0,NETWORKDAYS(MAX($K425,BC$4),MIN($L425,EOMONTH(BC$4,0)),Assumptions!$F$4:$F$44))/NETWORKDAYS($K425,$L425,Assumptions!$F$4:$F$44))</f>
        <v>0</v>
      </c>
    </row>
    <row r="426" customFormat="false" ht="15" hidden="false" customHeight="false" outlineLevel="2" collapsed="false">
      <c r="A426" s="27" t="n">
        <v>422</v>
      </c>
      <c r="B426" s="27" t="s">
        <v>895</v>
      </c>
      <c r="C426" s="27" t="n">
        <v>3</v>
      </c>
      <c r="D426" s="27" t="s">
        <v>92</v>
      </c>
      <c r="E426" s="28" t="s">
        <v>310</v>
      </c>
      <c r="F426" s="27" t="s">
        <v>846</v>
      </c>
      <c r="G426" s="27" t="s">
        <v>886</v>
      </c>
      <c r="H426" s="27" t="s">
        <v>49</v>
      </c>
      <c r="I426" s="29" t="n">
        <v>297</v>
      </c>
      <c r="J426" s="29" t="n">
        <v>53</v>
      </c>
      <c r="K426" s="30" t="n">
        <f aca="false">WORKDAY(Assumptions!$C$4,I426,Assumptions!$F$4:$F$44)</f>
        <v>46743</v>
      </c>
      <c r="L426" s="30" t="n">
        <f aca="false">IF(J426=0,K426,WORKDAY(K426,J426-1,Assumptions!$F$4:$F$44))</f>
        <v>46815</v>
      </c>
      <c r="M426" s="29" t="s">
        <v>896</v>
      </c>
      <c r="N426" s="31" t="n">
        <v>0</v>
      </c>
      <c r="O426" s="31" t="n">
        <v>0</v>
      </c>
      <c r="P426" s="31" t="n">
        <v>0</v>
      </c>
      <c r="Q426" s="31" t="n">
        <v>0</v>
      </c>
      <c r="R426" s="31" t="n">
        <v>19</v>
      </c>
      <c r="S426" s="31" t="n">
        <v>0</v>
      </c>
      <c r="T426" s="31" t="n">
        <v>0</v>
      </c>
      <c r="U426" s="31" t="n">
        <v>0</v>
      </c>
      <c r="V426" s="31" t="n">
        <v>0</v>
      </c>
      <c r="W426" s="31" t="n">
        <v>0</v>
      </c>
      <c r="X426" s="31" t="n">
        <v>0</v>
      </c>
      <c r="Y426" s="32" t="n">
        <f aca="false">SUM(N426:X426)</f>
        <v>19</v>
      </c>
      <c r="Z426" s="32" t="n">
        <f aca="false">Y426*(1+Assumptions!$C$5)</f>
        <v>21.85</v>
      </c>
      <c r="AA426" s="27" t="s">
        <v>312</v>
      </c>
      <c r="AB426" s="27" t="s">
        <v>95</v>
      </c>
      <c r="AC426" s="27"/>
      <c r="AD426" s="33" t="n">
        <v>0</v>
      </c>
      <c r="AF426" s="21" t="n">
        <f aca="false">IF($J426=0,0,MAX(0,NETWORKDAYS(MAX($K426,AF$4),MIN($L426,EOMONTH(AF$4,0)),Assumptions!$F$4:$F$44))/NETWORKDAYS($K426,$L426,Assumptions!$F$4:$F$44))</f>
        <v>0</v>
      </c>
      <c r="AG426" s="21" t="n">
        <f aca="false">IF($J426=0,0,MAX(0,NETWORKDAYS(MAX($K426,AG$4),MIN($L426,EOMONTH(AG$4,0)),Assumptions!$F$4:$F$44))/NETWORKDAYS($K426,$L426,Assumptions!$F$4:$F$44))</f>
        <v>0</v>
      </c>
      <c r="AH426" s="21" t="n">
        <f aca="false">IF($J426=0,0,MAX(0,NETWORKDAYS(MAX($K426,AH$4),MIN($L426,EOMONTH(AH$4,0)),Assumptions!$F$4:$F$44))/NETWORKDAYS($K426,$L426,Assumptions!$F$4:$F$44))</f>
        <v>0</v>
      </c>
      <c r="AI426" s="21" t="n">
        <f aca="false">IF($J426=0,0,MAX(0,NETWORKDAYS(MAX($K426,AI$4),MIN($L426,EOMONTH(AI$4,0)),Assumptions!$F$4:$F$44))/NETWORKDAYS($K426,$L426,Assumptions!$F$4:$F$44))</f>
        <v>0</v>
      </c>
      <c r="AJ426" s="21" t="n">
        <f aca="false">IF($J426=0,0,MAX(0,NETWORKDAYS(MAX($K426,AJ$4),MIN($L426,EOMONTH(AJ$4,0)),Assumptions!$F$4:$F$44))/NETWORKDAYS($K426,$L426,Assumptions!$F$4:$F$44))</f>
        <v>0</v>
      </c>
      <c r="AK426" s="21" t="n">
        <f aca="false">IF($J426=0,0,MAX(0,NETWORKDAYS(MAX($K426,AK$4),MIN($L426,EOMONTH(AK$4,0)),Assumptions!$F$4:$F$44))/NETWORKDAYS($K426,$L426,Assumptions!$F$4:$F$44))</f>
        <v>0</v>
      </c>
      <c r="AL426" s="21" t="n">
        <f aca="false">IF($J426=0,0,MAX(0,NETWORKDAYS(MAX($K426,AL$4),MIN($L426,EOMONTH(AL$4,0)),Assumptions!$F$4:$F$44))/NETWORKDAYS($K426,$L426,Assumptions!$F$4:$F$44))</f>
        <v>0</v>
      </c>
      <c r="AM426" s="21" t="n">
        <f aca="false">IF($J426=0,0,MAX(0,NETWORKDAYS(MAX($K426,AM$4),MIN($L426,EOMONTH(AM$4,0)),Assumptions!$F$4:$F$44))/NETWORKDAYS($K426,$L426,Assumptions!$F$4:$F$44))</f>
        <v>0</v>
      </c>
      <c r="AN426" s="21" t="n">
        <f aca="false">IF($J426=0,0,MAX(0,NETWORKDAYS(MAX($K426,AN$4),MIN($L426,EOMONTH(AN$4,0)),Assumptions!$F$4:$F$44))/NETWORKDAYS($K426,$L426,Assumptions!$F$4:$F$44))</f>
        <v>0</v>
      </c>
      <c r="AO426" s="21" t="n">
        <f aca="false">IF($J426=0,0,MAX(0,NETWORKDAYS(MAX($K426,AO$4),MIN($L426,EOMONTH(AO$4,0)),Assumptions!$F$4:$F$44))/NETWORKDAYS($K426,$L426,Assumptions!$F$4:$F$44))</f>
        <v>0</v>
      </c>
      <c r="AP426" s="21" t="n">
        <f aca="false">IF($J426=0,0,MAX(0,NETWORKDAYS(MAX($K426,AP$4),MIN($L426,EOMONTH(AP$4,0)),Assumptions!$F$4:$F$44))/NETWORKDAYS($K426,$L426,Assumptions!$F$4:$F$44))</f>
        <v>0</v>
      </c>
      <c r="AQ426" s="21" t="n">
        <f aca="false">IF($J426=0,0,MAX(0,NETWORKDAYS(MAX($K426,AQ$4),MIN($L426,EOMONTH(AQ$4,0)),Assumptions!$F$4:$F$44))/NETWORKDAYS($K426,$L426,Assumptions!$F$4:$F$44))</f>
        <v>0</v>
      </c>
      <c r="AR426" s="21" t="n">
        <f aca="false">IF($J426=0,0,MAX(0,NETWORKDAYS(MAX($K426,AR$4),MIN($L426,EOMONTH(AR$4,0)),Assumptions!$F$4:$F$44))/NETWORKDAYS($K426,$L426,Assumptions!$F$4:$F$44))</f>
        <v>0</v>
      </c>
      <c r="AS426" s="21" t="n">
        <f aca="false">IF($J426=0,0,MAX(0,NETWORKDAYS(MAX($K426,AS$4),MIN($L426,EOMONTH(AS$4,0)),Assumptions!$F$4:$F$44))/NETWORKDAYS($K426,$L426,Assumptions!$F$4:$F$44))</f>
        <v>0.150943396226415</v>
      </c>
      <c r="AT426" s="21" t="n">
        <f aca="false">IF($J426=0,0,MAX(0,NETWORKDAYS(MAX($K426,AT$4),MIN($L426,EOMONTH(AT$4,0)),Assumptions!$F$4:$F$44))/NETWORKDAYS($K426,$L426,Assumptions!$F$4:$F$44))</f>
        <v>0.39622641509434</v>
      </c>
      <c r="AU426" s="21" t="n">
        <f aca="false">IF($J426=0,0,MAX(0,NETWORKDAYS(MAX($K426,AU$4),MIN($L426,EOMONTH(AU$4,0)),Assumptions!$F$4:$F$44))/NETWORKDAYS($K426,$L426,Assumptions!$F$4:$F$44))</f>
        <v>0.39622641509434</v>
      </c>
      <c r="AV426" s="21" t="n">
        <f aca="false">IF($J426=0,0,MAX(0,NETWORKDAYS(MAX($K426,AV$4),MIN($L426,EOMONTH(AV$4,0)),Assumptions!$F$4:$F$44))/NETWORKDAYS($K426,$L426,Assumptions!$F$4:$F$44))</f>
        <v>0.0566037735849057</v>
      </c>
      <c r="AW426" s="21" t="n">
        <f aca="false">IF($J426=0,0,MAX(0,NETWORKDAYS(MAX($K426,AW$4),MIN($L426,EOMONTH(AW$4,0)),Assumptions!$F$4:$F$44))/NETWORKDAYS($K426,$L426,Assumptions!$F$4:$F$44))</f>
        <v>0</v>
      </c>
      <c r="AX426" s="21" t="n">
        <f aca="false">IF($J426=0,0,MAX(0,NETWORKDAYS(MAX($K426,AX$4),MIN($L426,EOMONTH(AX$4,0)),Assumptions!$F$4:$F$44))/NETWORKDAYS($K426,$L426,Assumptions!$F$4:$F$44))</f>
        <v>0</v>
      </c>
      <c r="AY426" s="21" t="n">
        <f aca="false">IF($J426=0,0,MAX(0,NETWORKDAYS(MAX($K426,AY$4),MIN($L426,EOMONTH(AY$4,0)),Assumptions!$F$4:$F$44))/NETWORKDAYS($K426,$L426,Assumptions!$F$4:$F$44))</f>
        <v>0</v>
      </c>
      <c r="AZ426" s="21" t="n">
        <f aca="false">IF($J426=0,0,MAX(0,NETWORKDAYS(MAX($K426,AZ$4),MIN($L426,EOMONTH(AZ$4,0)),Assumptions!$F$4:$F$44))/NETWORKDAYS($K426,$L426,Assumptions!$F$4:$F$44))</f>
        <v>0</v>
      </c>
      <c r="BA426" s="21" t="n">
        <f aca="false">IF($J426=0,0,MAX(0,NETWORKDAYS(MAX($K426,BA$4),MIN($L426,EOMONTH(BA$4,0)),Assumptions!$F$4:$F$44))/NETWORKDAYS($K426,$L426,Assumptions!$F$4:$F$44))</f>
        <v>0</v>
      </c>
      <c r="BB426" s="21" t="n">
        <f aca="false">IF($J426=0,0,MAX(0,NETWORKDAYS(MAX($K426,BB$4),MIN($L426,EOMONTH(BB$4,0)),Assumptions!$F$4:$F$44))/NETWORKDAYS($K426,$L426,Assumptions!$F$4:$F$44))</f>
        <v>0</v>
      </c>
      <c r="BC426" s="21" t="n">
        <f aca="false">IF($J426=0,0,MAX(0,NETWORKDAYS(MAX($K426,BC$4),MIN($L426,EOMONTH(BC$4,0)),Assumptions!$F$4:$F$44))/NETWORKDAYS($K426,$L426,Assumptions!$F$4:$F$44))</f>
        <v>0</v>
      </c>
    </row>
    <row r="427" customFormat="false" ht="15" hidden="false" customHeight="false" outlineLevel="2" collapsed="false">
      <c r="A427" s="27" t="n">
        <v>423</v>
      </c>
      <c r="B427" s="27" t="s">
        <v>897</v>
      </c>
      <c r="C427" s="27" t="n">
        <v>3</v>
      </c>
      <c r="D427" s="27" t="s">
        <v>92</v>
      </c>
      <c r="E427" s="28" t="s">
        <v>317</v>
      </c>
      <c r="F427" s="27" t="s">
        <v>846</v>
      </c>
      <c r="G427" s="27" t="s">
        <v>886</v>
      </c>
      <c r="H427" s="27" t="s">
        <v>51</v>
      </c>
      <c r="I427" s="29" t="n">
        <v>310</v>
      </c>
      <c r="J427" s="29" t="n">
        <v>40</v>
      </c>
      <c r="K427" s="30" t="n">
        <f aca="false">WORKDAY(Assumptions!$C$4,I427,Assumptions!$F$4:$F$44)</f>
        <v>46762</v>
      </c>
      <c r="L427" s="30" t="n">
        <f aca="false">IF(J427=0,K427,WORKDAY(K427,J427-1,Assumptions!$F$4:$F$44))</f>
        <v>46815</v>
      </c>
      <c r="M427" s="29" t="s">
        <v>896</v>
      </c>
      <c r="N427" s="31" t="n">
        <v>0</v>
      </c>
      <c r="O427" s="31" t="n">
        <v>0</v>
      </c>
      <c r="P427" s="31" t="n">
        <v>0</v>
      </c>
      <c r="Q427" s="31" t="n">
        <v>0</v>
      </c>
      <c r="R427" s="31" t="n">
        <v>0</v>
      </c>
      <c r="S427" s="31" t="n">
        <v>9</v>
      </c>
      <c r="T427" s="31" t="n">
        <v>0</v>
      </c>
      <c r="U427" s="31" t="n">
        <v>0</v>
      </c>
      <c r="V427" s="31" t="n">
        <v>0</v>
      </c>
      <c r="W427" s="31" t="n">
        <v>0</v>
      </c>
      <c r="X427" s="31" t="n">
        <v>0</v>
      </c>
      <c r="Y427" s="32" t="n">
        <f aca="false">SUM(N427:X427)</f>
        <v>9</v>
      </c>
      <c r="Z427" s="32" t="n">
        <f aca="false">Y427*(1+Assumptions!$C$5)</f>
        <v>10.35</v>
      </c>
      <c r="AA427" s="27" t="s">
        <v>318</v>
      </c>
      <c r="AB427" s="27" t="s">
        <v>95</v>
      </c>
      <c r="AC427" s="27"/>
      <c r="AD427" s="33" t="n">
        <v>0</v>
      </c>
      <c r="AF427" s="21" t="n">
        <f aca="false">IF($J427=0,0,MAX(0,NETWORKDAYS(MAX($K427,AF$4),MIN($L427,EOMONTH(AF$4,0)),Assumptions!$F$4:$F$44))/NETWORKDAYS($K427,$L427,Assumptions!$F$4:$F$44))</f>
        <v>0</v>
      </c>
      <c r="AG427" s="21" t="n">
        <f aca="false">IF($J427=0,0,MAX(0,NETWORKDAYS(MAX($K427,AG$4),MIN($L427,EOMONTH(AG$4,0)),Assumptions!$F$4:$F$44))/NETWORKDAYS($K427,$L427,Assumptions!$F$4:$F$44))</f>
        <v>0</v>
      </c>
      <c r="AH427" s="21" t="n">
        <f aca="false">IF($J427=0,0,MAX(0,NETWORKDAYS(MAX($K427,AH$4),MIN($L427,EOMONTH(AH$4,0)),Assumptions!$F$4:$F$44))/NETWORKDAYS($K427,$L427,Assumptions!$F$4:$F$44))</f>
        <v>0</v>
      </c>
      <c r="AI427" s="21" t="n">
        <f aca="false">IF($J427=0,0,MAX(0,NETWORKDAYS(MAX($K427,AI$4),MIN($L427,EOMONTH(AI$4,0)),Assumptions!$F$4:$F$44))/NETWORKDAYS($K427,$L427,Assumptions!$F$4:$F$44))</f>
        <v>0</v>
      </c>
      <c r="AJ427" s="21" t="n">
        <f aca="false">IF($J427=0,0,MAX(0,NETWORKDAYS(MAX($K427,AJ$4),MIN($L427,EOMONTH(AJ$4,0)),Assumptions!$F$4:$F$44))/NETWORKDAYS($K427,$L427,Assumptions!$F$4:$F$44))</f>
        <v>0</v>
      </c>
      <c r="AK427" s="21" t="n">
        <f aca="false">IF($J427=0,0,MAX(0,NETWORKDAYS(MAX($K427,AK$4),MIN($L427,EOMONTH(AK$4,0)),Assumptions!$F$4:$F$44))/NETWORKDAYS($K427,$L427,Assumptions!$F$4:$F$44))</f>
        <v>0</v>
      </c>
      <c r="AL427" s="21" t="n">
        <f aca="false">IF($J427=0,0,MAX(0,NETWORKDAYS(MAX($K427,AL$4),MIN($L427,EOMONTH(AL$4,0)),Assumptions!$F$4:$F$44))/NETWORKDAYS($K427,$L427,Assumptions!$F$4:$F$44))</f>
        <v>0</v>
      </c>
      <c r="AM427" s="21" t="n">
        <f aca="false">IF($J427=0,0,MAX(0,NETWORKDAYS(MAX($K427,AM$4),MIN($L427,EOMONTH(AM$4,0)),Assumptions!$F$4:$F$44))/NETWORKDAYS($K427,$L427,Assumptions!$F$4:$F$44))</f>
        <v>0</v>
      </c>
      <c r="AN427" s="21" t="n">
        <f aca="false">IF($J427=0,0,MAX(0,NETWORKDAYS(MAX($K427,AN$4),MIN($L427,EOMONTH(AN$4,0)),Assumptions!$F$4:$F$44))/NETWORKDAYS($K427,$L427,Assumptions!$F$4:$F$44))</f>
        <v>0</v>
      </c>
      <c r="AO427" s="21" t="n">
        <f aca="false">IF($J427=0,0,MAX(0,NETWORKDAYS(MAX($K427,AO$4),MIN($L427,EOMONTH(AO$4,0)),Assumptions!$F$4:$F$44))/NETWORKDAYS($K427,$L427,Assumptions!$F$4:$F$44))</f>
        <v>0</v>
      </c>
      <c r="AP427" s="21" t="n">
        <f aca="false">IF($J427=0,0,MAX(0,NETWORKDAYS(MAX($K427,AP$4),MIN($L427,EOMONTH(AP$4,0)),Assumptions!$F$4:$F$44))/NETWORKDAYS($K427,$L427,Assumptions!$F$4:$F$44))</f>
        <v>0</v>
      </c>
      <c r="AQ427" s="21" t="n">
        <f aca="false">IF($J427=0,0,MAX(0,NETWORKDAYS(MAX($K427,AQ$4),MIN($L427,EOMONTH(AQ$4,0)),Assumptions!$F$4:$F$44))/NETWORKDAYS($K427,$L427,Assumptions!$F$4:$F$44))</f>
        <v>0</v>
      </c>
      <c r="AR427" s="21" t="n">
        <f aca="false">IF($J427=0,0,MAX(0,NETWORKDAYS(MAX($K427,AR$4),MIN($L427,EOMONTH(AR$4,0)),Assumptions!$F$4:$F$44))/NETWORKDAYS($K427,$L427,Assumptions!$F$4:$F$44))</f>
        <v>0</v>
      </c>
      <c r="AS427" s="21" t="n">
        <f aca="false">IF($J427=0,0,MAX(0,NETWORKDAYS(MAX($K427,AS$4),MIN($L427,EOMONTH(AS$4,0)),Assumptions!$F$4:$F$44))/NETWORKDAYS($K427,$L427,Assumptions!$F$4:$F$44))</f>
        <v>0</v>
      </c>
      <c r="AT427" s="21" t="n">
        <f aca="false">IF($J427=0,0,MAX(0,NETWORKDAYS(MAX($K427,AT$4),MIN($L427,EOMONTH(AT$4,0)),Assumptions!$F$4:$F$44))/NETWORKDAYS($K427,$L427,Assumptions!$F$4:$F$44))</f>
        <v>0.4</v>
      </c>
      <c r="AU427" s="21" t="n">
        <f aca="false">IF($J427=0,0,MAX(0,NETWORKDAYS(MAX($K427,AU$4),MIN($L427,EOMONTH(AU$4,0)),Assumptions!$F$4:$F$44))/NETWORKDAYS($K427,$L427,Assumptions!$F$4:$F$44))</f>
        <v>0.525</v>
      </c>
      <c r="AV427" s="21" t="n">
        <f aca="false">IF($J427=0,0,MAX(0,NETWORKDAYS(MAX($K427,AV$4),MIN($L427,EOMONTH(AV$4,0)),Assumptions!$F$4:$F$44))/NETWORKDAYS($K427,$L427,Assumptions!$F$4:$F$44))</f>
        <v>0.075</v>
      </c>
      <c r="AW427" s="21" t="n">
        <f aca="false">IF($J427=0,0,MAX(0,NETWORKDAYS(MAX($K427,AW$4),MIN($L427,EOMONTH(AW$4,0)),Assumptions!$F$4:$F$44))/NETWORKDAYS($K427,$L427,Assumptions!$F$4:$F$44))</f>
        <v>0</v>
      </c>
      <c r="AX427" s="21" t="n">
        <f aca="false">IF($J427=0,0,MAX(0,NETWORKDAYS(MAX($K427,AX$4),MIN($L427,EOMONTH(AX$4,0)),Assumptions!$F$4:$F$44))/NETWORKDAYS($K427,$L427,Assumptions!$F$4:$F$44))</f>
        <v>0</v>
      </c>
      <c r="AY427" s="21" t="n">
        <f aca="false">IF($J427=0,0,MAX(0,NETWORKDAYS(MAX($K427,AY$4),MIN($L427,EOMONTH(AY$4,0)),Assumptions!$F$4:$F$44))/NETWORKDAYS($K427,$L427,Assumptions!$F$4:$F$44))</f>
        <v>0</v>
      </c>
      <c r="AZ427" s="21" t="n">
        <f aca="false">IF($J427=0,0,MAX(0,NETWORKDAYS(MAX($K427,AZ$4),MIN($L427,EOMONTH(AZ$4,0)),Assumptions!$F$4:$F$44))/NETWORKDAYS($K427,$L427,Assumptions!$F$4:$F$44))</f>
        <v>0</v>
      </c>
      <c r="BA427" s="21" t="n">
        <f aca="false">IF($J427=0,0,MAX(0,NETWORKDAYS(MAX($K427,BA$4),MIN($L427,EOMONTH(BA$4,0)),Assumptions!$F$4:$F$44))/NETWORKDAYS($K427,$L427,Assumptions!$F$4:$F$44))</f>
        <v>0</v>
      </c>
      <c r="BB427" s="21" t="n">
        <f aca="false">IF($J427=0,0,MAX(0,NETWORKDAYS(MAX($K427,BB$4),MIN($L427,EOMONTH(BB$4,0)),Assumptions!$F$4:$F$44))/NETWORKDAYS($K427,$L427,Assumptions!$F$4:$F$44))</f>
        <v>0</v>
      </c>
      <c r="BC427" s="21" t="n">
        <f aca="false">IF($J427=0,0,MAX(0,NETWORKDAYS(MAX($K427,BC$4),MIN($L427,EOMONTH(BC$4,0)),Assumptions!$F$4:$F$44))/NETWORKDAYS($K427,$L427,Assumptions!$F$4:$F$44))</f>
        <v>0</v>
      </c>
    </row>
    <row r="428" customFormat="false" ht="15" hidden="false" customHeight="false" outlineLevel="2" collapsed="false">
      <c r="A428" s="27" t="n">
        <v>424</v>
      </c>
      <c r="B428" s="27" t="s">
        <v>898</v>
      </c>
      <c r="C428" s="27" t="n">
        <v>3</v>
      </c>
      <c r="D428" s="27" t="s">
        <v>92</v>
      </c>
      <c r="E428" s="28" t="s">
        <v>320</v>
      </c>
      <c r="F428" s="27" t="s">
        <v>846</v>
      </c>
      <c r="G428" s="27" t="s">
        <v>886</v>
      </c>
      <c r="H428" s="27" t="s">
        <v>53</v>
      </c>
      <c r="I428" s="29" t="n">
        <v>297</v>
      </c>
      <c r="J428" s="29" t="n">
        <v>46</v>
      </c>
      <c r="K428" s="30" t="n">
        <f aca="false">WORKDAY(Assumptions!$C$4,I428,Assumptions!$F$4:$F$44)</f>
        <v>46743</v>
      </c>
      <c r="L428" s="30" t="n">
        <f aca="false">IF(J428=0,K428,WORKDAY(K428,J428-1,Assumptions!$F$4:$F$44))</f>
        <v>46806</v>
      </c>
      <c r="M428" s="29" t="s">
        <v>893</v>
      </c>
      <c r="N428" s="31" t="n">
        <v>0</v>
      </c>
      <c r="O428" s="31" t="n">
        <v>0</v>
      </c>
      <c r="P428" s="31" t="n">
        <v>0</v>
      </c>
      <c r="Q428" s="31" t="n">
        <v>0</v>
      </c>
      <c r="R428" s="31" t="n">
        <v>0</v>
      </c>
      <c r="S428" s="31" t="n">
        <v>0</v>
      </c>
      <c r="T428" s="31" t="n">
        <v>8</v>
      </c>
      <c r="U428" s="31" t="n">
        <v>0</v>
      </c>
      <c r="V428" s="31" t="n">
        <v>0</v>
      </c>
      <c r="W428" s="31" t="n">
        <v>0</v>
      </c>
      <c r="X428" s="31" t="n">
        <v>0</v>
      </c>
      <c r="Y428" s="32" t="n">
        <f aca="false">SUM(N428:X428)</f>
        <v>8</v>
      </c>
      <c r="Z428" s="32" t="n">
        <f aca="false">Y428*(1+Assumptions!$C$5)</f>
        <v>9.2</v>
      </c>
      <c r="AA428" s="27" t="s">
        <v>321</v>
      </c>
      <c r="AB428" s="27" t="s">
        <v>95</v>
      </c>
      <c r="AC428" s="27"/>
      <c r="AD428" s="33" t="n">
        <v>0</v>
      </c>
      <c r="AF428" s="21" t="n">
        <f aca="false">IF($J428=0,0,MAX(0,NETWORKDAYS(MAX($K428,AF$4),MIN($L428,EOMONTH(AF$4,0)),Assumptions!$F$4:$F$44))/NETWORKDAYS($K428,$L428,Assumptions!$F$4:$F$44))</f>
        <v>0</v>
      </c>
      <c r="AG428" s="21" t="n">
        <f aca="false">IF($J428=0,0,MAX(0,NETWORKDAYS(MAX($K428,AG$4),MIN($L428,EOMONTH(AG$4,0)),Assumptions!$F$4:$F$44))/NETWORKDAYS($K428,$L428,Assumptions!$F$4:$F$44))</f>
        <v>0</v>
      </c>
      <c r="AH428" s="21" t="n">
        <f aca="false">IF($J428=0,0,MAX(0,NETWORKDAYS(MAX($K428,AH$4),MIN($L428,EOMONTH(AH$4,0)),Assumptions!$F$4:$F$44))/NETWORKDAYS($K428,$L428,Assumptions!$F$4:$F$44))</f>
        <v>0</v>
      </c>
      <c r="AI428" s="21" t="n">
        <f aca="false">IF($J428=0,0,MAX(0,NETWORKDAYS(MAX($K428,AI$4),MIN($L428,EOMONTH(AI$4,0)),Assumptions!$F$4:$F$44))/NETWORKDAYS($K428,$L428,Assumptions!$F$4:$F$44))</f>
        <v>0</v>
      </c>
      <c r="AJ428" s="21" t="n">
        <f aca="false">IF($J428=0,0,MAX(0,NETWORKDAYS(MAX($K428,AJ$4),MIN($L428,EOMONTH(AJ$4,0)),Assumptions!$F$4:$F$44))/NETWORKDAYS($K428,$L428,Assumptions!$F$4:$F$44))</f>
        <v>0</v>
      </c>
      <c r="AK428" s="21" t="n">
        <f aca="false">IF($J428=0,0,MAX(0,NETWORKDAYS(MAX($K428,AK$4),MIN($L428,EOMONTH(AK$4,0)),Assumptions!$F$4:$F$44))/NETWORKDAYS($K428,$L428,Assumptions!$F$4:$F$44))</f>
        <v>0</v>
      </c>
      <c r="AL428" s="21" t="n">
        <f aca="false">IF($J428=0,0,MAX(0,NETWORKDAYS(MAX($K428,AL$4),MIN($L428,EOMONTH(AL$4,0)),Assumptions!$F$4:$F$44))/NETWORKDAYS($K428,$L428,Assumptions!$F$4:$F$44))</f>
        <v>0</v>
      </c>
      <c r="AM428" s="21" t="n">
        <f aca="false">IF($J428=0,0,MAX(0,NETWORKDAYS(MAX($K428,AM$4),MIN($L428,EOMONTH(AM$4,0)),Assumptions!$F$4:$F$44))/NETWORKDAYS($K428,$L428,Assumptions!$F$4:$F$44))</f>
        <v>0</v>
      </c>
      <c r="AN428" s="21" t="n">
        <f aca="false">IF($J428=0,0,MAX(0,NETWORKDAYS(MAX($K428,AN$4),MIN($L428,EOMONTH(AN$4,0)),Assumptions!$F$4:$F$44))/NETWORKDAYS($K428,$L428,Assumptions!$F$4:$F$44))</f>
        <v>0</v>
      </c>
      <c r="AO428" s="21" t="n">
        <f aca="false">IF($J428=0,0,MAX(0,NETWORKDAYS(MAX($K428,AO$4),MIN($L428,EOMONTH(AO$4,0)),Assumptions!$F$4:$F$44))/NETWORKDAYS($K428,$L428,Assumptions!$F$4:$F$44))</f>
        <v>0</v>
      </c>
      <c r="AP428" s="21" t="n">
        <f aca="false">IF($J428=0,0,MAX(0,NETWORKDAYS(MAX($K428,AP$4),MIN($L428,EOMONTH(AP$4,0)),Assumptions!$F$4:$F$44))/NETWORKDAYS($K428,$L428,Assumptions!$F$4:$F$44))</f>
        <v>0</v>
      </c>
      <c r="AQ428" s="21" t="n">
        <f aca="false">IF($J428=0,0,MAX(0,NETWORKDAYS(MAX($K428,AQ$4),MIN($L428,EOMONTH(AQ$4,0)),Assumptions!$F$4:$F$44))/NETWORKDAYS($K428,$L428,Assumptions!$F$4:$F$44))</f>
        <v>0</v>
      </c>
      <c r="AR428" s="21" t="n">
        <f aca="false">IF($J428=0,0,MAX(0,NETWORKDAYS(MAX($K428,AR$4),MIN($L428,EOMONTH(AR$4,0)),Assumptions!$F$4:$F$44))/NETWORKDAYS($K428,$L428,Assumptions!$F$4:$F$44))</f>
        <v>0</v>
      </c>
      <c r="AS428" s="21" t="n">
        <f aca="false">IF($J428=0,0,MAX(0,NETWORKDAYS(MAX($K428,AS$4),MIN($L428,EOMONTH(AS$4,0)),Assumptions!$F$4:$F$44))/NETWORKDAYS($K428,$L428,Assumptions!$F$4:$F$44))</f>
        <v>0.173913043478261</v>
      </c>
      <c r="AT428" s="21" t="n">
        <f aca="false">IF($J428=0,0,MAX(0,NETWORKDAYS(MAX($K428,AT$4),MIN($L428,EOMONTH(AT$4,0)),Assumptions!$F$4:$F$44))/NETWORKDAYS($K428,$L428,Assumptions!$F$4:$F$44))</f>
        <v>0.456521739130435</v>
      </c>
      <c r="AU428" s="21" t="n">
        <f aca="false">IF($J428=0,0,MAX(0,NETWORKDAYS(MAX($K428,AU$4),MIN($L428,EOMONTH(AU$4,0)),Assumptions!$F$4:$F$44))/NETWORKDAYS($K428,$L428,Assumptions!$F$4:$F$44))</f>
        <v>0.369565217391304</v>
      </c>
      <c r="AV428" s="21" t="n">
        <f aca="false">IF($J428=0,0,MAX(0,NETWORKDAYS(MAX($K428,AV$4),MIN($L428,EOMONTH(AV$4,0)),Assumptions!$F$4:$F$44))/NETWORKDAYS($K428,$L428,Assumptions!$F$4:$F$44))</f>
        <v>0</v>
      </c>
      <c r="AW428" s="21" t="n">
        <f aca="false">IF($J428=0,0,MAX(0,NETWORKDAYS(MAX($K428,AW$4),MIN($L428,EOMONTH(AW$4,0)),Assumptions!$F$4:$F$44))/NETWORKDAYS($K428,$L428,Assumptions!$F$4:$F$44))</f>
        <v>0</v>
      </c>
      <c r="AX428" s="21" t="n">
        <f aca="false">IF($J428=0,0,MAX(0,NETWORKDAYS(MAX($K428,AX$4),MIN($L428,EOMONTH(AX$4,0)),Assumptions!$F$4:$F$44))/NETWORKDAYS($K428,$L428,Assumptions!$F$4:$F$44))</f>
        <v>0</v>
      </c>
      <c r="AY428" s="21" t="n">
        <f aca="false">IF($J428=0,0,MAX(0,NETWORKDAYS(MAX($K428,AY$4),MIN($L428,EOMONTH(AY$4,0)),Assumptions!$F$4:$F$44))/NETWORKDAYS($K428,$L428,Assumptions!$F$4:$F$44))</f>
        <v>0</v>
      </c>
      <c r="AZ428" s="21" t="n">
        <f aca="false">IF($J428=0,0,MAX(0,NETWORKDAYS(MAX($K428,AZ$4),MIN($L428,EOMONTH(AZ$4,0)),Assumptions!$F$4:$F$44))/NETWORKDAYS($K428,$L428,Assumptions!$F$4:$F$44))</f>
        <v>0</v>
      </c>
      <c r="BA428" s="21" t="n">
        <f aca="false">IF($J428=0,0,MAX(0,NETWORKDAYS(MAX($K428,BA$4),MIN($L428,EOMONTH(BA$4,0)),Assumptions!$F$4:$F$44))/NETWORKDAYS($K428,$L428,Assumptions!$F$4:$F$44))</f>
        <v>0</v>
      </c>
      <c r="BB428" s="21" t="n">
        <f aca="false">IF($J428=0,0,MAX(0,NETWORKDAYS(MAX($K428,BB$4),MIN($L428,EOMONTH(BB$4,0)),Assumptions!$F$4:$F$44))/NETWORKDAYS($K428,$L428,Assumptions!$F$4:$F$44))</f>
        <v>0</v>
      </c>
      <c r="BC428" s="21" t="n">
        <f aca="false">IF($J428=0,0,MAX(0,NETWORKDAYS(MAX($K428,BC$4),MIN($L428,EOMONTH(BC$4,0)),Assumptions!$F$4:$F$44))/NETWORKDAYS($K428,$L428,Assumptions!$F$4:$F$44))</f>
        <v>0</v>
      </c>
    </row>
    <row r="429" customFormat="false" ht="15" hidden="false" customHeight="false" outlineLevel="2" collapsed="false">
      <c r="A429" s="27" t="n">
        <v>425</v>
      </c>
      <c r="B429" s="27" t="s">
        <v>899</v>
      </c>
      <c r="C429" s="27" t="n">
        <v>3</v>
      </c>
      <c r="D429" s="27" t="s">
        <v>92</v>
      </c>
      <c r="E429" s="28" t="s">
        <v>558</v>
      </c>
      <c r="F429" s="27" t="s">
        <v>846</v>
      </c>
      <c r="G429" s="27" t="s">
        <v>886</v>
      </c>
      <c r="H429" s="27" t="s">
        <v>47</v>
      </c>
      <c r="I429" s="29" t="n">
        <v>317</v>
      </c>
      <c r="J429" s="29" t="n">
        <v>37</v>
      </c>
      <c r="K429" s="30" t="n">
        <f aca="false">WORKDAY(Assumptions!$C$4,I429,Assumptions!$F$4:$F$44)</f>
        <v>46771</v>
      </c>
      <c r="L429" s="30" t="n">
        <f aca="false">IF(J429=0,K429,WORKDAY(K429,J429-1,Assumptions!$F$4:$F$44))</f>
        <v>46821</v>
      </c>
      <c r="M429" s="29" t="s">
        <v>900</v>
      </c>
      <c r="N429" s="31" t="n">
        <v>0</v>
      </c>
      <c r="O429" s="31" t="n">
        <v>0</v>
      </c>
      <c r="P429" s="31" t="n">
        <v>0</v>
      </c>
      <c r="Q429" s="31" t="n">
        <v>18</v>
      </c>
      <c r="R429" s="31" t="n">
        <v>0</v>
      </c>
      <c r="S429" s="31" t="n">
        <v>0</v>
      </c>
      <c r="T429" s="31" t="n">
        <v>0</v>
      </c>
      <c r="U429" s="31" t="n">
        <v>0</v>
      </c>
      <c r="V429" s="31" t="n">
        <v>0</v>
      </c>
      <c r="W429" s="31" t="n">
        <v>0</v>
      </c>
      <c r="X429" s="31" t="n">
        <v>0</v>
      </c>
      <c r="Y429" s="32" t="n">
        <f aca="false">SUM(N429:X429)</f>
        <v>18</v>
      </c>
      <c r="Z429" s="32" t="n">
        <f aca="false">Y429*(1+Assumptions!$C$5)</f>
        <v>20.7</v>
      </c>
      <c r="AA429" s="27" t="s">
        <v>325</v>
      </c>
      <c r="AB429" s="27" t="s">
        <v>95</v>
      </c>
      <c r="AC429" s="27"/>
      <c r="AD429" s="33" t="n">
        <v>0</v>
      </c>
      <c r="AF429" s="21" t="n">
        <f aca="false">IF($J429=0,0,MAX(0,NETWORKDAYS(MAX($K429,AF$4),MIN($L429,EOMONTH(AF$4,0)),Assumptions!$F$4:$F$44))/NETWORKDAYS($K429,$L429,Assumptions!$F$4:$F$44))</f>
        <v>0</v>
      </c>
      <c r="AG429" s="21" t="n">
        <f aca="false">IF($J429=0,0,MAX(0,NETWORKDAYS(MAX($K429,AG$4),MIN($L429,EOMONTH(AG$4,0)),Assumptions!$F$4:$F$44))/NETWORKDAYS($K429,$L429,Assumptions!$F$4:$F$44))</f>
        <v>0</v>
      </c>
      <c r="AH429" s="21" t="n">
        <f aca="false">IF($J429=0,0,MAX(0,NETWORKDAYS(MAX($K429,AH$4),MIN($L429,EOMONTH(AH$4,0)),Assumptions!$F$4:$F$44))/NETWORKDAYS($K429,$L429,Assumptions!$F$4:$F$44))</f>
        <v>0</v>
      </c>
      <c r="AI429" s="21" t="n">
        <f aca="false">IF($J429=0,0,MAX(0,NETWORKDAYS(MAX($K429,AI$4),MIN($L429,EOMONTH(AI$4,0)),Assumptions!$F$4:$F$44))/NETWORKDAYS($K429,$L429,Assumptions!$F$4:$F$44))</f>
        <v>0</v>
      </c>
      <c r="AJ429" s="21" t="n">
        <f aca="false">IF($J429=0,0,MAX(0,NETWORKDAYS(MAX($K429,AJ$4),MIN($L429,EOMONTH(AJ$4,0)),Assumptions!$F$4:$F$44))/NETWORKDAYS($K429,$L429,Assumptions!$F$4:$F$44))</f>
        <v>0</v>
      </c>
      <c r="AK429" s="21" t="n">
        <f aca="false">IF($J429=0,0,MAX(0,NETWORKDAYS(MAX($K429,AK$4),MIN($L429,EOMONTH(AK$4,0)),Assumptions!$F$4:$F$44))/NETWORKDAYS($K429,$L429,Assumptions!$F$4:$F$44))</f>
        <v>0</v>
      </c>
      <c r="AL429" s="21" t="n">
        <f aca="false">IF($J429=0,0,MAX(0,NETWORKDAYS(MAX($K429,AL$4),MIN($L429,EOMONTH(AL$4,0)),Assumptions!$F$4:$F$44))/NETWORKDAYS($K429,$L429,Assumptions!$F$4:$F$44))</f>
        <v>0</v>
      </c>
      <c r="AM429" s="21" t="n">
        <f aca="false">IF($J429=0,0,MAX(0,NETWORKDAYS(MAX($K429,AM$4),MIN($L429,EOMONTH(AM$4,0)),Assumptions!$F$4:$F$44))/NETWORKDAYS($K429,$L429,Assumptions!$F$4:$F$44))</f>
        <v>0</v>
      </c>
      <c r="AN429" s="21" t="n">
        <f aca="false">IF($J429=0,0,MAX(0,NETWORKDAYS(MAX($K429,AN$4),MIN($L429,EOMONTH(AN$4,0)),Assumptions!$F$4:$F$44))/NETWORKDAYS($K429,$L429,Assumptions!$F$4:$F$44))</f>
        <v>0</v>
      </c>
      <c r="AO429" s="21" t="n">
        <f aca="false">IF($J429=0,0,MAX(0,NETWORKDAYS(MAX($K429,AO$4),MIN($L429,EOMONTH(AO$4,0)),Assumptions!$F$4:$F$44))/NETWORKDAYS($K429,$L429,Assumptions!$F$4:$F$44))</f>
        <v>0</v>
      </c>
      <c r="AP429" s="21" t="n">
        <f aca="false">IF($J429=0,0,MAX(0,NETWORKDAYS(MAX($K429,AP$4),MIN($L429,EOMONTH(AP$4,0)),Assumptions!$F$4:$F$44))/NETWORKDAYS($K429,$L429,Assumptions!$F$4:$F$44))</f>
        <v>0</v>
      </c>
      <c r="AQ429" s="21" t="n">
        <f aca="false">IF($J429=0,0,MAX(0,NETWORKDAYS(MAX($K429,AQ$4),MIN($L429,EOMONTH(AQ$4,0)),Assumptions!$F$4:$F$44))/NETWORKDAYS($K429,$L429,Assumptions!$F$4:$F$44))</f>
        <v>0</v>
      </c>
      <c r="AR429" s="21" t="n">
        <f aca="false">IF($J429=0,0,MAX(0,NETWORKDAYS(MAX($K429,AR$4),MIN($L429,EOMONTH(AR$4,0)),Assumptions!$F$4:$F$44))/NETWORKDAYS($K429,$L429,Assumptions!$F$4:$F$44))</f>
        <v>0</v>
      </c>
      <c r="AS429" s="21" t="n">
        <f aca="false">IF($J429=0,0,MAX(0,NETWORKDAYS(MAX($K429,AS$4),MIN($L429,EOMONTH(AS$4,0)),Assumptions!$F$4:$F$44))/NETWORKDAYS($K429,$L429,Assumptions!$F$4:$F$44))</f>
        <v>0</v>
      </c>
      <c r="AT429" s="21" t="n">
        <f aca="false">IF($J429=0,0,MAX(0,NETWORKDAYS(MAX($K429,AT$4),MIN($L429,EOMONTH(AT$4,0)),Assumptions!$F$4:$F$44))/NETWORKDAYS($K429,$L429,Assumptions!$F$4:$F$44))</f>
        <v>0.243243243243243</v>
      </c>
      <c r="AU429" s="21" t="n">
        <f aca="false">IF($J429=0,0,MAX(0,NETWORKDAYS(MAX($K429,AU$4),MIN($L429,EOMONTH(AU$4,0)),Assumptions!$F$4:$F$44))/NETWORKDAYS($K429,$L429,Assumptions!$F$4:$F$44))</f>
        <v>0.567567567567568</v>
      </c>
      <c r="AV429" s="21" t="n">
        <f aca="false">IF($J429=0,0,MAX(0,NETWORKDAYS(MAX($K429,AV$4),MIN($L429,EOMONTH(AV$4,0)),Assumptions!$F$4:$F$44))/NETWORKDAYS($K429,$L429,Assumptions!$F$4:$F$44))</f>
        <v>0.189189189189189</v>
      </c>
      <c r="AW429" s="21" t="n">
        <f aca="false">IF($J429=0,0,MAX(0,NETWORKDAYS(MAX($K429,AW$4),MIN($L429,EOMONTH(AW$4,0)),Assumptions!$F$4:$F$44))/NETWORKDAYS($K429,$L429,Assumptions!$F$4:$F$44))</f>
        <v>0</v>
      </c>
      <c r="AX429" s="21" t="n">
        <f aca="false">IF($J429=0,0,MAX(0,NETWORKDAYS(MAX($K429,AX$4),MIN($L429,EOMONTH(AX$4,0)),Assumptions!$F$4:$F$44))/NETWORKDAYS($K429,$L429,Assumptions!$F$4:$F$44))</f>
        <v>0</v>
      </c>
      <c r="AY429" s="21" t="n">
        <f aca="false">IF($J429=0,0,MAX(0,NETWORKDAYS(MAX($K429,AY$4),MIN($L429,EOMONTH(AY$4,0)),Assumptions!$F$4:$F$44))/NETWORKDAYS($K429,$L429,Assumptions!$F$4:$F$44))</f>
        <v>0</v>
      </c>
      <c r="AZ429" s="21" t="n">
        <f aca="false">IF($J429=0,0,MAX(0,NETWORKDAYS(MAX($K429,AZ$4),MIN($L429,EOMONTH(AZ$4,0)),Assumptions!$F$4:$F$44))/NETWORKDAYS($K429,$L429,Assumptions!$F$4:$F$44))</f>
        <v>0</v>
      </c>
      <c r="BA429" s="21" t="n">
        <f aca="false">IF($J429=0,0,MAX(0,NETWORKDAYS(MAX($K429,BA$4),MIN($L429,EOMONTH(BA$4,0)),Assumptions!$F$4:$F$44))/NETWORKDAYS($K429,$L429,Assumptions!$F$4:$F$44))</f>
        <v>0</v>
      </c>
      <c r="BB429" s="21" t="n">
        <f aca="false">IF($J429=0,0,MAX(0,NETWORKDAYS(MAX($K429,BB$4),MIN($L429,EOMONTH(BB$4,0)),Assumptions!$F$4:$F$44))/NETWORKDAYS($K429,$L429,Assumptions!$F$4:$F$44))</f>
        <v>0</v>
      </c>
      <c r="BC429" s="21" t="n">
        <f aca="false">IF($J429=0,0,MAX(0,NETWORKDAYS(MAX($K429,BC$4),MIN($L429,EOMONTH(BC$4,0)),Assumptions!$F$4:$F$44))/NETWORKDAYS($K429,$L429,Assumptions!$F$4:$F$44))</f>
        <v>0</v>
      </c>
    </row>
    <row r="430" customFormat="false" ht="15" hidden="false" customHeight="false" outlineLevel="2" collapsed="false">
      <c r="A430" s="27" t="n">
        <v>426</v>
      </c>
      <c r="B430" s="27" t="s">
        <v>901</v>
      </c>
      <c r="C430" s="27" t="n">
        <v>3</v>
      </c>
      <c r="D430" s="27" t="s">
        <v>92</v>
      </c>
      <c r="E430" s="28" t="s">
        <v>330</v>
      </c>
      <c r="F430" s="27" t="s">
        <v>846</v>
      </c>
      <c r="G430" s="27" t="s">
        <v>886</v>
      </c>
      <c r="H430" s="27" t="s">
        <v>47</v>
      </c>
      <c r="I430" s="29" t="n">
        <v>330</v>
      </c>
      <c r="J430" s="29" t="n">
        <v>26</v>
      </c>
      <c r="K430" s="30" t="n">
        <f aca="false">WORKDAY(Assumptions!$C$4,I430,Assumptions!$F$4:$F$44)</f>
        <v>46790</v>
      </c>
      <c r="L430" s="30" t="n">
        <f aca="false">IF(J430=0,K430,WORKDAY(K430,J430-1,Assumptions!$F$4:$F$44))</f>
        <v>46825</v>
      </c>
      <c r="M430" s="29" t="s">
        <v>900</v>
      </c>
      <c r="N430" s="31" t="n">
        <v>0</v>
      </c>
      <c r="O430" s="31" t="n">
        <v>2</v>
      </c>
      <c r="P430" s="31" t="n">
        <v>0</v>
      </c>
      <c r="Q430" s="31" t="n">
        <v>3</v>
      </c>
      <c r="R430" s="31" t="n">
        <v>3</v>
      </c>
      <c r="S430" s="31" t="n">
        <v>0</v>
      </c>
      <c r="T430" s="31" t="n">
        <v>0</v>
      </c>
      <c r="U430" s="31" t="n">
        <v>0</v>
      </c>
      <c r="V430" s="31" t="n">
        <v>0</v>
      </c>
      <c r="W430" s="31" t="n">
        <v>0</v>
      </c>
      <c r="X430" s="31" t="n">
        <v>0</v>
      </c>
      <c r="Y430" s="32" t="n">
        <f aca="false">SUM(N430:X430)</f>
        <v>8</v>
      </c>
      <c r="Z430" s="32" t="n">
        <f aca="false">Y430*(1+Assumptions!$C$5)</f>
        <v>9.2</v>
      </c>
      <c r="AA430" s="27" t="s">
        <v>331</v>
      </c>
      <c r="AB430" s="27" t="s">
        <v>95</v>
      </c>
      <c r="AC430" s="27"/>
      <c r="AD430" s="33" t="n">
        <v>0</v>
      </c>
      <c r="AF430" s="21" t="n">
        <f aca="false">IF($J430=0,0,MAX(0,NETWORKDAYS(MAX($K430,AF$4),MIN($L430,EOMONTH(AF$4,0)),Assumptions!$F$4:$F$44))/NETWORKDAYS($K430,$L430,Assumptions!$F$4:$F$44))</f>
        <v>0</v>
      </c>
      <c r="AG430" s="21" t="n">
        <f aca="false">IF($J430=0,0,MAX(0,NETWORKDAYS(MAX($K430,AG$4),MIN($L430,EOMONTH(AG$4,0)),Assumptions!$F$4:$F$44))/NETWORKDAYS($K430,$L430,Assumptions!$F$4:$F$44))</f>
        <v>0</v>
      </c>
      <c r="AH430" s="21" t="n">
        <f aca="false">IF($J430=0,0,MAX(0,NETWORKDAYS(MAX($K430,AH$4),MIN($L430,EOMONTH(AH$4,0)),Assumptions!$F$4:$F$44))/NETWORKDAYS($K430,$L430,Assumptions!$F$4:$F$44))</f>
        <v>0</v>
      </c>
      <c r="AI430" s="21" t="n">
        <f aca="false">IF($J430=0,0,MAX(0,NETWORKDAYS(MAX($K430,AI$4),MIN($L430,EOMONTH(AI$4,0)),Assumptions!$F$4:$F$44))/NETWORKDAYS($K430,$L430,Assumptions!$F$4:$F$44))</f>
        <v>0</v>
      </c>
      <c r="AJ430" s="21" t="n">
        <f aca="false">IF($J430=0,0,MAX(0,NETWORKDAYS(MAX($K430,AJ$4),MIN($L430,EOMONTH(AJ$4,0)),Assumptions!$F$4:$F$44))/NETWORKDAYS($K430,$L430,Assumptions!$F$4:$F$44))</f>
        <v>0</v>
      </c>
      <c r="AK430" s="21" t="n">
        <f aca="false">IF($J430=0,0,MAX(0,NETWORKDAYS(MAX($K430,AK$4),MIN($L430,EOMONTH(AK$4,0)),Assumptions!$F$4:$F$44))/NETWORKDAYS($K430,$L430,Assumptions!$F$4:$F$44))</f>
        <v>0</v>
      </c>
      <c r="AL430" s="21" t="n">
        <f aca="false">IF($J430=0,0,MAX(0,NETWORKDAYS(MAX($K430,AL$4),MIN($L430,EOMONTH(AL$4,0)),Assumptions!$F$4:$F$44))/NETWORKDAYS($K430,$L430,Assumptions!$F$4:$F$44))</f>
        <v>0</v>
      </c>
      <c r="AM430" s="21" t="n">
        <f aca="false">IF($J430=0,0,MAX(0,NETWORKDAYS(MAX($K430,AM$4),MIN($L430,EOMONTH(AM$4,0)),Assumptions!$F$4:$F$44))/NETWORKDAYS($K430,$L430,Assumptions!$F$4:$F$44))</f>
        <v>0</v>
      </c>
      <c r="AN430" s="21" t="n">
        <f aca="false">IF($J430=0,0,MAX(0,NETWORKDAYS(MAX($K430,AN$4),MIN($L430,EOMONTH(AN$4,0)),Assumptions!$F$4:$F$44))/NETWORKDAYS($K430,$L430,Assumptions!$F$4:$F$44))</f>
        <v>0</v>
      </c>
      <c r="AO430" s="21" t="n">
        <f aca="false">IF($J430=0,0,MAX(0,NETWORKDAYS(MAX($K430,AO$4),MIN($L430,EOMONTH(AO$4,0)),Assumptions!$F$4:$F$44))/NETWORKDAYS($K430,$L430,Assumptions!$F$4:$F$44))</f>
        <v>0</v>
      </c>
      <c r="AP430" s="21" t="n">
        <f aca="false">IF($J430=0,0,MAX(0,NETWORKDAYS(MAX($K430,AP$4),MIN($L430,EOMONTH(AP$4,0)),Assumptions!$F$4:$F$44))/NETWORKDAYS($K430,$L430,Assumptions!$F$4:$F$44))</f>
        <v>0</v>
      </c>
      <c r="AQ430" s="21" t="n">
        <f aca="false">IF($J430=0,0,MAX(0,NETWORKDAYS(MAX($K430,AQ$4),MIN($L430,EOMONTH(AQ$4,0)),Assumptions!$F$4:$F$44))/NETWORKDAYS($K430,$L430,Assumptions!$F$4:$F$44))</f>
        <v>0</v>
      </c>
      <c r="AR430" s="21" t="n">
        <f aca="false">IF($J430=0,0,MAX(0,NETWORKDAYS(MAX($K430,AR$4),MIN($L430,EOMONTH(AR$4,0)),Assumptions!$F$4:$F$44))/NETWORKDAYS($K430,$L430,Assumptions!$F$4:$F$44))</f>
        <v>0</v>
      </c>
      <c r="AS430" s="21" t="n">
        <f aca="false">IF($J430=0,0,MAX(0,NETWORKDAYS(MAX($K430,AS$4),MIN($L430,EOMONTH(AS$4,0)),Assumptions!$F$4:$F$44))/NETWORKDAYS($K430,$L430,Assumptions!$F$4:$F$44))</f>
        <v>0</v>
      </c>
      <c r="AT430" s="21" t="n">
        <f aca="false">IF($J430=0,0,MAX(0,NETWORKDAYS(MAX($K430,AT$4),MIN($L430,EOMONTH(AT$4,0)),Assumptions!$F$4:$F$44))/NETWORKDAYS($K430,$L430,Assumptions!$F$4:$F$44))</f>
        <v>0</v>
      </c>
      <c r="AU430" s="21" t="n">
        <f aca="false">IF($J430=0,0,MAX(0,NETWORKDAYS(MAX($K430,AU$4),MIN($L430,EOMONTH(AU$4,0)),Assumptions!$F$4:$F$44))/NETWORKDAYS($K430,$L430,Assumptions!$F$4:$F$44))</f>
        <v>0.653846153846154</v>
      </c>
      <c r="AV430" s="21" t="n">
        <f aca="false">IF($J430=0,0,MAX(0,NETWORKDAYS(MAX($K430,AV$4),MIN($L430,EOMONTH(AV$4,0)),Assumptions!$F$4:$F$44))/NETWORKDAYS($K430,$L430,Assumptions!$F$4:$F$44))</f>
        <v>0.346153846153846</v>
      </c>
      <c r="AW430" s="21" t="n">
        <f aca="false">IF($J430=0,0,MAX(0,NETWORKDAYS(MAX($K430,AW$4),MIN($L430,EOMONTH(AW$4,0)),Assumptions!$F$4:$F$44))/NETWORKDAYS($K430,$L430,Assumptions!$F$4:$F$44))</f>
        <v>0</v>
      </c>
      <c r="AX430" s="21" t="n">
        <f aca="false">IF($J430=0,0,MAX(0,NETWORKDAYS(MAX($K430,AX$4),MIN($L430,EOMONTH(AX$4,0)),Assumptions!$F$4:$F$44))/NETWORKDAYS($K430,$L430,Assumptions!$F$4:$F$44))</f>
        <v>0</v>
      </c>
      <c r="AY430" s="21" t="n">
        <f aca="false">IF($J430=0,0,MAX(0,NETWORKDAYS(MAX($K430,AY$4),MIN($L430,EOMONTH(AY$4,0)),Assumptions!$F$4:$F$44))/NETWORKDAYS($K430,$L430,Assumptions!$F$4:$F$44))</f>
        <v>0</v>
      </c>
      <c r="AZ430" s="21" t="n">
        <f aca="false">IF($J430=0,0,MAX(0,NETWORKDAYS(MAX($K430,AZ$4),MIN($L430,EOMONTH(AZ$4,0)),Assumptions!$F$4:$F$44))/NETWORKDAYS($K430,$L430,Assumptions!$F$4:$F$44))</f>
        <v>0</v>
      </c>
      <c r="BA430" s="21" t="n">
        <f aca="false">IF($J430=0,0,MAX(0,NETWORKDAYS(MAX($K430,BA$4),MIN($L430,EOMONTH(BA$4,0)),Assumptions!$F$4:$F$44))/NETWORKDAYS($K430,$L430,Assumptions!$F$4:$F$44))</f>
        <v>0</v>
      </c>
      <c r="BB430" s="21" t="n">
        <f aca="false">IF($J430=0,0,MAX(0,NETWORKDAYS(MAX($K430,BB$4),MIN($L430,EOMONTH(BB$4,0)),Assumptions!$F$4:$F$44))/NETWORKDAYS($K430,$L430,Assumptions!$F$4:$F$44))</f>
        <v>0</v>
      </c>
      <c r="BC430" s="21" t="n">
        <f aca="false">IF($J430=0,0,MAX(0,NETWORKDAYS(MAX($K430,BC$4),MIN($L430,EOMONTH(BC$4,0)),Assumptions!$F$4:$F$44))/NETWORKDAYS($K430,$L430,Assumptions!$F$4:$F$44))</f>
        <v>0</v>
      </c>
    </row>
    <row r="431" customFormat="false" ht="15" hidden="false" customHeight="false" outlineLevel="2" collapsed="false">
      <c r="A431" s="27" t="n">
        <v>427</v>
      </c>
      <c r="B431" s="27" t="s">
        <v>902</v>
      </c>
      <c r="C431" s="27" t="n">
        <v>3</v>
      </c>
      <c r="D431" s="27" t="s">
        <v>92</v>
      </c>
      <c r="E431" s="28" t="s">
        <v>903</v>
      </c>
      <c r="F431" s="27" t="s">
        <v>846</v>
      </c>
      <c r="G431" s="27" t="s">
        <v>886</v>
      </c>
      <c r="H431" s="27" t="s">
        <v>59</v>
      </c>
      <c r="I431" s="29" t="n">
        <v>304</v>
      </c>
      <c r="J431" s="29" t="n">
        <v>59</v>
      </c>
      <c r="K431" s="30" t="n">
        <f aca="false">WORKDAY(Assumptions!$C$4,I431,Assumptions!$F$4:$F$44)</f>
        <v>46752</v>
      </c>
      <c r="L431" s="30" t="n">
        <f aca="false">IF(J431=0,K431,WORKDAY(K431,J431-1,Assumptions!$F$4:$F$44))</f>
        <v>46834</v>
      </c>
      <c r="M431" s="29" t="s">
        <v>893</v>
      </c>
      <c r="N431" s="31" t="n">
        <v>0</v>
      </c>
      <c r="O431" s="31" t="n">
        <v>2</v>
      </c>
      <c r="P431" s="31" t="n">
        <v>0</v>
      </c>
      <c r="Q431" s="31" t="n">
        <v>0</v>
      </c>
      <c r="R431" s="31" t="n">
        <v>0</v>
      </c>
      <c r="S431" s="31" t="n">
        <v>0</v>
      </c>
      <c r="T431" s="31" t="n">
        <v>0</v>
      </c>
      <c r="U431" s="31" t="n">
        <v>0</v>
      </c>
      <c r="V431" s="31" t="n">
        <v>0</v>
      </c>
      <c r="W431" s="31" t="n">
        <v>9</v>
      </c>
      <c r="X431" s="31" t="n">
        <v>0</v>
      </c>
      <c r="Y431" s="32" t="n">
        <f aca="false">SUM(N431:X431)</f>
        <v>11</v>
      </c>
      <c r="Z431" s="32" t="n">
        <f aca="false">Y431*(1+Assumptions!$C$5)</f>
        <v>12.65</v>
      </c>
      <c r="AA431" s="27" t="s">
        <v>334</v>
      </c>
      <c r="AB431" s="27" t="s">
        <v>95</v>
      </c>
      <c r="AC431" s="27"/>
      <c r="AD431" s="33" t="n">
        <v>0</v>
      </c>
      <c r="AF431" s="21" t="n">
        <f aca="false">IF($J431=0,0,MAX(0,NETWORKDAYS(MAX($K431,AF$4),MIN($L431,EOMONTH(AF$4,0)),Assumptions!$F$4:$F$44))/NETWORKDAYS($K431,$L431,Assumptions!$F$4:$F$44))</f>
        <v>0</v>
      </c>
      <c r="AG431" s="21" t="n">
        <f aca="false">IF($J431=0,0,MAX(0,NETWORKDAYS(MAX($K431,AG$4),MIN($L431,EOMONTH(AG$4,0)),Assumptions!$F$4:$F$44))/NETWORKDAYS($K431,$L431,Assumptions!$F$4:$F$44))</f>
        <v>0</v>
      </c>
      <c r="AH431" s="21" t="n">
        <f aca="false">IF($J431=0,0,MAX(0,NETWORKDAYS(MAX($K431,AH$4),MIN($L431,EOMONTH(AH$4,0)),Assumptions!$F$4:$F$44))/NETWORKDAYS($K431,$L431,Assumptions!$F$4:$F$44))</f>
        <v>0</v>
      </c>
      <c r="AI431" s="21" t="n">
        <f aca="false">IF($J431=0,0,MAX(0,NETWORKDAYS(MAX($K431,AI$4),MIN($L431,EOMONTH(AI$4,0)),Assumptions!$F$4:$F$44))/NETWORKDAYS($K431,$L431,Assumptions!$F$4:$F$44))</f>
        <v>0</v>
      </c>
      <c r="AJ431" s="21" t="n">
        <f aca="false">IF($J431=0,0,MAX(0,NETWORKDAYS(MAX($K431,AJ$4),MIN($L431,EOMONTH(AJ$4,0)),Assumptions!$F$4:$F$44))/NETWORKDAYS($K431,$L431,Assumptions!$F$4:$F$44))</f>
        <v>0</v>
      </c>
      <c r="AK431" s="21" t="n">
        <f aca="false">IF($J431=0,0,MAX(0,NETWORKDAYS(MAX($K431,AK$4),MIN($L431,EOMONTH(AK$4,0)),Assumptions!$F$4:$F$44))/NETWORKDAYS($K431,$L431,Assumptions!$F$4:$F$44))</f>
        <v>0</v>
      </c>
      <c r="AL431" s="21" t="n">
        <f aca="false">IF($J431=0,0,MAX(0,NETWORKDAYS(MAX($K431,AL$4),MIN($L431,EOMONTH(AL$4,0)),Assumptions!$F$4:$F$44))/NETWORKDAYS($K431,$L431,Assumptions!$F$4:$F$44))</f>
        <v>0</v>
      </c>
      <c r="AM431" s="21" t="n">
        <f aca="false">IF($J431=0,0,MAX(0,NETWORKDAYS(MAX($K431,AM$4),MIN($L431,EOMONTH(AM$4,0)),Assumptions!$F$4:$F$44))/NETWORKDAYS($K431,$L431,Assumptions!$F$4:$F$44))</f>
        <v>0</v>
      </c>
      <c r="AN431" s="21" t="n">
        <f aca="false">IF($J431=0,0,MAX(0,NETWORKDAYS(MAX($K431,AN$4),MIN($L431,EOMONTH(AN$4,0)),Assumptions!$F$4:$F$44))/NETWORKDAYS($K431,$L431,Assumptions!$F$4:$F$44))</f>
        <v>0</v>
      </c>
      <c r="AO431" s="21" t="n">
        <f aca="false">IF($J431=0,0,MAX(0,NETWORKDAYS(MAX($K431,AO$4),MIN($L431,EOMONTH(AO$4,0)),Assumptions!$F$4:$F$44))/NETWORKDAYS($K431,$L431,Assumptions!$F$4:$F$44))</f>
        <v>0</v>
      </c>
      <c r="AP431" s="21" t="n">
        <f aca="false">IF($J431=0,0,MAX(0,NETWORKDAYS(MAX($K431,AP$4),MIN($L431,EOMONTH(AP$4,0)),Assumptions!$F$4:$F$44))/NETWORKDAYS($K431,$L431,Assumptions!$F$4:$F$44))</f>
        <v>0</v>
      </c>
      <c r="AQ431" s="21" t="n">
        <f aca="false">IF($J431=0,0,MAX(0,NETWORKDAYS(MAX($K431,AQ$4),MIN($L431,EOMONTH(AQ$4,0)),Assumptions!$F$4:$F$44))/NETWORKDAYS($K431,$L431,Assumptions!$F$4:$F$44))</f>
        <v>0</v>
      </c>
      <c r="AR431" s="21" t="n">
        <f aca="false">IF($J431=0,0,MAX(0,NETWORKDAYS(MAX($K431,AR$4),MIN($L431,EOMONTH(AR$4,0)),Assumptions!$F$4:$F$44))/NETWORKDAYS($K431,$L431,Assumptions!$F$4:$F$44))</f>
        <v>0</v>
      </c>
      <c r="AS431" s="21" t="n">
        <f aca="false">IF($J431=0,0,MAX(0,NETWORKDAYS(MAX($K431,AS$4),MIN($L431,EOMONTH(AS$4,0)),Assumptions!$F$4:$F$44))/NETWORKDAYS($K431,$L431,Assumptions!$F$4:$F$44))</f>
        <v>0.0169491525423729</v>
      </c>
      <c r="AT431" s="21" t="n">
        <f aca="false">IF($J431=0,0,MAX(0,NETWORKDAYS(MAX($K431,AT$4),MIN($L431,EOMONTH(AT$4,0)),Assumptions!$F$4:$F$44))/NETWORKDAYS($K431,$L431,Assumptions!$F$4:$F$44))</f>
        <v>0.355932203389831</v>
      </c>
      <c r="AU431" s="21" t="n">
        <f aca="false">IF($J431=0,0,MAX(0,NETWORKDAYS(MAX($K431,AU$4),MIN($L431,EOMONTH(AU$4,0)),Assumptions!$F$4:$F$44))/NETWORKDAYS($K431,$L431,Assumptions!$F$4:$F$44))</f>
        <v>0.355932203389831</v>
      </c>
      <c r="AV431" s="21" t="n">
        <f aca="false">IF($J431=0,0,MAX(0,NETWORKDAYS(MAX($K431,AV$4),MIN($L431,EOMONTH(AV$4,0)),Assumptions!$F$4:$F$44))/NETWORKDAYS($K431,$L431,Assumptions!$F$4:$F$44))</f>
        <v>0.271186440677966</v>
      </c>
      <c r="AW431" s="21" t="n">
        <f aca="false">IF($J431=0,0,MAX(0,NETWORKDAYS(MAX($K431,AW$4),MIN($L431,EOMONTH(AW$4,0)),Assumptions!$F$4:$F$44))/NETWORKDAYS($K431,$L431,Assumptions!$F$4:$F$44))</f>
        <v>0</v>
      </c>
      <c r="AX431" s="21" t="n">
        <f aca="false">IF($J431=0,0,MAX(0,NETWORKDAYS(MAX($K431,AX$4),MIN($L431,EOMONTH(AX$4,0)),Assumptions!$F$4:$F$44))/NETWORKDAYS($K431,$L431,Assumptions!$F$4:$F$44))</f>
        <v>0</v>
      </c>
      <c r="AY431" s="21" t="n">
        <f aca="false">IF($J431=0,0,MAX(0,NETWORKDAYS(MAX($K431,AY$4),MIN($L431,EOMONTH(AY$4,0)),Assumptions!$F$4:$F$44))/NETWORKDAYS($K431,$L431,Assumptions!$F$4:$F$44))</f>
        <v>0</v>
      </c>
      <c r="AZ431" s="21" t="n">
        <f aca="false">IF($J431=0,0,MAX(0,NETWORKDAYS(MAX($K431,AZ$4),MIN($L431,EOMONTH(AZ$4,0)),Assumptions!$F$4:$F$44))/NETWORKDAYS($K431,$L431,Assumptions!$F$4:$F$44))</f>
        <v>0</v>
      </c>
      <c r="BA431" s="21" t="n">
        <f aca="false">IF($J431=0,0,MAX(0,NETWORKDAYS(MAX($K431,BA$4),MIN($L431,EOMONTH(BA$4,0)),Assumptions!$F$4:$F$44))/NETWORKDAYS($K431,$L431,Assumptions!$F$4:$F$44))</f>
        <v>0</v>
      </c>
      <c r="BB431" s="21" t="n">
        <f aca="false">IF($J431=0,0,MAX(0,NETWORKDAYS(MAX($K431,BB$4),MIN($L431,EOMONTH(BB$4,0)),Assumptions!$F$4:$F$44))/NETWORKDAYS($K431,$L431,Assumptions!$F$4:$F$44))</f>
        <v>0</v>
      </c>
      <c r="BC431" s="21" t="n">
        <f aca="false">IF($J431=0,0,MAX(0,NETWORKDAYS(MAX($K431,BC$4),MIN($L431,EOMONTH(BC$4,0)),Assumptions!$F$4:$F$44))/NETWORKDAYS($K431,$L431,Assumptions!$F$4:$F$44))</f>
        <v>0</v>
      </c>
    </row>
    <row r="432" customFormat="false" ht="15" hidden="false" customHeight="false" outlineLevel="2" collapsed="false">
      <c r="A432" s="27" t="n">
        <v>428</v>
      </c>
      <c r="B432" s="27" t="s">
        <v>904</v>
      </c>
      <c r="C432" s="27" t="n">
        <v>3</v>
      </c>
      <c r="D432" s="27" t="s">
        <v>92</v>
      </c>
      <c r="E432" s="28" t="s">
        <v>336</v>
      </c>
      <c r="F432" s="27" t="s">
        <v>846</v>
      </c>
      <c r="G432" s="27" t="s">
        <v>886</v>
      </c>
      <c r="H432" s="27" t="s">
        <v>57</v>
      </c>
      <c r="I432" s="29" t="n">
        <v>346</v>
      </c>
      <c r="J432" s="29" t="n">
        <v>21</v>
      </c>
      <c r="K432" s="30" t="n">
        <f aca="false">WORKDAY(Assumptions!$C$4,I432,Assumptions!$F$4:$F$44)</f>
        <v>46812</v>
      </c>
      <c r="L432" s="30" t="n">
        <f aca="false">IF(J432=0,K432,WORKDAY(K432,J432-1,Assumptions!$F$4:$F$44))</f>
        <v>46840</v>
      </c>
      <c r="M432" s="29" t="s">
        <v>905</v>
      </c>
      <c r="N432" s="31" t="n">
        <v>0</v>
      </c>
      <c r="O432" s="31" t="n">
        <v>0</v>
      </c>
      <c r="P432" s="31" t="n">
        <v>0</v>
      </c>
      <c r="Q432" s="31" t="n">
        <v>0</v>
      </c>
      <c r="R432" s="31" t="n">
        <v>0</v>
      </c>
      <c r="S432" s="31" t="n">
        <v>0</v>
      </c>
      <c r="T432" s="31" t="n">
        <v>0</v>
      </c>
      <c r="U432" s="31" t="n">
        <v>0</v>
      </c>
      <c r="V432" s="31" t="n">
        <v>15</v>
      </c>
      <c r="W432" s="31" t="n">
        <v>0</v>
      </c>
      <c r="X432" s="31" t="n">
        <v>0</v>
      </c>
      <c r="Y432" s="32" t="n">
        <f aca="false">SUM(N432:X432)</f>
        <v>15</v>
      </c>
      <c r="Z432" s="32" t="n">
        <f aca="false">Y432*(1+Assumptions!$C$5)</f>
        <v>17.25</v>
      </c>
      <c r="AA432" s="27" t="s">
        <v>338</v>
      </c>
      <c r="AB432" s="27" t="s">
        <v>95</v>
      </c>
      <c r="AC432" s="27"/>
      <c r="AD432" s="33" t="n">
        <v>0</v>
      </c>
      <c r="AF432" s="21" t="n">
        <f aca="false">IF($J432=0,0,MAX(0,NETWORKDAYS(MAX($K432,AF$4),MIN($L432,EOMONTH(AF$4,0)),Assumptions!$F$4:$F$44))/NETWORKDAYS($K432,$L432,Assumptions!$F$4:$F$44))</f>
        <v>0</v>
      </c>
      <c r="AG432" s="21" t="n">
        <f aca="false">IF($J432=0,0,MAX(0,NETWORKDAYS(MAX($K432,AG$4),MIN($L432,EOMONTH(AG$4,0)),Assumptions!$F$4:$F$44))/NETWORKDAYS($K432,$L432,Assumptions!$F$4:$F$44))</f>
        <v>0</v>
      </c>
      <c r="AH432" s="21" t="n">
        <f aca="false">IF($J432=0,0,MAX(0,NETWORKDAYS(MAX($K432,AH$4),MIN($L432,EOMONTH(AH$4,0)),Assumptions!$F$4:$F$44))/NETWORKDAYS($K432,$L432,Assumptions!$F$4:$F$44))</f>
        <v>0</v>
      </c>
      <c r="AI432" s="21" t="n">
        <f aca="false">IF($J432=0,0,MAX(0,NETWORKDAYS(MAX($K432,AI$4),MIN($L432,EOMONTH(AI$4,0)),Assumptions!$F$4:$F$44))/NETWORKDAYS($K432,$L432,Assumptions!$F$4:$F$44))</f>
        <v>0</v>
      </c>
      <c r="AJ432" s="21" t="n">
        <f aca="false">IF($J432=0,0,MAX(0,NETWORKDAYS(MAX($K432,AJ$4),MIN($L432,EOMONTH(AJ$4,0)),Assumptions!$F$4:$F$44))/NETWORKDAYS($K432,$L432,Assumptions!$F$4:$F$44))</f>
        <v>0</v>
      </c>
      <c r="AK432" s="21" t="n">
        <f aca="false">IF($J432=0,0,MAX(0,NETWORKDAYS(MAX($K432,AK$4),MIN($L432,EOMONTH(AK$4,0)),Assumptions!$F$4:$F$44))/NETWORKDAYS($K432,$L432,Assumptions!$F$4:$F$44))</f>
        <v>0</v>
      </c>
      <c r="AL432" s="21" t="n">
        <f aca="false">IF($J432=0,0,MAX(0,NETWORKDAYS(MAX($K432,AL$4),MIN($L432,EOMONTH(AL$4,0)),Assumptions!$F$4:$F$44))/NETWORKDAYS($K432,$L432,Assumptions!$F$4:$F$44))</f>
        <v>0</v>
      </c>
      <c r="AM432" s="21" t="n">
        <f aca="false">IF($J432=0,0,MAX(0,NETWORKDAYS(MAX($K432,AM$4),MIN($L432,EOMONTH(AM$4,0)),Assumptions!$F$4:$F$44))/NETWORKDAYS($K432,$L432,Assumptions!$F$4:$F$44))</f>
        <v>0</v>
      </c>
      <c r="AN432" s="21" t="n">
        <f aca="false">IF($J432=0,0,MAX(0,NETWORKDAYS(MAX($K432,AN$4),MIN($L432,EOMONTH(AN$4,0)),Assumptions!$F$4:$F$44))/NETWORKDAYS($K432,$L432,Assumptions!$F$4:$F$44))</f>
        <v>0</v>
      </c>
      <c r="AO432" s="21" t="n">
        <f aca="false">IF($J432=0,0,MAX(0,NETWORKDAYS(MAX($K432,AO$4),MIN($L432,EOMONTH(AO$4,0)),Assumptions!$F$4:$F$44))/NETWORKDAYS($K432,$L432,Assumptions!$F$4:$F$44))</f>
        <v>0</v>
      </c>
      <c r="AP432" s="21" t="n">
        <f aca="false">IF($J432=0,0,MAX(0,NETWORKDAYS(MAX($K432,AP$4),MIN($L432,EOMONTH(AP$4,0)),Assumptions!$F$4:$F$44))/NETWORKDAYS($K432,$L432,Assumptions!$F$4:$F$44))</f>
        <v>0</v>
      </c>
      <c r="AQ432" s="21" t="n">
        <f aca="false">IF($J432=0,0,MAX(0,NETWORKDAYS(MAX($K432,AQ$4),MIN($L432,EOMONTH(AQ$4,0)),Assumptions!$F$4:$F$44))/NETWORKDAYS($K432,$L432,Assumptions!$F$4:$F$44))</f>
        <v>0</v>
      </c>
      <c r="AR432" s="21" t="n">
        <f aca="false">IF($J432=0,0,MAX(0,NETWORKDAYS(MAX($K432,AR$4),MIN($L432,EOMONTH(AR$4,0)),Assumptions!$F$4:$F$44))/NETWORKDAYS($K432,$L432,Assumptions!$F$4:$F$44))</f>
        <v>0</v>
      </c>
      <c r="AS432" s="21" t="n">
        <f aca="false">IF($J432=0,0,MAX(0,NETWORKDAYS(MAX($K432,AS$4),MIN($L432,EOMONTH(AS$4,0)),Assumptions!$F$4:$F$44))/NETWORKDAYS($K432,$L432,Assumptions!$F$4:$F$44))</f>
        <v>0</v>
      </c>
      <c r="AT432" s="21" t="n">
        <f aca="false">IF($J432=0,0,MAX(0,NETWORKDAYS(MAX($K432,AT$4),MIN($L432,EOMONTH(AT$4,0)),Assumptions!$F$4:$F$44))/NETWORKDAYS($K432,$L432,Assumptions!$F$4:$F$44))</f>
        <v>0</v>
      </c>
      <c r="AU432" s="21" t="n">
        <f aca="false">IF($J432=0,0,MAX(0,NETWORKDAYS(MAX($K432,AU$4),MIN($L432,EOMONTH(AU$4,0)),Assumptions!$F$4:$F$44))/NETWORKDAYS($K432,$L432,Assumptions!$F$4:$F$44))</f>
        <v>0.0476190476190476</v>
      </c>
      <c r="AV432" s="21" t="n">
        <f aca="false">IF($J432=0,0,MAX(0,NETWORKDAYS(MAX($K432,AV$4),MIN($L432,EOMONTH(AV$4,0)),Assumptions!$F$4:$F$44))/NETWORKDAYS($K432,$L432,Assumptions!$F$4:$F$44))</f>
        <v>0.952380952380952</v>
      </c>
      <c r="AW432" s="21" t="n">
        <f aca="false">IF($J432=0,0,MAX(0,NETWORKDAYS(MAX($K432,AW$4),MIN($L432,EOMONTH(AW$4,0)),Assumptions!$F$4:$F$44))/NETWORKDAYS($K432,$L432,Assumptions!$F$4:$F$44))</f>
        <v>0</v>
      </c>
      <c r="AX432" s="21" t="n">
        <f aca="false">IF($J432=0,0,MAX(0,NETWORKDAYS(MAX($K432,AX$4),MIN($L432,EOMONTH(AX$4,0)),Assumptions!$F$4:$F$44))/NETWORKDAYS($K432,$L432,Assumptions!$F$4:$F$44))</f>
        <v>0</v>
      </c>
      <c r="AY432" s="21" t="n">
        <f aca="false">IF($J432=0,0,MAX(0,NETWORKDAYS(MAX($K432,AY$4),MIN($L432,EOMONTH(AY$4,0)),Assumptions!$F$4:$F$44))/NETWORKDAYS($K432,$L432,Assumptions!$F$4:$F$44))</f>
        <v>0</v>
      </c>
      <c r="AZ432" s="21" t="n">
        <f aca="false">IF($J432=0,0,MAX(0,NETWORKDAYS(MAX($K432,AZ$4),MIN($L432,EOMONTH(AZ$4,0)),Assumptions!$F$4:$F$44))/NETWORKDAYS($K432,$L432,Assumptions!$F$4:$F$44))</f>
        <v>0</v>
      </c>
      <c r="BA432" s="21" t="n">
        <f aca="false">IF($J432=0,0,MAX(0,NETWORKDAYS(MAX($K432,BA$4),MIN($L432,EOMONTH(BA$4,0)),Assumptions!$F$4:$F$44))/NETWORKDAYS($K432,$L432,Assumptions!$F$4:$F$44))</f>
        <v>0</v>
      </c>
      <c r="BB432" s="21" t="n">
        <f aca="false">IF($J432=0,0,MAX(0,NETWORKDAYS(MAX($K432,BB$4),MIN($L432,EOMONTH(BB$4,0)),Assumptions!$F$4:$F$44))/NETWORKDAYS($K432,$L432,Assumptions!$F$4:$F$44))</f>
        <v>0</v>
      </c>
      <c r="BC432" s="21" t="n">
        <f aca="false">IF($J432=0,0,MAX(0,NETWORKDAYS(MAX($K432,BC$4),MIN($L432,EOMONTH(BC$4,0)),Assumptions!$F$4:$F$44))/NETWORKDAYS($K432,$L432,Assumptions!$F$4:$F$44))</f>
        <v>0</v>
      </c>
    </row>
    <row r="433" customFormat="false" ht="15" hidden="false" customHeight="false" outlineLevel="2" collapsed="false">
      <c r="A433" s="27" t="n">
        <v>429</v>
      </c>
      <c r="B433" s="27" t="s">
        <v>906</v>
      </c>
      <c r="C433" s="27" t="n">
        <v>3</v>
      </c>
      <c r="D433" s="27" t="s">
        <v>92</v>
      </c>
      <c r="E433" s="28" t="s">
        <v>340</v>
      </c>
      <c r="F433" s="27" t="s">
        <v>846</v>
      </c>
      <c r="G433" s="27" t="s">
        <v>886</v>
      </c>
      <c r="H433" s="27" t="s">
        <v>47</v>
      </c>
      <c r="I433" s="29" t="n">
        <v>350</v>
      </c>
      <c r="J433" s="29" t="n">
        <v>26</v>
      </c>
      <c r="K433" s="30" t="n">
        <f aca="false">WORKDAY(Assumptions!$C$4,I433,Assumptions!$F$4:$F$44)</f>
        <v>46818</v>
      </c>
      <c r="L433" s="30" t="n">
        <f aca="false">IF(J433=0,K433,WORKDAY(K433,J433-1,Assumptions!$F$4:$F$44))</f>
        <v>46853</v>
      </c>
      <c r="M433" s="29" t="s">
        <v>907</v>
      </c>
      <c r="N433" s="31" t="n">
        <v>0</v>
      </c>
      <c r="O433" s="31" t="n">
        <v>0</v>
      </c>
      <c r="P433" s="31" t="n">
        <v>0</v>
      </c>
      <c r="Q433" s="31" t="n">
        <v>6</v>
      </c>
      <c r="R433" s="31" t="n">
        <v>4</v>
      </c>
      <c r="S433" s="31" t="n">
        <v>0</v>
      </c>
      <c r="T433" s="31" t="n">
        <v>0</v>
      </c>
      <c r="U433" s="31" t="n">
        <v>0</v>
      </c>
      <c r="V433" s="31" t="n">
        <v>3</v>
      </c>
      <c r="W433" s="31" t="n">
        <v>0</v>
      </c>
      <c r="X433" s="31" t="n">
        <v>0</v>
      </c>
      <c r="Y433" s="32" t="n">
        <f aca="false">SUM(N433:X433)</f>
        <v>13</v>
      </c>
      <c r="Z433" s="32" t="n">
        <f aca="false">Y433*(1+Assumptions!$C$5)</f>
        <v>14.95</v>
      </c>
      <c r="AA433" s="27" t="s">
        <v>342</v>
      </c>
      <c r="AB433" s="27" t="s">
        <v>95</v>
      </c>
      <c r="AC433" s="27"/>
      <c r="AD433" s="33" t="n">
        <v>0</v>
      </c>
      <c r="AF433" s="21" t="n">
        <f aca="false">IF($J433=0,0,MAX(0,NETWORKDAYS(MAX($K433,AF$4),MIN($L433,EOMONTH(AF$4,0)),Assumptions!$F$4:$F$44))/NETWORKDAYS($K433,$L433,Assumptions!$F$4:$F$44))</f>
        <v>0</v>
      </c>
      <c r="AG433" s="21" t="n">
        <f aca="false">IF($J433=0,0,MAX(0,NETWORKDAYS(MAX($K433,AG$4),MIN($L433,EOMONTH(AG$4,0)),Assumptions!$F$4:$F$44))/NETWORKDAYS($K433,$L433,Assumptions!$F$4:$F$44))</f>
        <v>0</v>
      </c>
      <c r="AH433" s="21" t="n">
        <f aca="false">IF($J433=0,0,MAX(0,NETWORKDAYS(MAX($K433,AH$4),MIN($L433,EOMONTH(AH$4,0)),Assumptions!$F$4:$F$44))/NETWORKDAYS($K433,$L433,Assumptions!$F$4:$F$44))</f>
        <v>0</v>
      </c>
      <c r="AI433" s="21" t="n">
        <f aca="false">IF($J433=0,0,MAX(0,NETWORKDAYS(MAX($K433,AI$4),MIN($L433,EOMONTH(AI$4,0)),Assumptions!$F$4:$F$44))/NETWORKDAYS($K433,$L433,Assumptions!$F$4:$F$44))</f>
        <v>0</v>
      </c>
      <c r="AJ433" s="21" t="n">
        <f aca="false">IF($J433=0,0,MAX(0,NETWORKDAYS(MAX($K433,AJ$4),MIN($L433,EOMONTH(AJ$4,0)),Assumptions!$F$4:$F$44))/NETWORKDAYS($K433,$L433,Assumptions!$F$4:$F$44))</f>
        <v>0</v>
      </c>
      <c r="AK433" s="21" t="n">
        <f aca="false">IF($J433=0,0,MAX(0,NETWORKDAYS(MAX($K433,AK$4),MIN($L433,EOMONTH(AK$4,0)),Assumptions!$F$4:$F$44))/NETWORKDAYS($K433,$L433,Assumptions!$F$4:$F$44))</f>
        <v>0</v>
      </c>
      <c r="AL433" s="21" t="n">
        <f aca="false">IF($J433=0,0,MAX(0,NETWORKDAYS(MAX($K433,AL$4),MIN($L433,EOMONTH(AL$4,0)),Assumptions!$F$4:$F$44))/NETWORKDAYS($K433,$L433,Assumptions!$F$4:$F$44))</f>
        <v>0</v>
      </c>
      <c r="AM433" s="21" t="n">
        <f aca="false">IF($J433=0,0,MAX(0,NETWORKDAYS(MAX($K433,AM$4),MIN($L433,EOMONTH(AM$4,0)),Assumptions!$F$4:$F$44))/NETWORKDAYS($K433,$L433,Assumptions!$F$4:$F$44))</f>
        <v>0</v>
      </c>
      <c r="AN433" s="21" t="n">
        <f aca="false">IF($J433=0,0,MAX(0,NETWORKDAYS(MAX($K433,AN$4),MIN($L433,EOMONTH(AN$4,0)),Assumptions!$F$4:$F$44))/NETWORKDAYS($K433,$L433,Assumptions!$F$4:$F$44))</f>
        <v>0</v>
      </c>
      <c r="AO433" s="21" t="n">
        <f aca="false">IF($J433=0,0,MAX(0,NETWORKDAYS(MAX($K433,AO$4),MIN($L433,EOMONTH(AO$4,0)),Assumptions!$F$4:$F$44))/NETWORKDAYS($K433,$L433,Assumptions!$F$4:$F$44))</f>
        <v>0</v>
      </c>
      <c r="AP433" s="21" t="n">
        <f aca="false">IF($J433=0,0,MAX(0,NETWORKDAYS(MAX($K433,AP$4),MIN($L433,EOMONTH(AP$4,0)),Assumptions!$F$4:$F$44))/NETWORKDAYS($K433,$L433,Assumptions!$F$4:$F$44))</f>
        <v>0</v>
      </c>
      <c r="AQ433" s="21" t="n">
        <f aca="false">IF($J433=0,0,MAX(0,NETWORKDAYS(MAX($K433,AQ$4),MIN($L433,EOMONTH(AQ$4,0)),Assumptions!$F$4:$F$44))/NETWORKDAYS($K433,$L433,Assumptions!$F$4:$F$44))</f>
        <v>0</v>
      </c>
      <c r="AR433" s="21" t="n">
        <f aca="false">IF($J433=0,0,MAX(0,NETWORKDAYS(MAX($K433,AR$4),MIN($L433,EOMONTH(AR$4,0)),Assumptions!$F$4:$F$44))/NETWORKDAYS($K433,$L433,Assumptions!$F$4:$F$44))</f>
        <v>0</v>
      </c>
      <c r="AS433" s="21" t="n">
        <f aca="false">IF($J433=0,0,MAX(0,NETWORKDAYS(MAX($K433,AS$4),MIN($L433,EOMONTH(AS$4,0)),Assumptions!$F$4:$F$44))/NETWORKDAYS($K433,$L433,Assumptions!$F$4:$F$44))</f>
        <v>0</v>
      </c>
      <c r="AT433" s="21" t="n">
        <f aca="false">IF($J433=0,0,MAX(0,NETWORKDAYS(MAX($K433,AT$4),MIN($L433,EOMONTH(AT$4,0)),Assumptions!$F$4:$F$44))/NETWORKDAYS($K433,$L433,Assumptions!$F$4:$F$44))</f>
        <v>0</v>
      </c>
      <c r="AU433" s="21" t="n">
        <f aca="false">IF($J433=0,0,MAX(0,NETWORKDAYS(MAX($K433,AU$4),MIN($L433,EOMONTH(AU$4,0)),Assumptions!$F$4:$F$44))/NETWORKDAYS($K433,$L433,Assumptions!$F$4:$F$44))</f>
        <v>0</v>
      </c>
      <c r="AV433" s="21" t="n">
        <f aca="false">IF($J433=0,0,MAX(0,NETWORKDAYS(MAX($K433,AV$4),MIN($L433,EOMONTH(AV$4,0)),Assumptions!$F$4:$F$44))/NETWORKDAYS($K433,$L433,Assumptions!$F$4:$F$44))</f>
        <v>0.769230769230769</v>
      </c>
      <c r="AW433" s="21" t="n">
        <f aca="false">IF($J433=0,0,MAX(0,NETWORKDAYS(MAX($K433,AW$4),MIN($L433,EOMONTH(AW$4,0)),Assumptions!$F$4:$F$44))/NETWORKDAYS($K433,$L433,Assumptions!$F$4:$F$44))</f>
        <v>0.230769230769231</v>
      </c>
      <c r="AX433" s="21" t="n">
        <f aca="false">IF($J433=0,0,MAX(0,NETWORKDAYS(MAX($K433,AX$4),MIN($L433,EOMONTH(AX$4,0)),Assumptions!$F$4:$F$44))/NETWORKDAYS($K433,$L433,Assumptions!$F$4:$F$44))</f>
        <v>0</v>
      </c>
      <c r="AY433" s="21" t="n">
        <f aca="false">IF($J433=0,0,MAX(0,NETWORKDAYS(MAX($K433,AY$4),MIN($L433,EOMONTH(AY$4,0)),Assumptions!$F$4:$F$44))/NETWORKDAYS($K433,$L433,Assumptions!$F$4:$F$44))</f>
        <v>0</v>
      </c>
      <c r="AZ433" s="21" t="n">
        <f aca="false">IF($J433=0,0,MAX(0,NETWORKDAYS(MAX($K433,AZ$4),MIN($L433,EOMONTH(AZ$4,0)),Assumptions!$F$4:$F$44))/NETWORKDAYS($K433,$L433,Assumptions!$F$4:$F$44))</f>
        <v>0</v>
      </c>
      <c r="BA433" s="21" t="n">
        <f aca="false">IF($J433=0,0,MAX(0,NETWORKDAYS(MAX($K433,BA$4),MIN($L433,EOMONTH(BA$4,0)),Assumptions!$F$4:$F$44))/NETWORKDAYS($K433,$L433,Assumptions!$F$4:$F$44))</f>
        <v>0</v>
      </c>
      <c r="BB433" s="21" t="n">
        <f aca="false">IF($J433=0,0,MAX(0,NETWORKDAYS(MAX($K433,BB$4),MIN($L433,EOMONTH(BB$4,0)),Assumptions!$F$4:$F$44))/NETWORKDAYS($K433,$L433,Assumptions!$F$4:$F$44))</f>
        <v>0</v>
      </c>
      <c r="BC433" s="21" t="n">
        <f aca="false">IF($J433=0,0,MAX(0,NETWORKDAYS(MAX($K433,BC$4),MIN($L433,EOMONTH(BC$4,0)),Assumptions!$F$4:$F$44))/NETWORKDAYS($K433,$L433,Assumptions!$F$4:$F$44))</f>
        <v>0</v>
      </c>
    </row>
    <row r="434" customFormat="false" ht="15" hidden="false" customHeight="false" outlineLevel="2" collapsed="false">
      <c r="A434" s="27" t="n">
        <v>430</v>
      </c>
      <c r="B434" s="27" t="s">
        <v>908</v>
      </c>
      <c r="C434" s="27" t="n">
        <v>3</v>
      </c>
      <c r="D434" s="27" t="s">
        <v>92</v>
      </c>
      <c r="E434" s="28" t="s">
        <v>344</v>
      </c>
      <c r="F434" s="27" t="s">
        <v>846</v>
      </c>
      <c r="G434" s="27" t="s">
        <v>886</v>
      </c>
      <c r="H434" s="27" t="s">
        <v>43</v>
      </c>
      <c r="I434" s="29" t="n">
        <v>367</v>
      </c>
      <c r="J434" s="29" t="n">
        <v>13</v>
      </c>
      <c r="K434" s="30" t="n">
        <f aca="false">WORKDAY(Assumptions!$C$4,I434,Assumptions!$F$4:$F$44)</f>
        <v>46841</v>
      </c>
      <c r="L434" s="30" t="n">
        <f aca="false">IF(J434=0,K434,WORKDAY(K434,J434-1,Assumptions!$F$4:$F$44))</f>
        <v>46857</v>
      </c>
      <c r="M434" s="29" t="s">
        <v>907</v>
      </c>
      <c r="N434" s="31" t="n">
        <v>0</v>
      </c>
      <c r="O434" s="31" t="n">
        <v>4</v>
      </c>
      <c r="P434" s="31" t="n">
        <v>0</v>
      </c>
      <c r="Q434" s="31" t="n">
        <v>0</v>
      </c>
      <c r="R434" s="31" t="n">
        <v>0</v>
      </c>
      <c r="S434" s="31" t="n">
        <v>0</v>
      </c>
      <c r="T434" s="31" t="n">
        <v>0</v>
      </c>
      <c r="U434" s="31" t="n">
        <v>0</v>
      </c>
      <c r="V434" s="31" t="n">
        <v>4</v>
      </c>
      <c r="W434" s="31" t="n">
        <v>0</v>
      </c>
      <c r="X434" s="31" t="n">
        <v>0</v>
      </c>
      <c r="Y434" s="32" t="n">
        <f aca="false">SUM(N434:X434)</f>
        <v>8</v>
      </c>
      <c r="Z434" s="32" t="n">
        <f aca="false">Y434*(1+Assumptions!$C$5)</f>
        <v>9.2</v>
      </c>
      <c r="AA434" s="27" t="s">
        <v>345</v>
      </c>
      <c r="AB434" s="27" t="s">
        <v>95</v>
      </c>
      <c r="AC434" s="27"/>
      <c r="AD434" s="33" t="n">
        <v>0</v>
      </c>
      <c r="AF434" s="21" t="n">
        <f aca="false">IF($J434=0,0,MAX(0,NETWORKDAYS(MAX($K434,AF$4),MIN($L434,EOMONTH(AF$4,0)),Assumptions!$F$4:$F$44))/NETWORKDAYS($K434,$L434,Assumptions!$F$4:$F$44))</f>
        <v>0</v>
      </c>
      <c r="AG434" s="21" t="n">
        <f aca="false">IF($J434=0,0,MAX(0,NETWORKDAYS(MAX($K434,AG$4),MIN($L434,EOMONTH(AG$4,0)),Assumptions!$F$4:$F$44))/NETWORKDAYS($K434,$L434,Assumptions!$F$4:$F$44))</f>
        <v>0</v>
      </c>
      <c r="AH434" s="21" t="n">
        <f aca="false">IF($J434=0,0,MAX(0,NETWORKDAYS(MAX($K434,AH$4),MIN($L434,EOMONTH(AH$4,0)),Assumptions!$F$4:$F$44))/NETWORKDAYS($K434,$L434,Assumptions!$F$4:$F$44))</f>
        <v>0</v>
      </c>
      <c r="AI434" s="21" t="n">
        <f aca="false">IF($J434=0,0,MAX(0,NETWORKDAYS(MAX($K434,AI$4),MIN($L434,EOMONTH(AI$4,0)),Assumptions!$F$4:$F$44))/NETWORKDAYS($K434,$L434,Assumptions!$F$4:$F$44))</f>
        <v>0</v>
      </c>
      <c r="AJ434" s="21" t="n">
        <f aca="false">IF($J434=0,0,MAX(0,NETWORKDAYS(MAX($K434,AJ$4),MIN($L434,EOMONTH(AJ$4,0)),Assumptions!$F$4:$F$44))/NETWORKDAYS($K434,$L434,Assumptions!$F$4:$F$44))</f>
        <v>0</v>
      </c>
      <c r="AK434" s="21" t="n">
        <f aca="false">IF($J434=0,0,MAX(0,NETWORKDAYS(MAX($K434,AK$4),MIN($L434,EOMONTH(AK$4,0)),Assumptions!$F$4:$F$44))/NETWORKDAYS($K434,$L434,Assumptions!$F$4:$F$44))</f>
        <v>0</v>
      </c>
      <c r="AL434" s="21" t="n">
        <f aca="false">IF($J434=0,0,MAX(0,NETWORKDAYS(MAX($K434,AL$4),MIN($L434,EOMONTH(AL$4,0)),Assumptions!$F$4:$F$44))/NETWORKDAYS($K434,$L434,Assumptions!$F$4:$F$44))</f>
        <v>0</v>
      </c>
      <c r="AM434" s="21" t="n">
        <f aca="false">IF($J434=0,0,MAX(0,NETWORKDAYS(MAX($K434,AM$4),MIN($L434,EOMONTH(AM$4,0)),Assumptions!$F$4:$F$44))/NETWORKDAYS($K434,$L434,Assumptions!$F$4:$F$44))</f>
        <v>0</v>
      </c>
      <c r="AN434" s="21" t="n">
        <f aca="false">IF($J434=0,0,MAX(0,NETWORKDAYS(MAX($K434,AN$4),MIN($L434,EOMONTH(AN$4,0)),Assumptions!$F$4:$F$44))/NETWORKDAYS($K434,$L434,Assumptions!$F$4:$F$44))</f>
        <v>0</v>
      </c>
      <c r="AO434" s="21" t="n">
        <f aca="false">IF($J434=0,0,MAX(0,NETWORKDAYS(MAX($K434,AO$4),MIN($L434,EOMONTH(AO$4,0)),Assumptions!$F$4:$F$44))/NETWORKDAYS($K434,$L434,Assumptions!$F$4:$F$44))</f>
        <v>0</v>
      </c>
      <c r="AP434" s="21" t="n">
        <f aca="false">IF($J434=0,0,MAX(0,NETWORKDAYS(MAX($K434,AP$4),MIN($L434,EOMONTH(AP$4,0)),Assumptions!$F$4:$F$44))/NETWORKDAYS($K434,$L434,Assumptions!$F$4:$F$44))</f>
        <v>0</v>
      </c>
      <c r="AQ434" s="21" t="n">
        <f aca="false">IF($J434=0,0,MAX(0,NETWORKDAYS(MAX($K434,AQ$4),MIN($L434,EOMONTH(AQ$4,0)),Assumptions!$F$4:$F$44))/NETWORKDAYS($K434,$L434,Assumptions!$F$4:$F$44))</f>
        <v>0</v>
      </c>
      <c r="AR434" s="21" t="n">
        <f aca="false">IF($J434=0,0,MAX(0,NETWORKDAYS(MAX($K434,AR$4),MIN($L434,EOMONTH(AR$4,0)),Assumptions!$F$4:$F$44))/NETWORKDAYS($K434,$L434,Assumptions!$F$4:$F$44))</f>
        <v>0</v>
      </c>
      <c r="AS434" s="21" t="n">
        <f aca="false">IF($J434=0,0,MAX(0,NETWORKDAYS(MAX($K434,AS$4),MIN($L434,EOMONTH(AS$4,0)),Assumptions!$F$4:$F$44))/NETWORKDAYS($K434,$L434,Assumptions!$F$4:$F$44))</f>
        <v>0</v>
      </c>
      <c r="AT434" s="21" t="n">
        <f aca="false">IF($J434=0,0,MAX(0,NETWORKDAYS(MAX($K434,AT$4),MIN($L434,EOMONTH(AT$4,0)),Assumptions!$F$4:$F$44))/NETWORKDAYS($K434,$L434,Assumptions!$F$4:$F$44))</f>
        <v>0</v>
      </c>
      <c r="AU434" s="21" t="n">
        <f aca="false">IF($J434=0,0,MAX(0,NETWORKDAYS(MAX($K434,AU$4),MIN($L434,EOMONTH(AU$4,0)),Assumptions!$F$4:$F$44))/NETWORKDAYS($K434,$L434,Assumptions!$F$4:$F$44))</f>
        <v>0</v>
      </c>
      <c r="AV434" s="21" t="n">
        <f aca="false">IF($J434=0,0,MAX(0,NETWORKDAYS(MAX($K434,AV$4),MIN($L434,EOMONTH(AV$4,0)),Assumptions!$F$4:$F$44))/NETWORKDAYS($K434,$L434,Assumptions!$F$4:$F$44))</f>
        <v>0.230769230769231</v>
      </c>
      <c r="AW434" s="21" t="n">
        <f aca="false">IF($J434=0,0,MAX(0,NETWORKDAYS(MAX($K434,AW$4),MIN($L434,EOMONTH(AW$4,0)),Assumptions!$F$4:$F$44))/NETWORKDAYS($K434,$L434,Assumptions!$F$4:$F$44))</f>
        <v>0.769230769230769</v>
      </c>
      <c r="AX434" s="21" t="n">
        <f aca="false">IF($J434=0,0,MAX(0,NETWORKDAYS(MAX($K434,AX$4),MIN($L434,EOMONTH(AX$4,0)),Assumptions!$F$4:$F$44))/NETWORKDAYS($K434,$L434,Assumptions!$F$4:$F$44))</f>
        <v>0</v>
      </c>
      <c r="AY434" s="21" t="n">
        <f aca="false">IF($J434=0,0,MAX(0,NETWORKDAYS(MAX($K434,AY$4),MIN($L434,EOMONTH(AY$4,0)),Assumptions!$F$4:$F$44))/NETWORKDAYS($K434,$L434,Assumptions!$F$4:$F$44))</f>
        <v>0</v>
      </c>
      <c r="AZ434" s="21" t="n">
        <f aca="false">IF($J434=0,0,MAX(0,NETWORKDAYS(MAX($K434,AZ$4),MIN($L434,EOMONTH(AZ$4,0)),Assumptions!$F$4:$F$44))/NETWORKDAYS($K434,$L434,Assumptions!$F$4:$F$44))</f>
        <v>0</v>
      </c>
      <c r="BA434" s="21" t="n">
        <f aca="false">IF($J434=0,0,MAX(0,NETWORKDAYS(MAX($K434,BA$4),MIN($L434,EOMONTH(BA$4,0)),Assumptions!$F$4:$F$44))/NETWORKDAYS($K434,$L434,Assumptions!$F$4:$F$44))</f>
        <v>0</v>
      </c>
      <c r="BB434" s="21" t="n">
        <f aca="false">IF($J434=0,0,MAX(0,NETWORKDAYS(MAX($K434,BB$4),MIN($L434,EOMONTH(BB$4,0)),Assumptions!$F$4:$F$44))/NETWORKDAYS($K434,$L434,Assumptions!$F$4:$F$44))</f>
        <v>0</v>
      </c>
      <c r="BC434" s="21" t="n">
        <f aca="false">IF($J434=0,0,MAX(0,NETWORKDAYS(MAX($K434,BC$4),MIN($L434,EOMONTH(BC$4,0)),Assumptions!$F$4:$F$44))/NETWORKDAYS($K434,$L434,Assumptions!$F$4:$F$44))</f>
        <v>0</v>
      </c>
    </row>
    <row r="435" customFormat="false" ht="15" hidden="false" customHeight="false" outlineLevel="2" collapsed="false">
      <c r="A435" s="27" t="n">
        <v>431</v>
      </c>
      <c r="B435" s="27" t="s">
        <v>909</v>
      </c>
      <c r="C435" s="27" t="n">
        <v>3</v>
      </c>
      <c r="D435" s="27" t="s">
        <v>92</v>
      </c>
      <c r="E435" s="28" t="s">
        <v>347</v>
      </c>
      <c r="F435" s="27" t="s">
        <v>846</v>
      </c>
      <c r="G435" s="27" t="s">
        <v>886</v>
      </c>
      <c r="H435" s="27" t="s">
        <v>61</v>
      </c>
      <c r="I435" s="29" t="n">
        <v>370</v>
      </c>
      <c r="J435" s="29" t="n">
        <v>13</v>
      </c>
      <c r="K435" s="30" t="n">
        <f aca="false">WORKDAY(Assumptions!$C$4,I435,Assumptions!$F$4:$F$44)</f>
        <v>46846</v>
      </c>
      <c r="L435" s="30" t="n">
        <f aca="false">IF(J435=0,K435,WORKDAY(K435,J435-1,Assumptions!$F$4:$F$44))</f>
        <v>46862</v>
      </c>
      <c r="M435" s="29" t="s">
        <v>910</v>
      </c>
      <c r="N435" s="31" t="n">
        <v>0</v>
      </c>
      <c r="O435" s="31" t="n">
        <v>2</v>
      </c>
      <c r="P435" s="31" t="n">
        <v>0</v>
      </c>
      <c r="Q435" s="31" t="n">
        <v>0</v>
      </c>
      <c r="R435" s="31" t="n">
        <v>0</v>
      </c>
      <c r="S435" s="31" t="n">
        <v>0</v>
      </c>
      <c r="T435" s="31" t="n">
        <v>0</v>
      </c>
      <c r="U435" s="31" t="n">
        <v>0</v>
      </c>
      <c r="V435" s="31" t="n">
        <v>0</v>
      </c>
      <c r="W435" s="31" t="n">
        <v>0</v>
      </c>
      <c r="X435" s="31" t="n">
        <v>4</v>
      </c>
      <c r="Y435" s="32" t="n">
        <f aca="false">SUM(N435:X435)</f>
        <v>6</v>
      </c>
      <c r="Z435" s="32" t="n">
        <f aca="false">Y435*(1+Assumptions!$C$5)</f>
        <v>6.9</v>
      </c>
      <c r="AA435" s="27" t="s">
        <v>349</v>
      </c>
      <c r="AB435" s="27" t="s">
        <v>95</v>
      </c>
      <c r="AC435" s="27"/>
      <c r="AD435" s="33" t="n">
        <v>0</v>
      </c>
      <c r="AF435" s="21" t="n">
        <f aca="false">IF($J435=0,0,MAX(0,NETWORKDAYS(MAX($K435,AF$4),MIN($L435,EOMONTH(AF$4,0)),Assumptions!$F$4:$F$44))/NETWORKDAYS($K435,$L435,Assumptions!$F$4:$F$44))</f>
        <v>0</v>
      </c>
      <c r="AG435" s="21" t="n">
        <f aca="false">IF($J435=0,0,MAX(0,NETWORKDAYS(MAX($K435,AG$4),MIN($L435,EOMONTH(AG$4,0)),Assumptions!$F$4:$F$44))/NETWORKDAYS($K435,$L435,Assumptions!$F$4:$F$44))</f>
        <v>0</v>
      </c>
      <c r="AH435" s="21" t="n">
        <f aca="false">IF($J435=0,0,MAX(0,NETWORKDAYS(MAX($K435,AH$4),MIN($L435,EOMONTH(AH$4,0)),Assumptions!$F$4:$F$44))/NETWORKDAYS($K435,$L435,Assumptions!$F$4:$F$44))</f>
        <v>0</v>
      </c>
      <c r="AI435" s="21" t="n">
        <f aca="false">IF($J435=0,0,MAX(0,NETWORKDAYS(MAX($K435,AI$4),MIN($L435,EOMONTH(AI$4,0)),Assumptions!$F$4:$F$44))/NETWORKDAYS($K435,$L435,Assumptions!$F$4:$F$44))</f>
        <v>0</v>
      </c>
      <c r="AJ435" s="21" t="n">
        <f aca="false">IF($J435=0,0,MAX(0,NETWORKDAYS(MAX($K435,AJ$4),MIN($L435,EOMONTH(AJ$4,0)),Assumptions!$F$4:$F$44))/NETWORKDAYS($K435,$L435,Assumptions!$F$4:$F$44))</f>
        <v>0</v>
      </c>
      <c r="AK435" s="21" t="n">
        <f aca="false">IF($J435=0,0,MAX(0,NETWORKDAYS(MAX($K435,AK$4),MIN($L435,EOMONTH(AK$4,0)),Assumptions!$F$4:$F$44))/NETWORKDAYS($K435,$L435,Assumptions!$F$4:$F$44))</f>
        <v>0</v>
      </c>
      <c r="AL435" s="21" t="n">
        <f aca="false">IF($J435=0,0,MAX(0,NETWORKDAYS(MAX($K435,AL$4),MIN($L435,EOMONTH(AL$4,0)),Assumptions!$F$4:$F$44))/NETWORKDAYS($K435,$L435,Assumptions!$F$4:$F$44))</f>
        <v>0</v>
      </c>
      <c r="AM435" s="21" t="n">
        <f aca="false">IF($J435=0,0,MAX(0,NETWORKDAYS(MAX($K435,AM$4),MIN($L435,EOMONTH(AM$4,0)),Assumptions!$F$4:$F$44))/NETWORKDAYS($K435,$L435,Assumptions!$F$4:$F$44))</f>
        <v>0</v>
      </c>
      <c r="AN435" s="21" t="n">
        <f aca="false">IF($J435=0,0,MAX(0,NETWORKDAYS(MAX($K435,AN$4),MIN($L435,EOMONTH(AN$4,0)),Assumptions!$F$4:$F$44))/NETWORKDAYS($K435,$L435,Assumptions!$F$4:$F$44))</f>
        <v>0</v>
      </c>
      <c r="AO435" s="21" t="n">
        <f aca="false">IF($J435=0,0,MAX(0,NETWORKDAYS(MAX($K435,AO$4),MIN($L435,EOMONTH(AO$4,0)),Assumptions!$F$4:$F$44))/NETWORKDAYS($K435,$L435,Assumptions!$F$4:$F$44))</f>
        <v>0</v>
      </c>
      <c r="AP435" s="21" t="n">
        <f aca="false">IF($J435=0,0,MAX(0,NETWORKDAYS(MAX($K435,AP$4),MIN($L435,EOMONTH(AP$4,0)),Assumptions!$F$4:$F$44))/NETWORKDAYS($K435,$L435,Assumptions!$F$4:$F$44))</f>
        <v>0</v>
      </c>
      <c r="AQ435" s="21" t="n">
        <f aca="false">IF($J435=0,0,MAX(0,NETWORKDAYS(MAX($K435,AQ$4),MIN($L435,EOMONTH(AQ$4,0)),Assumptions!$F$4:$F$44))/NETWORKDAYS($K435,$L435,Assumptions!$F$4:$F$44))</f>
        <v>0</v>
      </c>
      <c r="AR435" s="21" t="n">
        <f aca="false">IF($J435=0,0,MAX(0,NETWORKDAYS(MAX($K435,AR$4),MIN($L435,EOMONTH(AR$4,0)),Assumptions!$F$4:$F$44))/NETWORKDAYS($K435,$L435,Assumptions!$F$4:$F$44))</f>
        <v>0</v>
      </c>
      <c r="AS435" s="21" t="n">
        <f aca="false">IF($J435=0,0,MAX(0,NETWORKDAYS(MAX($K435,AS$4),MIN($L435,EOMONTH(AS$4,0)),Assumptions!$F$4:$F$44))/NETWORKDAYS($K435,$L435,Assumptions!$F$4:$F$44))</f>
        <v>0</v>
      </c>
      <c r="AT435" s="21" t="n">
        <f aca="false">IF($J435=0,0,MAX(0,NETWORKDAYS(MAX($K435,AT$4),MIN($L435,EOMONTH(AT$4,0)),Assumptions!$F$4:$F$44))/NETWORKDAYS($K435,$L435,Assumptions!$F$4:$F$44))</f>
        <v>0</v>
      </c>
      <c r="AU435" s="21" t="n">
        <f aca="false">IF($J435=0,0,MAX(0,NETWORKDAYS(MAX($K435,AU$4),MIN($L435,EOMONTH(AU$4,0)),Assumptions!$F$4:$F$44))/NETWORKDAYS($K435,$L435,Assumptions!$F$4:$F$44))</f>
        <v>0</v>
      </c>
      <c r="AV435" s="21" t="n">
        <f aca="false">IF($J435=0,0,MAX(0,NETWORKDAYS(MAX($K435,AV$4),MIN($L435,EOMONTH(AV$4,0)),Assumptions!$F$4:$F$44))/NETWORKDAYS($K435,$L435,Assumptions!$F$4:$F$44))</f>
        <v>0</v>
      </c>
      <c r="AW435" s="21" t="n">
        <f aca="false">IF($J435=0,0,MAX(0,NETWORKDAYS(MAX($K435,AW$4),MIN($L435,EOMONTH(AW$4,0)),Assumptions!$F$4:$F$44))/NETWORKDAYS($K435,$L435,Assumptions!$F$4:$F$44))</f>
        <v>1</v>
      </c>
      <c r="AX435" s="21" t="n">
        <f aca="false">IF($J435=0,0,MAX(0,NETWORKDAYS(MAX($K435,AX$4),MIN($L435,EOMONTH(AX$4,0)),Assumptions!$F$4:$F$44))/NETWORKDAYS($K435,$L435,Assumptions!$F$4:$F$44))</f>
        <v>0</v>
      </c>
      <c r="AY435" s="21" t="n">
        <f aca="false">IF($J435=0,0,MAX(0,NETWORKDAYS(MAX($K435,AY$4),MIN($L435,EOMONTH(AY$4,0)),Assumptions!$F$4:$F$44))/NETWORKDAYS($K435,$L435,Assumptions!$F$4:$F$44))</f>
        <v>0</v>
      </c>
      <c r="AZ435" s="21" t="n">
        <f aca="false">IF($J435=0,0,MAX(0,NETWORKDAYS(MAX($K435,AZ$4),MIN($L435,EOMONTH(AZ$4,0)),Assumptions!$F$4:$F$44))/NETWORKDAYS($K435,$L435,Assumptions!$F$4:$F$44))</f>
        <v>0</v>
      </c>
      <c r="BA435" s="21" t="n">
        <f aca="false">IF($J435=0,0,MAX(0,NETWORKDAYS(MAX($K435,BA$4),MIN($L435,EOMONTH(BA$4,0)),Assumptions!$F$4:$F$44))/NETWORKDAYS($K435,$L435,Assumptions!$F$4:$F$44))</f>
        <v>0</v>
      </c>
      <c r="BB435" s="21" t="n">
        <f aca="false">IF($J435=0,0,MAX(0,NETWORKDAYS(MAX($K435,BB$4),MIN($L435,EOMONTH(BB$4,0)),Assumptions!$F$4:$F$44))/NETWORKDAYS($K435,$L435,Assumptions!$F$4:$F$44))</f>
        <v>0</v>
      </c>
      <c r="BC435" s="21" t="n">
        <f aca="false">IF($J435=0,0,MAX(0,NETWORKDAYS(MAX($K435,BC$4),MIN($L435,EOMONTH(BC$4,0)),Assumptions!$F$4:$F$44))/NETWORKDAYS($K435,$L435,Assumptions!$F$4:$F$44))</f>
        <v>0</v>
      </c>
    </row>
    <row r="436" customFormat="false" ht="15" hidden="false" customHeight="false" outlineLevel="1" collapsed="false">
      <c r="A436" s="22" t="n">
        <v>432</v>
      </c>
      <c r="B436" s="22" t="s">
        <v>911</v>
      </c>
      <c r="C436" s="22" t="n">
        <v>2</v>
      </c>
      <c r="D436" s="22" t="s">
        <v>89</v>
      </c>
      <c r="E436" s="23" t="s">
        <v>912</v>
      </c>
      <c r="F436" s="22" t="s">
        <v>846</v>
      </c>
      <c r="G436" s="22" t="s">
        <v>913</v>
      </c>
      <c r="H436" s="22"/>
      <c r="I436" s="22"/>
      <c r="J436" s="22" t="n">
        <f aca="false">NETWORKDAYS(K436,L436,Assumptions!$F$4:$F$44)</f>
        <v>119</v>
      </c>
      <c r="K436" s="24" t="n">
        <f aca="false">MIN(K437:K450)</f>
        <v>46696</v>
      </c>
      <c r="L436" s="24" t="n">
        <f aca="false">MAX(L437:L450)</f>
        <v>46862</v>
      </c>
      <c r="M436" s="22"/>
      <c r="N436" s="25" t="n">
        <f aca="false">SUMPRODUCT(($C$437:$C$450=3)*(N437:N450))</f>
        <v>1</v>
      </c>
      <c r="O436" s="25" t="n">
        <f aca="false">SUMPRODUCT(($C$437:$C$450=3)*(O437:O450))</f>
        <v>22</v>
      </c>
      <c r="P436" s="25" t="n">
        <f aca="false">SUMPRODUCT(($C$437:$C$450=3)*(P437:P450))</f>
        <v>6</v>
      </c>
      <c r="Q436" s="25" t="n">
        <f aca="false">SUMPRODUCT(($C$437:$C$450=3)*(Q437:Q450))</f>
        <v>59</v>
      </c>
      <c r="R436" s="25" t="n">
        <f aca="false">SUMPRODUCT(($C$437:$C$450=3)*(R437:R450))</f>
        <v>33</v>
      </c>
      <c r="S436" s="25" t="n">
        <f aca="false">SUMPRODUCT(($C$437:$C$450=3)*(S437:S450))</f>
        <v>0</v>
      </c>
      <c r="T436" s="25" t="n">
        <f aca="false">SUMPRODUCT(($C$437:$C$450=3)*(T437:T450))</f>
        <v>0</v>
      </c>
      <c r="U436" s="25" t="n">
        <f aca="false">SUMPRODUCT(($C$437:$C$450=3)*(U437:U450))</f>
        <v>0</v>
      </c>
      <c r="V436" s="25" t="n">
        <f aca="false">SUMPRODUCT(($C$437:$C$450=3)*(V437:V450))</f>
        <v>25</v>
      </c>
      <c r="W436" s="25" t="n">
        <f aca="false">SUMPRODUCT(($C$437:$C$450=3)*(W437:W450))</f>
        <v>10</v>
      </c>
      <c r="X436" s="25" t="n">
        <f aca="false">SUMPRODUCT(($C$437:$C$450=3)*(X437:X450))</f>
        <v>5</v>
      </c>
      <c r="Y436" s="25" t="n">
        <f aca="false">SUM(N436:X436)</f>
        <v>161</v>
      </c>
      <c r="Z436" s="25" t="n">
        <f aca="false">Y436*(1+Assumptions!$C$5)</f>
        <v>185.15</v>
      </c>
      <c r="AA436" s="22" t="s">
        <v>914</v>
      </c>
      <c r="AB436" s="22"/>
      <c r="AC436" s="22"/>
      <c r="AD436" s="26"/>
      <c r="AF436" s="21" t="n">
        <v>0</v>
      </c>
      <c r="AG436" s="21" t="n">
        <v>0</v>
      </c>
      <c r="AH436" s="21" t="n">
        <v>0</v>
      </c>
      <c r="AI436" s="21" t="n">
        <v>0</v>
      </c>
      <c r="AJ436" s="21" t="n">
        <v>0</v>
      </c>
      <c r="AK436" s="21" t="n">
        <v>0</v>
      </c>
      <c r="AL436" s="21" t="n">
        <v>0</v>
      </c>
      <c r="AM436" s="21" t="n">
        <v>0</v>
      </c>
      <c r="AN436" s="21" t="n">
        <v>0</v>
      </c>
      <c r="AO436" s="21" t="n">
        <v>0</v>
      </c>
      <c r="AP436" s="21" t="n">
        <v>0</v>
      </c>
      <c r="AQ436" s="21" t="n">
        <v>0</v>
      </c>
      <c r="AR436" s="21" t="n">
        <v>0</v>
      </c>
      <c r="AS436" s="21" t="n">
        <v>0</v>
      </c>
      <c r="AT436" s="21" t="n">
        <v>0</v>
      </c>
      <c r="AU436" s="21" t="n">
        <v>0</v>
      </c>
      <c r="AV436" s="21" t="n">
        <v>0</v>
      </c>
      <c r="AW436" s="21" t="n">
        <v>0</v>
      </c>
      <c r="AX436" s="21" t="n">
        <v>0</v>
      </c>
      <c r="AY436" s="21" t="n">
        <v>0</v>
      </c>
      <c r="AZ436" s="21" t="n">
        <v>0</v>
      </c>
      <c r="BA436" s="21" t="n">
        <v>0</v>
      </c>
      <c r="BB436" s="21" t="n">
        <v>0</v>
      </c>
      <c r="BC436" s="21" t="n">
        <v>0</v>
      </c>
    </row>
    <row r="437" customFormat="false" ht="15" hidden="false" customHeight="false" outlineLevel="2" collapsed="false">
      <c r="A437" s="27" t="n">
        <v>433</v>
      </c>
      <c r="B437" s="27" t="s">
        <v>915</v>
      </c>
      <c r="C437" s="27" t="n">
        <v>3</v>
      </c>
      <c r="D437" s="27" t="s">
        <v>92</v>
      </c>
      <c r="E437" s="28" t="s">
        <v>292</v>
      </c>
      <c r="F437" s="27" t="s">
        <v>846</v>
      </c>
      <c r="G437" s="27" t="s">
        <v>913</v>
      </c>
      <c r="H437" s="27" t="s">
        <v>43</v>
      </c>
      <c r="I437" s="29" t="n">
        <v>264</v>
      </c>
      <c r="J437" s="29" t="n">
        <v>16</v>
      </c>
      <c r="K437" s="30" t="n">
        <f aca="false">WORKDAY(Assumptions!$C$4,I437,Assumptions!$F$4:$F$44)</f>
        <v>46696</v>
      </c>
      <c r="L437" s="30" t="n">
        <f aca="false">IF(J437=0,K437,WORKDAY(K437,J437-1,Assumptions!$F$4:$F$44))</f>
        <v>46717</v>
      </c>
      <c r="M437" s="29" t="s">
        <v>860</v>
      </c>
      <c r="N437" s="31" t="n">
        <v>1</v>
      </c>
      <c r="O437" s="31" t="n">
        <v>7</v>
      </c>
      <c r="P437" s="31" t="n">
        <v>2</v>
      </c>
      <c r="Q437" s="31" t="n">
        <v>0</v>
      </c>
      <c r="R437" s="31" t="n">
        <v>0</v>
      </c>
      <c r="S437" s="31" t="n">
        <v>0</v>
      </c>
      <c r="T437" s="31" t="n">
        <v>0</v>
      </c>
      <c r="U437" s="31" t="n">
        <v>0</v>
      </c>
      <c r="V437" s="31" t="n">
        <v>0</v>
      </c>
      <c r="W437" s="31" t="n">
        <v>0</v>
      </c>
      <c r="X437" s="31" t="n">
        <v>0</v>
      </c>
      <c r="Y437" s="32" t="n">
        <f aca="false">SUM(N437:X437)</f>
        <v>10</v>
      </c>
      <c r="Z437" s="32" t="n">
        <f aca="false">Y437*(1+Assumptions!$C$5)</f>
        <v>11.5</v>
      </c>
      <c r="AA437" s="27" t="s">
        <v>294</v>
      </c>
      <c r="AB437" s="27" t="s">
        <v>95</v>
      </c>
      <c r="AC437" s="27"/>
      <c r="AD437" s="33" t="n">
        <v>0</v>
      </c>
      <c r="AF437" s="21" t="n">
        <f aca="false">IF($J437=0,0,MAX(0,NETWORKDAYS(MAX($K437,AF$4),MIN($L437,EOMONTH(AF$4,0)),Assumptions!$F$4:$F$44))/NETWORKDAYS($K437,$L437,Assumptions!$F$4:$F$44))</f>
        <v>0</v>
      </c>
      <c r="AG437" s="21" t="n">
        <f aca="false">IF($J437=0,0,MAX(0,NETWORKDAYS(MAX($K437,AG$4),MIN($L437,EOMONTH(AG$4,0)),Assumptions!$F$4:$F$44))/NETWORKDAYS($K437,$L437,Assumptions!$F$4:$F$44))</f>
        <v>0</v>
      </c>
      <c r="AH437" s="21" t="n">
        <f aca="false">IF($J437=0,0,MAX(0,NETWORKDAYS(MAX($K437,AH$4),MIN($L437,EOMONTH(AH$4,0)),Assumptions!$F$4:$F$44))/NETWORKDAYS($K437,$L437,Assumptions!$F$4:$F$44))</f>
        <v>0</v>
      </c>
      <c r="AI437" s="21" t="n">
        <f aca="false">IF($J437=0,0,MAX(0,NETWORKDAYS(MAX($K437,AI$4),MIN($L437,EOMONTH(AI$4,0)),Assumptions!$F$4:$F$44))/NETWORKDAYS($K437,$L437,Assumptions!$F$4:$F$44))</f>
        <v>0</v>
      </c>
      <c r="AJ437" s="21" t="n">
        <f aca="false">IF($J437=0,0,MAX(0,NETWORKDAYS(MAX($K437,AJ$4),MIN($L437,EOMONTH(AJ$4,0)),Assumptions!$F$4:$F$44))/NETWORKDAYS($K437,$L437,Assumptions!$F$4:$F$44))</f>
        <v>0</v>
      </c>
      <c r="AK437" s="21" t="n">
        <f aca="false">IF($J437=0,0,MAX(0,NETWORKDAYS(MAX($K437,AK$4),MIN($L437,EOMONTH(AK$4,0)),Assumptions!$F$4:$F$44))/NETWORKDAYS($K437,$L437,Assumptions!$F$4:$F$44))</f>
        <v>0</v>
      </c>
      <c r="AL437" s="21" t="n">
        <f aca="false">IF($J437=0,0,MAX(0,NETWORKDAYS(MAX($K437,AL$4),MIN($L437,EOMONTH(AL$4,0)),Assumptions!$F$4:$F$44))/NETWORKDAYS($K437,$L437,Assumptions!$F$4:$F$44))</f>
        <v>0</v>
      </c>
      <c r="AM437" s="21" t="n">
        <f aca="false">IF($J437=0,0,MAX(0,NETWORKDAYS(MAX($K437,AM$4),MIN($L437,EOMONTH(AM$4,0)),Assumptions!$F$4:$F$44))/NETWORKDAYS($K437,$L437,Assumptions!$F$4:$F$44))</f>
        <v>0</v>
      </c>
      <c r="AN437" s="21" t="n">
        <f aca="false">IF($J437=0,0,MAX(0,NETWORKDAYS(MAX($K437,AN$4),MIN($L437,EOMONTH(AN$4,0)),Assumptions!$F$4:$F$44))/NETWORKDAYS($K437,$L437,Assumptions!$F$4:$F$44))</f>
        <v>0</v>
      </c>
      <c r="AO437" s="21" t="n">
        <f aca="false">IF($J437=0,0,MAX(0,NETWORKDAYS(MAX($K437,AO$4),MIN($L437,EOMONTH(AO$4,0)),Assumptions!$F$4:$F$44))/NETWORKDAYS($K437,$L437,Assumptions!$F$4:$F$44))</f>
        <v>0</v>
      </c>
      <c r="AP437" s="21" t="n">
        <f aca="false">IF($J437=0,0,MAX(0,NETWORKDAYS(MAX($K437,AP$4),MIN($L437,EOMONTH(AP$4,0)),Assumptions!$F$4:$F$44))/NETWORKDAYS($K437,$L437,Assumptions!$F$4:$F$44))</f>
        <v>0</v>
      </c>
      <c r="AQ437" s="21" t="n">
        <f aca="false">IF($J437=0,0,MAX(0,NETWORKDAYS(MAX($K437,AQ$4),MIN($L437,EOMONTH(AQ$4,0)),Assumptions!$F$4:$F$44))/NETWORKDAYS($K437,$L437,Assumptions!$F$4:$F$44))</f>
        <v>0</v>
      </c>
      <c r="AR437" s="21" t="n">
        <f aca="false">IF($J437=0,0,MAX(0,NETWORKDAYS(MAX($K437,AR$4),MIN($L437,EOMONTH(AR$4,0)),Assumptions!$F$4:$F$44))/NETWORKDAYS($K437,$L437,Assumptions!$F$4:$F$44))</f>
        <v>1</v>
      </c>
      <c r="AS437" s="21" t="n">
        <f aca="false">IF($J437=0,0,MAX(0,NETWORKDAYS(MAX($K437,AS$4),MIN($L437,EOMONTH(AS$4,0)),Assumptions!$F$4:$F$44))/NETWORKDAYS($K437,$L437,Assumptions!$F$4:$F$44))</f>
        <v>0</v>
      </c>
      <c r="AT437" s="21" t="n">
        <f aca="false">IF($J437=0,0,MAX(0,NETWORKDAYS(MAX($K437,AT$4),MIN($L437,EOMONTH(AT$4,0)),Assumptions!$F$4:$F$44))/NETWORKDAYS($K437,$L437,Assumptions!$F$4:$F$44))</f>
        <v>0</v>
      </c>
      <c r="AU437" s="21" t="n">
        <f aca="false">IF($J437=0,0,MAX(0,NETWORKDAYS(MAX($K437,AU$4),MIN($L437,EOMONTH(AU$4,0)),Assumptions!$F$4:$F$44))/NETWORKDAYS($K437,$L437,Assumptions!$F$4:$F$44))</f>
        <v>0</v>
      </c>
      <c r="AV437" s="21" t="n">
        <f aca="false">IF($J437=0,0,MAX(0,NETWORKDAYS(MAX($K437,AV$4),MIN($L437,EOMONTH(AV$4,0)),Assumptions!$F$4:$F$44))/NETWORKDAYS($K437,$L437,Assumptions!$F$4:$F$44))</f>
        <v>0</v>
      </c>
      <c r="AW437" s="21" t="n">
        <f aca="false">IF($J437=0,0,MAX(0,NETWORKDAYS(MAX($K437,AW$4),MIN($L437,EOMONTH(AW$4,0)),Assumptions!$F$4:$F$44))/NETWORKDAYS($K437,$L437,Assumptions!$F$4:$F$44))</f>
        <v>0</v>
      </c>
      <c r="AX437" s="21" t="n">
        <f aca="false">IF($J437=0,0,MAX(0,NETWORKDAYS(MAX($K437,AX$4),MIN($L437,EOMONTH(AX$4,0)),Assumptions!$F$4:$F$44))/NETWORKDAYS($K437,$L437,Assumptions!$F$4:$F$44))</f>
        <v>0</v>
      </c>
      <c r="AY437" s="21" t="n">
        <f aca="false">IF($J437=0,0,MAX(0,NETWORKDAYS(MAX($K437,AY$4),MIN($L437,EOMONTH(AY$4,0)),Assumptions!$F$4:$F$44))/NETWORKDAYS($K437,$L437,Assumptions!$F$4:$F$44))</f>
        <v>0</v>
      </c>
      <c r="AZ437" s="21" t="n">
        <f aca="false">IF($J437=0,0,MAX(0,NETWORKDAYS(MAX($K437,AZ$4),MIN($L437,EOMONTH(AZ$4,0)),Assumptions!$F$4:$F$44))/NETWORKDAYS($K437,$L437,Assumptions!$F$4:$F$44))</f>
        <v>0</v>
      </c>
      <c r="BA437" s="21" t="n">
        <f aca="false">IF($J437=0,0,MAX(0,NETWORKDAYS(MAX($K437,BA$4),MIN($L437,EOMONTH(BA$4,0)),Assumptions!$F$4:$F$44))/NETWORKDAYS($K437,$L437,Assumptions!$F$4:$F$44))</f>
        <v>0</v>
      </c>
      <c r="BB437" s="21" t="n">
        <f aca="false">IF($J437=0,0,MAX(0,NETWORKDAYS(MAX($K437,BB$4),MIN($L437,EOMONTH(BB$4,0)),Assumptions!$F$4:$F$44))/NETWORKDAYS($K437,$L437,Assumptions!$F$4:$F$44))</f>
        <v>0</v>
      </c>
      <c r="BC437" s="21" t="n">
        <f aca="false">IF($J437=0,0,MAX(0,NETWORKDAYS(MAX($K437,BC$4),MIN($L437,EOMONTH(BC$4,0)),Assumptions!$F$4:$F$44))/NETWORKDAYS($K437,$L437,Assumptions!$F$4:$F$44))</f>
        <v>0</v>
      </c>
    </row>
    <row r="438" customFormat="false" ht="15" hidden="false" customHeight="false" outlineLevel="2" collapsed="false">
      <c r="A438" s="27" t="n">
        <v>434</v>
      </c>
      <c r="B438" s="27" t="s">
        <v>916</v>
      </c>
      <c r="C438" s="27" t="n">
        <v>3</v>
      </c>
      <c r="D438" s="27" t="s">
        <v>92</v>
      </c>
      <c r="E438" s="28" t="s">
        <v>296</v>
      </c>
      <c r="F438" s="27" t="s">
        <v>846</v>
      </c>
      <c r="G438" s="27" t="s">
        <v>913</v>
      </c>
      <c r="H438" s="27" t="s">
        <v>45</v>
      </c>
      <c r="I438" s="29" t="n">
        <v>275</v>
      </c>
      <c r="J438" s="29" t="n">
        <v>16</v>
      </c>
      <c r="K438" s="30" t="n">
        <f aca="false">WORKDAY(Assumptions!$C$4,I438,Assumptions!$F$4:$F$44)</f>
        <v>46713</v>
      </c>
      <c r="L438" s="30" t="n">
        <f aca="false">IF(J438=0,K438,WORKDAY(K438,J438-1,Assumptions!$F$4:$F$44))</f>
        <v>46734</v>
      </c>
      <c r="M438" s="29" t="s">
        <v>917</v>
      </c>
      <c r="N438" s="31" t="n">
        <v>0</v>
      </c>
      <c r="O438" s="31" t="n">
        <v>0</v>
      </c>
      <c r="P438" s="31" t="n">
        <v>4</v>
      </c>
      <c r="Q438" s="31" t="n">
        <v>4</v>
      </c>
      <c r="R438" s="31" t="n">
        <v>0</v>
      </c>
      <c r="S438" s="31" t="n">
        <v>0</v>
      </c>
      <c r="T438" s="31" t="n">
        <v>0</v>
      </c>
      <c r="U438" s="31" t="n">
        <v>0</v>
      </c>
      <c r="V438" s="31" t="n">
        <v>0</v>
      </c>
      <c r="W438" s="31" t="n">
        <v>0</v>
      </c>
      <c r="X438" s="31" t="n">
        <v>0</v>
      </c>
      <c r="Y438" s="32" t="n">
        <f aca="false">SUM(N438:X438)</f>
        <v>8</v>
      </c>
      <c r="Z438" s="32" t="n">
        <f aca="false">Y438*(1+Assumptions!$C$5)</f>
        <v>9.2</v>
      </c>
      <c r="AA438" s="27" t="s">
        <v>298</v>
      </c>
      <c r="AB438" s="27" t="s">
        <v>95</v>
      </c>
      <c r="AC438" s="27"/>
      <c r="AD438" s="33" t="n">
        <v>0</v>
      </c>
      <c r="AF438" s="21" t="n">
        <f aca="false">IF($J438=0,0,MAX(0,NETWORKDAYS(MAX($K438,AF$4),MIN($L438,EOMONTH(AF$4,0)),Assumptions!$F$4:$F$44))/NETWORKDAYS($K438,$L438,Assumptions!$F$4:$F$44))</f>
        <v>0</v>
      </c>
      <c r="AG438" s="21" t="n">
        <f aca="false">IF($J438=0,0,MAX(0,NETWORKDAYS(MAX($K438,AG$4),MIN($L438,EOMONTH(AG$4,0)),Assumptions!$F$4:$F$44))/NETWORKDAYS($K438,$L438,Assumptions!$F$4:$F$44))</f>
        <v>0</v>
      </c>
      <c r="AH438" s="21" t="n">
        <f aca="false">IF($J438=0,0,MAX(0,NETWORKDAYS(MAX($K438,AH$4),MIN($L438,EOMONTH(AH$4,0)),Assumptions!$F$4:$F$44))/NETWORKDAYS($K438,$L438,Assumptions!$F$4:$F$44))</f>
        <v>0</v>
      </c>
      <c r="AI438" s="21" t="n">
        <f aca="false">IF($J438=0,0,MAX(0,NETWORKDAYS(MAX($K438,AI$4),MIN($L438,EOMONTH(AI$4,0)),Assumptions!$F$4:$F$44))/NETWORKDAYS($K438,$L438,Assumptions!$F$4:$F$44))</f>
        <v>0</v>
      </c>
      <c r="AJ438" s="21" t="n">
        <f aca="false">IF($J438=0,0,MAX(0,NETWORKDAYS(MAX($K438,AJ$4),MIN($L438,EOMONTH(AJ$4,0)),Assumptions!$F$4:$F$44))/NETWORKDAYS($K438,$L438,Assumptions!$F$4:$F$44))</f>
        <v>0</v>
      </c>
      <c r="AK438" s="21" t="n">
        <f aca="false">IF($J438=0,0,MAX(0,NETWORKDAYS(MAX($K438,AK$4),MIN($L438,EOMONTH(AK$4,0)),Assumptions!$F$4:$F$44))/NETWORKDAYS($K438,$L438,Assumptions!$F$4:$F$44))</f>
        <v>0</v>
      </c>
      <c r="AL438" s="21" t="n">
        <f aca="false">IF($J438=0,0,MAX(0,NETWORKDAYS(MAX($K438,AL$4),MIN($L438,EOMONTH(AL$4,0)),Assumptions!$F$4:$F$44))/NETWORKDAYS($K438,$L438,Assumptions!$F$4:$F$44))</f>
        <v>0</v>
      </c>
      <c r="AM438" s="21" t="n">
        <f aca="false">IF($J438=0,0,MAX(0,NETWORKDAYS(MAX($K438,AM$4),MIN($L438,EOMONTH(AM$4,0)),Assumptions!$F$4:$F$44))/NETWORKDAYS($K438,$L438,Assumptions!$F$4:$F$44))</f>
        <v>0</v>
      </c>
      <c r="AN438" s="21" t="n">
        <f aca="false">IF($J438=0,0,MAX(0,NETWORKDAYS(MAX($K438,AN$4),MIN($L438,EOMONTH(AN$4,0)),Assumptions!$F$4:$F$44))/NETWORKDAYS($K438,$L438,Assumptions!$F$4:$F$44))</f>
        <v>0</v>
      </c>
      <c r="AO438" s="21" t="n">
        <f aca="false">IF($J438=0,0,MAX(0,NETWORKDAYS(MAX($K438,AO$4),MIN($L438,EOMONTH(AO$4,0)),Assumptions!$F$4:$F$44))/NETWORKDAYS($K438,$L438,Assumptions!$F$4:$F$44))</f>
        <v>0</v>
      </c>
      <c r="AP438" s="21" t="n">
        <f aca="false">IF($J438=0,0,MAX(0,NETWORKDAYS(MAX($K438,AP$4),MIN($L438,EOMONTH(AP$4,0)),Assumptions!$F$4:$F$44))/NETWORKDAYS($K438,$L438,Assumptions!$F$4:$F$44))</f>
        <v>0</v>
      </c>
      <c r="AQ438" s="21" t="n">
        <f aca="false">IF($J438=0,0,MAX(0,NETWORKDAYS(MAX($K438,AQ$4),MIN($L438,EOMONTH(AQ$4,0)),Assumptions!$F$4:$F$44))/NETWORKDAYS($K438,$L438,Assumptions!$F$4:$F$44))</f>
        <v>0</v>
      </c>
      <c r="AR438" s="21" t="n">
        <f aca="false">IF($J438=0,0,MAX(0,NETWORKDAYS(MAX($K438,AR$4),MIN($L438,EOMONTH(AR$4,0)),Assumptions!$F$4:$F$44))/NETWORKDAYS($K438,$L438,Assumptions!$F$4:$F$44))</f>
        <v>0.4375</v>
      </c>
      <c r="AS438" s="21" t="n">
        <f aca="false">IF($J438=0,0,MAX(0,NETWORKDAYS(MAX($K438,AS$4),MIN($L438,EOMONTH(AS$4,0)),Assumptions!$F$4:$F$44))/NETWORKDAYS($K438,$L438,Assumptions!$F$4:$F$44))</f>
        <v>0.5625</v>
      </c>
      <c r="AT438" s="21" t="n">
        <f aca="false">IF($J438=0,0,MAX(0,NETWORKDAYS(MAX($K438,AT$4),MIN($L438,EOMONTH(AT$4,0)),Assumptions!$F$4:$F$44))/NETWORKDAYS($K438,$L438,Assumptions!$F$4:$F$44))</f>
        <v>0</v>
      </c>
      <c r="AU438" s="21" t="n">
        <f aca="false">IF($J438=0,0,MAX(0,NETWORKDAYS(MAX($K438,AU$4),MIN($L438,EOMONTH(AU$4,0)),Assumptions!$F$4:$F$44))/NETWORKDAYS($K438,$L438,Assumptions!$F$4:$F$44))</f>
        <v>0</v>
      </c>
      <c r="AV438" s="21" t="n">
        <f aca="false">IF($J438=0,0,MAX(0,NETWORKDAYS(MAX($K438,AV$4),MIN($L438,EOMONTH(AV$4,0)),Assumptions!$F$4:$F$44))/NETWORKDAYS($K438,$L438,Assumptions!$F$4:$F$44))</f>
        <v>0</v>
      </c>
      <c r="AW438" s="21" t="n">
        <f aca="false">IF($J438=0,0,MAX(0,NETWORKDAYS(MAX($K438,AW$4),MIN($L438,EOMONTH(AW$4,0)),Assumptions!$F$4:$F$44))/NETWORKDAYS($K438,$L438,Assumptions!$F$4:$F$44))</f>
        <v>0</v>
      </c>
      <c r="AX438" s="21" t="n">
        <f aca="false">IF($J438=0,0,MAX(0,NETWORKDAYS(MAX($K438,AX$4),MIN($L438,EOMONTH(AX$4,0)),Assumptions!$F$4:$F$44))/NETWORKDAYS($K438,$L438,Assumptions!$F$4:$F$44))</f>
        <v>0</v>
      </c>
      <c r="AY438" s="21" t="n">
        <f aca="false">IF($J438=0,0,MAX(0,NETWORKDAYS(MAX($K438,AY$4),MIN($L438,EOMONTH(AY$4,0)),Assumptions!$F$4:$F$44))/NETWORKDAYS($K438,$L438,Assumptions!$F$4:$F$44))</f>
        <v>0</v>
      </c>
      <c r="AZ438" s="21" t="n">
        <f aca="false">IF($J438=0,0,MAX(0,NETWORKDAYS(MAX($K438,AZ$4),MIN($L438,EOMONTH(AZ$4,0)),Assumptions!$F$4:$F$44))/NETWORKDAYS($K438,$L438,Assumptions!$F$4:$F$44))</f>
        <v>0</v>
      </c>
      <c r="BA438" s="21" t="n">
        <f aca="false">IF($J438=0,0,MAX(0,NETWORKDAYS(MAX($K438,BA$4),MIN($L438,EOMONTH(BA$4,0)),Assumptions!$F$4:$F$44))/NETWORKDAYS($K438,$L438,Assumptions!$F$4:$F$44))</f>
        <v>0</v>
      </c>
      <c r="BB438" s="21" t="n">
        <f aca="false">IF($J438=0,0,MAX(0,NETWORKDAYS(MAX($K438,BB$4),MIN($L438,EOMONTH(BB$4,0)),Assumptions!$F$4:$F$44))/NETWORKDAYS($K438,$L438,Assumptions!$F$4:$F$44))</f>
        <v>0</v>
      </c>
      <c r="BC438" s="21" t="n">
        <f aca="false">IF($J438=0,0,MAX(0,NETWORKDAYS(MAX($K438,BC$4),MIN($L438,EOMONTH(BC$4,0)),Assumptions!$F$4:$F$44))/NETWORKDAYS($K438,$L438,Assumptions!$F$4:$F$44))</f>
        <v>0</v>
      </c>
    </row>
    <row r="439" customFormat="false" ht="15" hidden="false" customHeight="false" outlineLevel="2" collapsed="false">
      <c r="A439" s="27" t="n">
        <v>435</v>
      </c>
      <c r="B439" s="27" t="s">
        <v>918</v>
      </c>
      <c r="C439" s="27" t="n">
        <v>3</v>
      </c>
      <c r="D439" s="27" t="s">
        <v>92</v>
      </c>
      <c r="E439" s="28" t="s">
        <v>300</v>
      </c>
      <c r="F439" s="27" t="s">
        <v>846</v>
      </c>
      <c r="G439" s="27" t="s">
        <v>913</v>
      </c>
      <c r="H439" s="27" t="s">
        <v>49</v>
      </c>
      <c r="I439" s="29" t="n">
        <v>275</v>
      </c>
      <c r="J439" s="29" t="n">
        <v>16</v>
      </c>
      <c r="K439" s="30" t="n">
        <f aca="false">WORKDAY(Assumptions!$C$4,I439,Assumptions!$F$4:$F$44)</f>
        <v>46713</v>
      </c>
      <c r="L439" s="30" t="n">
        <f aca="false">IF(J439=0,K439,WORKDAY(K439,J439-1,Assumptions!$F$4:$F$44))</f>
        <v>46734</v>
      </c>
      <c r="M439" s="29" t="s">
        <v>917</v>
      </c>
      <c r="N439" s="31" t="n">
        <v>0</v>
      </c>
      <c r="O439" s="31" t="n">
        <v>2</v>
      </c>
      <c r="P439" s="31" t="n">
        <v>0</v>
      </c>
      <c r="Q439" s="31" t="n">
        <v>0</v>
      </c>
      <c r="R439" s="31" t="n">
        <v>5</v>
      </c>
      <c r="S439" s="31" t="n">
        <v>0</v>
      </c>
      <c r="T439" s="31" t="n">
        <v>0</v>
      </c>
      <c r="U439" s="31" t="n">
        <v>0</v>
      </c>
      <c r="V439" s="31" t="n">
        <v>0</v>
      </c>
      <c r="W439" s="31" t="n">
        <v>0</v>
      </c>
      <c r="X439" s="31" t="n">
        <v>0</v>
      </c>
      <c r="Y439" s="32" t="n">
        <f aca="false">SUM(N439:X439)</f>
        <v>7</v>
      </c>
      <c r="Z439" s="32" t="n">
        <f aca="false">Y439*(1+Assumptions!$C$5)</f>
        <v>8.05</v>
      </c>
      <c r="AA439" s="27" t="s">
        <v>301</v>
      </c>
      <c r="AB439" s="27" t="s">
        <v>95</v>
      </c>
      <c r="AC439" s="27"/>
      <c r="AD439" s="33" t="n">
        <v>0</v>
      </c>
      <c r="AF439" s="21" t="n">
        <f aca="false">IF($J439=0,0,MAX(0,NETWORKDAYS(MAX($K439,AF$4),MIN($L439,EOMONTH(AF$4,0)),Assumptions!$F$4:$F$44))/NETWORKDAYS($K439,$L439,Assumptions!$F$4:$F$44))</f>
        <v>0</v>
      </c>
      <c r="AG439" s="21" t="n">
        <f aca="false">IF($J439=0,0,MAX(0,NETWORKDAYS(MAX($K439,AG$4),MIN($L439,EOMONTH(AG$4,0)),Assumptions!$F$4:$F$44))/NETWORKDAYS($K439,$L439,Assumptions!$F$4:$F$44))</f>
        <v>0</v>
      </c>
      <c r="AH439" s="21" t="n">
        <f aca="false">IF($J439=0,0,MAX(0,NETWORKDAYS(MAX($K439,AH$4),MIN($L439,EOMONTH(AH$4,0)),Assumptions!$F$4:$F$44))/NETWORKDAYS($K439,$L439,Assumptions!$F$4:$F$44))</f>
        <v>0</v>
      </c>
      <c r="AI439" s="21" t="n">
        <f aca="false">IF($J439=0,0,MAX(0,NETWORKDAYS(MAX($K439,AI$4),MIN($L439,EOMONTH(AI$4,0)),Assumptions!$F$4:$F$44))/NETWORKDAYS($K439,$L439,Assumptions!$F$4:$F$44))</f>
        <v>0</v>
      </c>
      <c r="AJ439" s="21" t="n">
        <f aca="false">IF($J439=0,0,MAX(0,NETWORKDAYS(MAX($K439,AJ$4),MIN($L439,EOMONTH(AJ$4,0)),Assumptions!$F$4:$F$44))/NETWORKDAYS($K439,$L439,Assumptions!$F$4:$F$44))</f>
        <v>0</v>
      </c>
      <c r="AK439" s="21" t="n">
        <f aca="false">IF($J439=0,0,MAX(0,NETWORKDAYS(MAX($K439,AK$4),MIN($L439,EOMONTH(AK$4,0)),Assumptions!$F$4:$F$44))/NETWORKDAYS($K439,$L439,Assumptions!$F$4:$F$44))</f>
        <v>0</v>
      </c>
      <c r="AL439" s="21" t="n">
        <f aca="false">IF($J439=0,0,MAX(0,NETWORKDAYS(MAX($K439,AL$4),MIN($L439,EOMONTH(AL$4,0)),Assumptions!$F$4:$F$44))/NETWORKDAYS($K439,$L439,Assumptions!$F$4:$F$44))</f>
        <v>0</v>
      </c>
      <c r="AM439" s="21" t="n">
        <f aca="false">IF($J439=0,0,MAX(0,NETWORKDAYS(MAX($K439,AM$4),MIN($L439,EOMONTH(AM$4,0)),Assumptions!$F$4:$F$44))/NETWORKDAYS($K439,$L439,Assumptions!$F$4:$F$44))</f>
        <v>0</v>
      </c>
      <c r="AN439" s="21" t="n">
        <f aca="false">IF($J439=0,0,MAX(0,NETWORKDAYS(MAX($K439,AN$4),MIN($L439,EOMONTH(AN$4,0)),Assumptions!$F$4:$F$44))/NETWORKDAYS($K439,$L439,Assumptions!$F$4:$F$44))</f>
        <v>0</v>
      </c>
      <c r="AO439" s="21" t="n">
        <f aca="false">IF($J439=0,0,MAX(0,NETWORKDAYS(MAX($K439,AO$4),MIN($L439,EOMONTH(AO$4,0)),Assumptions!$F$4:$F$44))/NETWORKDAYS($K439,$L439,Assumptions!$F$4:$F$44))</f>
        <v>0</v>
      </c>
      <c r="AP439" s="21" t="n">
        <f aca="false">IF($J439=0,0,MAX(0,NETWORKDAYS(MAX($K439,AP$4),MIN($L439,EOMONTH(AP$4,0)),Assumptions!$F$4:$F$44))/NETWORKDAYS($K439,$L439,Assumptions!$F$4:$F$44))</f>
        <v>0</v>
      </c>
      <c r="AQ439" s="21" t="n">
        <f aca="false">IF($J439=0,0,MAX(0,NETWORKDAYS(MAX($K439,AQ$4),MIN($L439,EOMONTH(AQ$4,0)),Assumptions!$F$4:$F$44))/NETWORKDAYS($K439,$L439,Assumptions!$F$4:$F$44))</f>
        <v>0</v>
      </c>
      <c r="AR439" s="21" t="n">
        <f aca="false">IF($J439=0,0,MAX(0,NETWORKDAYS(MAX($K439,AR$4),MIN($L439,EOMONTH(AR$4,0)),Assumptions!$F$4:$F$44))/NETWORKDAYS($K439,$L439,Assumptions!$F$4:$F$44))</f>
        <v>0.4375</v>
      </c>
      <c r="AS439" s="21" t="n">
        <f aca="false">IF($J439=0,0,MAX(0,NETWORKDAYS(MAX($K439,AS$4),MIN($L439,EOMONTH(AS$4,0)),Assumptions!$F$4:$F$44))/NETWORKDAYS($K439,$L439,Assumptions!$F$4:$F$44))</f>
        <v>0.5625</v>
      </c>
      <c r="AT439" s="21" t="n">
        <f aca="false">IF($J439=0,0,MAX(0,NETWORKDAYS(MAX($K439,AT$4),MIN($L439,EOMONTH(AT$4,0)),Assumptions!$F$4:$F$44))/NETWORKDAYS($K439,$L439,Assumptions!$F$4:$F$44))</f>
        <v>0</v>
      </c>
      <c r="AU439" s="21" t="n">
        <f aca="false">IF($J439=0,0,MAX(0,NETWORKDAYS(MAX($K439,AU$4),MIN($L439,EOMONTH(AU$4,0)),Assumptions!$F$4:$F$44))/NETWORKDAYS($K439,$L439,Assumptions!$F$4:$F$44))</f>
        <v>0</v>
      </c>
      <c r="AV439" s="21" t="n">
        <f aca="false">IF($J439=0,0,MAX(0,NETWORKDAYS(MAX($K439,AV$4),MIN($L439,EOMONTH(AV$4,0)),Assumptions!$F$4:$F$44))/NETWORKDAYS($K439,$L439,Assumptions!$F$4:$F$44))</f>
        <v>0</v>
      </c>
      <c r="AW439" s="21" t="n">
        <f aca="false">IF($J439=0,0,MAX(0,NETWORKDAYS(MAX($K439,AW$4),MIN($L439,EOMONTH(AW$4,0)),Assumptions!$F$4:$F$44))/NETWORKDAYS($K439,$L439,Assumptions!$F$4:$F$44))</f>
        <v>0</v>
      </c>
      <c r="AX439" s="21" t="n">
        <f aca="false">IF($J439=0,0,MAX(0,NETWORKDAYS(MAX($K439,AX$4),MIN($L439,EOMONTH(AX$4,0)),Assumptions!$F$4:$F$44))/NETWORKDAYS($K439,$L439,Assumptions!$F$4:$F$44))</f>
        <v>0</v>
      </c>
      <c r="AY439" s="21" t="n">
        <f aca="false">IF($J439=0,0,MAX(0,NETWORKDAYS(MAX($K439,AY$4),MIN($L439,EOMONTH(AY$4,0)),Assumptions!$F$4:$F$44))/NETWORKDAYS($K439,$L439,Assumptions!$F$4:$F$44))</f>
        <v>0</v>
      </c>
      <c r="AZ439" s="21" t="n">
        <f aca="false">IF($J439=0,0,MAX(0,NETWORKDAYS(MAX($K439,AZ$4),MIN($L439,EOMONTH(AZ$4,0)),Assumptions!$F$4:$F$44))/NETWORKDAYS($K439,$L439,Assumptions!$F$4:$F$44))</f>
        <v>0</v>
      </c>
      <c r="BA439" s="21" t="n">
        <f aca="false">IF($J439=0,0,MAX(0,NETWORKDAYS(MAX($K439,BA$4),MIN($L439,EOMONTH(BA$4,0)),Assumptions!$F$4:$F$44))/NETWORKDAYS($K439,$L439,Assumptions!$F$4:$F$44))</f>
        <v>0</v>
      </c>
      <c r="BB439" s="21" t="n">
        <f aca="false">IF($J439=0,0,MAX(0,NETWORKDAYS(MAX($K439,BB$4),MIN($L439,EOMONTH(BB$4,0)),Assumptions!$F$4:$F$44))/NETWORKDAYS($K439,$L439,Assumptions!$F$4:$F$44))</f>
        <v>0</v>
      </c>
      <c r="BC439" s="21" t="n">
        <f aca="false">IF($J439=0,0,MAX(0,NETWORKDAYS(MAX($K439,BC$4),MIN($L439,EOMONTH(BC$4,0)),Assumptions!$F$4:$F$44))/NETWORKDAYS($K439,$L439,Assumptions!$F$4:$F$44))</f>
        <v>0</v>
      </c>
    </row>
    <row r="440" customFormat="false" ht="15" hidden="false" customHeight="false" outlineLevel="2" collapsed="false">
      <c r="A440" s="27" t="n">
        <v>436</v>
      </c>
      <c r="B440" s="27" t="s">
        <v>919</v>
      </c>
      <c r="C440" s="27" t="n">
        <v>3</v>
      </c>
      <c r="D440" s="27" t="s">
        <v>92</v>
      </c>
      <c r="E440" s="28" t="s">
        <v>303</v>
      </c>
      <c r="F440" s="27" t="s">
        <v>846</v>
      </c>
      <c r="G440" s="27" t="s">
        <v>913</v>
      </c>
      <c r="H440" s="27" t="s">
        <v>47</v>
      </c>
      <c r="I440" s="29" t="n">
        <v>288</v>
      </c>
      <c r="J440" s="29" t="n">
        <v>55</v>
      </c>
      <c r="K440" s="30" t="n">
        <f aca="false">WORKDAY(Assumptions!$C$4,I440,Assumptions!$F$4:$F$44)</f>
        <v>46730</v>
      </c>
      <c r="L440" s="30" t="n">
        <f aca="false">IF(J440=0,K440,WORKDAY(K440,J440-1,Assumptions!$F$4:$F$44))</f>
        <v>46806</v>
      </c>
      <c r="M440" s="29" t="s">
        <v>920</v>
      </c>
      <c r="N440" s="31" t="n">
        <v>0</v>
      </c>
      <c r="O440" s="31" t="n">
        <v>0</v>
      </c>
      <c r="P440" s="31" t="n">
        <v>0</v>
      </c>
      <c r="Q440" s="31" t="n">
        <v>26</v>
      </c>
      <c r="R440" s="31" t="n">
        <v>0</v>
      </c>
      <c r="S440" s="31" t="n">
        <v>0</v>
      </c>
      <c r="T440" s="31" t="n">
        <v>0</v>
      </c>
      <c r="U440" s="31" t="n">
        <v>0</v>
      </c>
      <c r="V440" s="31" t="n">
        <v>0</v>
      </c>
      <c r="W440" s="31" t="n">
        <v>0</v>
      </c>
      <c r="X440" s="31" t="n">
        <v>0</v>
      </c>
      <c r="Y440" s="32" t="n">
        <f aca="false">SUM(N440:X440)</f>
        <v>26</v>
      </c>
      <c r="Z440" s="32" t="n">
        <f aca="false">Y440*(1+Assumptions!$C$5)</f>
        <v>29.9</v>
      </c>
      <c r="AA440" s="27" t="s">
        <v>305</v>
      </c>
      <c r="AB440" s="27" t="s">
        <v>95</v>
      </c>
      <c r="AC440" s="27"/>
      <c r="AD440" s="33" t="n">
        <v>0</v>
      </c>
      <c r="AF440" s="21" t="n">
        <f aca="false">IF($J440=0,0,MAX(0,NETWORKDAYS(MAX($K440,AF$4),MIN($L440,EOMONTH(AF$4,0)),Assumptions!$F$4:$F$44))/NETWORKDAYS($K440,$L440,Assumptions!$F$4:$F$44))</f>
        <v>0</v>
      </c>
      <c r="AG440" s="21" t="n">
        <f aca="false">IF($J440=0,0,MAX(0,NETWORKDAYS(MAX($K440,AG$4),MIN($L440,EOMONTH(AG$4,0)),Assumptions!$F$4:$F$44))/NETWORKDAYS($K440,$L440,Assumptions!$F$4:$F$44))</f>
        <v>0</v>
      </c>
      <c r="AH440" s="21" t="n">
        <f aca="false">IF($J440=0,0,MAX(0,NETWORKDAYS(MAX($K440,AH$4),MIN($L440,EOMONTH(AH$4,0)),Assumptions!$F$4:$F$44))/NETWORKDAYS($K440,$L440,Assumptions!$F$4:$F$44))</f>
        <v>0</v>
      </c>
      <c r="AI440" s="21" t="n">
        <f aca="false">IF($J440=0,0,MAX(0,NETWORKDAYS(MAX($K440,AI$4),MIN($L440,EOMONTH(AI$4,0)),Assumptions!$F$4:$F$44))/NETWORKDAYS($K440,$L440,Assumptions!$F$4:$F$44))</f>
        <v>0</v>
      </c>
      <c r="AJ440" s="21" t="n">
        <f aca="false">IF($J440=0,0,MAX(0,NETWORKDAYS(MAX($K440,AJ$4),MIN($L440,EOMONTH(AJ$4,0)),Assumptions!$F$4:$F$44))/NETWORKDAYS($K440,$L440,Assumptions!$F$4:$F$44))</f>
        <v>0</v>
      </c>
      <c r="AK440" s="21" t="n">
        <f aca="false">IF($J440=0,0,MAX(0,NETWORKDAYS(MAX($K440,AK$4),MIN($L440,EOMONTH(AK$4,0)),Assumptions!$F$4:$F$44))/NETWORKDAYS($K440,$L440,Assumptions!$F$4:$F$44))</f>
        <v>0</v>
      </c>
      <c r="AL440" s="21" t="n">
        <f aca="false">IF($J440=0,0,MAX(0,NETWORKDAYS(MAX($K440,AL$4),MIN($L440,EOMONTH(AL$4,0)),Assumptions!$F$4:$F$44))/NETWORKDAYS($K440,$L440,Assumptions!$F$4:$F$44))</f>
        <v>0</v>
      </c>
      <c r="AM440" s="21" t="n">
        <f aca="false">IF($J440=0,0,MAX(0,NETWORKDAYS(MAX($K440,AM$4),MIN($L440,EOMONTH(AM$4,0)),Assumptions!$F$4:$F$44))/NETWORKDAYS($K440,$L440,Assumptions!$F$4:$F$44))</f>
        <v>0</v>
      </c>
      <c r="AN440" s="21" t="n">
        <f aca="false">IF($J440=0,0,MAX(0,NETWORKDAYS(MAX($K440,AN$4),MIN($L440,EOMONTH(AN$4,0)),Assumptions!$F$4:$F$44))/NETWORKDAYS($K440,$L440,Assumptions!$F$4:$F$44))</f>
        <v>0</v>
      </c>
      <c r="AO440" s="21" t="n">
        <f aca="false">IF($J440=0,0,MAX(0,NETWORKDAYS(MAX($K440,AO$4),MIN($L440,EOMONTH(AO$4,0)),Assumptions!$F$4:$F$44))/NETWORKDAYS($K440,$L440,Assumptions!$F$4:$F$44))</f>
        <v>0</v>
      </c>
      <c r="AP440" s="21" t="n">
        <f aca="false">IF($J440=0,0,MAX(0,NETWORKDAYS(MAX($K440,AP$4),MIN($L440,EOMONTH(AP$4,0)),Assumptions!$F$4:$F$44))/NETWORKDAYS($K440,$L440,Assumptions!$F$4:$F$44))</f>
        <v>0</v>
      </c>
      <c r="AQ440" s="21" t="n">
        <f aca="false">IF($J440=0,0,MAX(0,NETWORKDAYS(MAX($K440,AQ$4),MIN($L440,EOMONTH(AQ$4,0)),Assumptions!$F$4:$F$44))/NETWORKDAYS($K440,$L440,Assumptions!$F$4:$F$44))</f>
        <v>0</v>
      </c>
      <c r="AR440" s="21" t="n">
        <f aca="false">IF($J440=0,0,MAX(0,NETWORKDAYS(MAX($K440,AR$4),MIN($L440,EOMONTH(AR$4,0)),Assumptions!$F$4:$F$44))/NETWORKDAYS($K440,$L440,Assumptions!$F$4:$F$44))</f>
        <v>0</v>
      </c>
      <c r="AS440" s="21" t="n">
        <f aca="false">IF($J440=0,0,MAX(0,NETWORKDAYS(MAX($K440,AS$4),MIN($L440,EOMONTH(AS$4,0)),Assumptions!$F$4:$F$44))/NETWORKDAYS($K440,$L440,Assumptions!$F$4:$F$44))</f>
        <v>0.309090909090909</v>
      </c>
      <c r="AT440" s="21" t="n">
        <f aca="false">IF($J440=0,0,MAX(0,NETWORKDAYS(MAX($K440,AT$4),MIN($L440,EOMONTH(AT$4,0)),Assumptions!$F$4:$F$44))/NETWORKDAYS($K440,$L440,Assumptions!$F$4:$F$44))</f>
        <v>0.381818181818182</v>
      </c>
      <c r="AU440" s="21" t="n">
        <f aca="false">IF($J440=0,0,MAX(0,NETWORKDAYS(MAX($K440,AU$4),MIN($L440,EOMONTH(AU$4,0)),Assumptions!$F$4:$F$44))/NETWORKDAYS($K440,$L440,Assumptions!$F$4:$F$44))</f>
        <v>0.309090909090909</v>
      </c>
      <c r="AV440" s="21" t="n">
        <f aca="false">IF($J440=0,0,MAX(0,NETWORKDAYS(MAX($K440,AV$4),MIN($L440,EOMONTH(AV$4,0)),Assumptions!$F$4:$F$44))/NETWORKDAYS($K440,$L440,Assumptions!$F$4:$F$44))</f>
        <v>0</v>
      </c>
      <c r="AW440" s="21" t="n">
        <f aca="false">IF($J440=0,0,MAX(0,NETWORKDAYS(MAX($K440,AW$4),MIN($L440,EOMONTH(AW$4,0)),Assumptions!$F$4:$F$44))/NETWORKDAYS($K440,$L440,Assumptions!$F$4:$F$44))</f>
        <v>0</v>
      </c>
      <c r="AX440" s="21" t="n">
        <f aca="false">IF($J440=0,0,MAX(0,NETWORKDAYS(MAX($K440,AX$4),MIN($L440,EOMONTH(AX$4,0)),Assumptions!$F$4:$F$44))/NETWORKDAYS($K440,$L440,Assumptions!$F$4:$F$44))</f>
        <v>0</v>
      </c>
      <c r="AY440" s="21" t="n">
        <f aca="false">IF($J440=0,0,MAX(0,NETWORKDAYS(MAX($K440,AY$4),MIN($L440,EOMONTH(AY$4,0)),Assumptions!$F$4:$F$44))/NETWORKDAYS($K440,$L440,Assumptions!$F$4:$F$44))</f>
        <v>0</v>
      </c>
      <c r="AZ440" s="21" t="n">
        <f aca="false">IF($J440=0,0,MAX(0,NETWORKDAYS(MAX($K440,AZ$4),MIN($L440,EOMONTH(AZ$4,0)),Assumptions!$F$4:$F$44))/NETWORKDAYS($K440,$L440,Assumptions!$F$4:$F$44))</f>
        <v>0</v>
      </c>
      <c r="BA440" s="21" t="n">
        <f aca="false">IF($J440=0,0,MAX(0,NETWORKDAYS(MAX($K440,BA$4),MIN($L440,EOMONTH(BA$4,0)),Assumptions!$F$4:$F$44))/NETWORKDAYS($K440,$L440,Assumptions!$F$4:$F$44))</f>
        <v>0</v>
      </c>
      <c r="BB440" s="21" t="n">
        <f aca="false">IF($J440=0,0,MAX(0,NETWORKDAYS(MAX($K440,BB$4),MIN($L440,EOMONTH(BB$4,0)),Assumptions!$F$4:$F$44))/NETWORKDAYS($K440,$L440,Assumptions!$F$4:$F$44))</f>
        <v>0</v>
      </c>
      <c r="BC440" s="21" t="n">
        <f aca="false">IF($J440=0,0,MAX(0,NETWORKDAYS(MAX($K440,BC$4),MIN($L440,EOMONTH(BC$4,0)),Assumptions!$F$4:$F$44))/NETWORKDAYS($K440,$L440,Assumptions!$F$4:$F$44))</f>
        <v>0</v>
      </c>
    </row>
    <row r="441" customFormat="false" ht="15" hidden="false" customHeight="false" outlineLevel="2" collapsed="false">
      <c r="A441" s="27" t="n">
        <v>437</v>
      </c>
      <c r="B441" s="27" t="s">
        <v>921</v>
      </c>
      <c r="C441" s="27" t="n">
        <v>3</v>
      </c>
      <c r="D441" s="27" t="s">
        <v>92</v>
      </c>
      <c r="E441" s="28" t="s">
        <v>307</v>
      </c>
      <c r="F441" s="27" t="s">
        <v>846</v>
      </c>
      <c r="G441" s="27" t="s">
        <v>913</v>
      </c>
      <c r="H441" s="27" t="s">
        <v>47</v>
      </c>
      <c r="I441" s="29" t="n">
        <v>304</v>
      </c>
      <c r="J441" s="29" t="n">
        <v>40</v>
      </c>
      <c r="K441" s="30" t="n">
        <f aca="false">WORKDAY(Assumptions!$C$4,I441,Assumptions!$F$4:$F$44)</f>
        <v>46752</v>
      </c>
      <c r="L441" s="30" t="n">
        <f aca="false">IF(J441=0,K441,WORKDAY(K441,J441-1,Assumptions!$F$4:$F$44))</f>
        <v>46807</v>
      </c>
      <c r="M441" s="29" t="s">
        <v>920</v>
      </c>
      <c r="N441" s="31" t="n">
        <v>0</v>
      </c>
      <c r="O441" s="31" t="n">
        <v>3</v>
      </c>
      <c r="P441" s="31" t="n">
        <v>0</v>
      </c>
      <c r="Q441" s="31" t="n">
        <v>8</v>
      </c>
      <c r="R441" s="31" t="n">
        <v>0</v>
      </c>
      <c r="S441" s="31" t="n">
        <v>0</v>
      </c>
      <c r="T441" s="31" t="n">
        <v>0</v>
      </c>
      <c r="U441" s="31" t="n">
        <v>0</v>
      </c>
      <c r="V441" s="31" t="n">
        <v>0</v>
      </c>
      <c r="W441" s="31" t="n">
        <v>0</v>
      </c>
      <c r="X441" s="31" t="n">
        <v>0</v>
      </c>
      <c r="Y441" s="32" t="n">
        <f aca="false">SUM(N441:X441)</f>
        <v>11</v>
      </c>
      <c r="Z441" s="32" t="n">
        <f aca="false">Y441*(1+Assumptions!$C$5)</f>
        <v>12.65</v>
      </c>
      <c r="AA441" s="27" t="s">
        <v>308</v>
      </c>
      <c r="AB441" s="27" t="s">
        <v>95</v>
      </c>
      <c r="AC441" s="27"/>
      <c r="AD441" s="33" t="n">
        <v>0</v>
      </c>
      <c r="AF441" s="21" t="n">
        <f aca="false">IF($J441=0,0,MAX(0,NETWORKDAYS(MAX($K441,AF$4),MIN($L441,EOMONTH(AF$4,0)),Assumptions!$F$4:$F$44))/NETWORKDAYS($K441,$L441,Assumptions!$F$4:$F$44))</f>
        <v>0</v>
      </c>
      <c r="AG441" s="21" t="n">
        <f aca="false">IF($J441=0,0,MAX(0,NETWORKDAYS(MAX($K441,AG$4),MIN($L441,EOMONTH(AG$4,0)),Assumptions!$F$4:$F$44))/NETWORKDAYS($K441,$L441,Assumptions!$F$4:$F$44))</f>
        <v>0</v>
      </c>
      <c r="AH441" s="21" t="n">
        <f aca="false">IF($J441=0,0,MAX(0,NETWORKDAYS(MAX($K441,AH$4),MIN($L441,EOMONTH(AH$4,0)),Assumptions!$F$4:$F$44))/NETWORKDAYS($K441,$L441,Assumptions!$F$4:$F$44))</f>
        <v>0</v>
      </c>
      <c r="AI441" s="21" t="n">
        <f aca="false">IF($J441=0,0,MAX(0,NETWORKDAYS(MAX($K441,AI$4),MIN($L441,EOMONTH(AI$4,0)),Assumptions!$F$4:$F$44))/NETWORKDAYS($K441,$L441,Assumptions!$F$4:$F$44))</f>
        <v>0</v>
      </c>
      <c r="AJ441" s="21" t="n">
        <f aca="false">IF($J441=0,0,MAX(0,NETWORKDAYS(MAX($K441,AJ$4),MIN($L441,EOMONTH(AJ$4,0)),Assumptions!$F$4:$F$44))/NETWORKDAYS($K441,$L441,Assumptions!$F$4:$F$44))</f>
        <v>0</v>
      </c>
      <c r="AK441" s="21" t="n">
        <f aca="false">IF($J441=0,0,MAX(0,NETWORKDAYS(MAX($K441,AK$4),MIN($L441,EOMONTH(AK$4,0)),Assumptions!$F$4:$F$44))/NETWORKDAYS($K441,$L441,Assumptions!$F$4:$F$44))</f>
        <v>0</v>
      </c>
      <c r="AL441" s="21" t="n">
        <f aca="false">IF($J441=0,0,MAX(0,NETWORKDAYS(MAX($K441,AL$4),MIN($L441,EOMONTH(AL$4,0)),Assumptions!$F$4:$F$44))/NETWORKDAYS($K441,$L441,Assumptions!$F$4:$F$44))</f>
        <v>0</v>
      </c>
      <c r="AM441" s="21" t="n">
        <f aca="false">IF($J441=0,0,MAX(0,NETWORKDAYS(MAX($K441,AM$4),MIN($L441,EOMONTH(AM$4,0)),Assumptions!$F$4:$F$44))/NETWORKDAYS($K441,$L441,Assumptions!$F$4:$F$44))</f>
        <v>0</v>
      </c>
      <c r="AN441" s="21" t="n">
        <f aca="false">IF($J441=0,0,MAX(0,NETWORKDAYS(MAX($K441,AN$4),MIN($L441,EOMONTH(AN$4,0)),Assumptions!$F$4:$F$44))/NETWORKDAYS($K441,$L441,Assumptions!$F$4:$F$44))</f>
        <v>0</v>
      </c>
      <c r="AO441" s="21" t="n">
        <f aca="false">IF($J441=0,0,MAX(0,NETWORKDAYS(MAX($K441,AO$4),MIN($L441,EOMONTH(AO$4,0)),Assumptions!$F$4:$F$44))/NETWORKDAYS($K441,$L441,Assumptions!$F$4:$F$44))</f>
        <v>0</v>
      </c>
      <c r="AP441" s="21" t="n">
        <f aca="false">IF($J441=0,0,MAX(0,NETWORKDAYS(MAX($K441,AP$4),MIN($L441,EOMONTH(AP$4,0)),Assumptions!$F$4:$F$44))/NETWORKDAYS($K441,$L441,Assumptions!$F$4:$F$44))</f>
        <v>0</v>
      </c>
      <c r="AQ441" s="21" t="n">
        <f aca="false">IF($J441=0,0,MAX(0,NETWORKDAYS(MAX($K441,AQ$4),MIN($L441,EOMONTH(AQ$4,0)),Assumptions!$F$4:$F$44))/NETWORKDAYS($K441,$L441,Assumptions!$F$4:$F$44))</f>
        <v>0</v>
      </c>
      <c r="AR441" s="21" t="n">
        <f aca="false">IF($J441=0,0,MAX(0,NETWORKDAYS(MAX($K441,AR$4),MIN($L441,EOMONTH(AR$4,0)),Assumptions!$F$4:$F$44))/NETWORKDAYS($K441,$L441,Assumptions!$F$4:$F$44))</f>
        <v>0</v>
      </c>
      <c r="AS441" s="21" t="n">
        <f aca="false">IF($J441=0,0,MAX(0,NETWORKDAYS(MAX($K441,AS$4),MIN($L441,EOMONTH(AS$4,0)),Assumptions!$F$4:$F$44))/NETWORKDAYS($K441,$L441,Assumptions!$F$4:$F$44))</f>
        <v>0.025</v>
      </c>
      <c r="AT441" s="21" t="n">
        <f aca="false">IF($J441=0,0,MAX(0,NETWORKDAYS(MAX($K441,AT$4),MIN($L441,EOMONTH(AT$4,0)),Assumptions!$F$4:$F$44))/NETWORKDAYS($K441,$L441,Assumptions!$F$4:$F$44))</f>
        <v>0.525</v>
      </c>
      <c r="AU441" s="21" t="n">
        <f aca="false">IF($J441=0,0,MAX(0,NETWORKDAYS(MAX($K441,AU$4),MIN($L441,EOMONTH(AU$4,0)),Assumptions!$F$4:$F$44))/NETWORKDAYS($K441,$L441,Assumptions!$F$4:$F$44))</f>
        <v>0.45</v>
      </c>
      <c r="AV441" s="21" t="n">
        <f aca="false">IF($J441=0,0,MAX(0,NETWORKDAYS(MAX($K441,AV$4),MIN($L441,EOMONTH(AV$4,0)),Assumptions!$F$4:$F$44))/NETWORKDAYS($K441,$L441,Assumptions!$F$4:$F$44))</f>
        <v>0</v>
      </c>
      <c r="AW441" s="21" t="n">
        <f aca="false">IF($J441=0,0,MAX(0,NETWORKDAYS(MAX($K441,AW$4),MIN($L441,EOMONTH(AW$4,0)),Assumptions!$F$4:$F$44))/NETWORKDAYS($K441,$L441,Assumptions!$F$4:$F$44))</f>
        <v>0</v>
      </c>
      <c r="AX441" s="21" t="n">
        <f aca="false">IF($J441=0,0,MAX(0,NETWORKDAYS(MAX($K441,AX$4),MIN($L441,EOMONTH(AX$4,0)),Assumptions!$F$4:$F$44))/NETWORKDAYS($K441,$L441,Assumptions!$F$4:$F$44))</f>
        <v>0</v>
      </c>
      <c r="AY441" s="21" t="n">
        <f aca="false">IF($J441=0,0,MAX(0,NETWORKDAYS(MAX($K441,AY$4),MIN($L441,EOMONTH(AY$4,0)),Assumptions!$F$4:$F$44))/NETWORKDAYS($K441,$L441,Assumptions!$F$4:$F$44))</f>
        <v>0</v>
      </c>
      <c r="AZ441" s="21" t="n">
        <f aca="false">IF($J441=0,0,MAX(0,NETWORKDAYS(MAX($K441,AZ$4),MIN($L441,EOMONTH(AZ$4,0)),Assumptions!$F$4:$F$44))/NETWORKDAYS($K441,$L441,Assumptions!$F$4:$F$44))</f>
        <v>0</v>
      </c>
      <c r="BA441" s="21" t="n">
        <f aca="false">IF($J441=0,0,MAX(0,NETWORKDAYS(MAX($K441,BA$4),MIN($L441,EOMONTH(BA$4,0)),Assumptions!$F$4:$F$44))/NETWORKDAYS($K441,$L441,Assumptions!$F$4:$F$44))</f>
        <v>0</v>
      </c>
      <c r="BB441" s="21" t="n">
        <f aca="false">IF($J441=0,0,MAX(0,NETWORKDAYS(MAX($K441,BB$4),MIN($L441,EOMONTH(BB$4,0)),Assumptions!$F$4:$F$44))/NETWORKDAYS($K441,$L441,Assumptions!$F$4:$F$44))</f>
        <v>0</v>
      </c>
      <c r="BC441" s="21" t="n">
        <f aca="false">IF($J441=0,0,MAX(0,NETWORKDAYS(MAX($K441,BC$4),MIN($L441,EOMONTH(BC$4,0)),Assumptions!$F$4:$F$44))/NETWORKDAYS($K441,$L441,Assumptions!$F$4:$F$44))</f>
        <v>0</v>
      </c>
    </row>
    <row r="442" customFormat="false" ht="15" hidden="false" customHeight="false" outlineLevel="2" collapsed="false">
      <c r="A442" s="27" t="n">
        <v>438</v>
      </c>
      <c r="B442" s="27" t="s">
        <v>922</v>
      </c>
      <c r="C442" s="27" t="n">
        <v>3</v>
      </c>
      <c r="D442" s="27" t="s">
        <v>92</v>
      </c>
      <c r="E442" s="28" t="s">
        <v>310</v>
      </c>
      <c r="F442" s="27" t="s">
        <v>846</v>
      </c>
      <c r="G442" s="27" t="s">
        <v>913</v>
      </c>
      <c r="H442" s="27" t="s">
        <v>49</v>
      </c>
      <c r="I442" s="29" t="n">
        <v>297</v>
      </c>
      <c r="J442" s="29" t="n">
        <v>53</v>
      </c>
      <c r="K442" s="30" t="n">
        <f aca="false">WORKDAY(Assumptions!$C$4,I442,Assumptions!$F$4:$F$44)</f>
        <v>46743</v>
      </c>
      <c r="L442" s="30" t="n">
        <f aca="false">IF(J442=0,K442,WORKDAY(K442,J442-1,Assumptions!$F$4:$F$44))</f>
        <v>46815</v>
      </c>
      <c r="M442" s="29" t="s">
        <v>923</v>
      </c>
      <c r="N442" s="31" t="n">
        <v>0</v>
      </c>
      <c r="O442" s="31" t="n">
        <v>0</v>
      </c>
      <c r="P442" s="31" t="n">
        <v>0</v>
      </c>
      <c r="Q442" s="31" t="n">
        <v>0</v>
      </c>
      <c r="R442" s="31" t="n">
        <v>21</v>
      </c>
      <c r="S442" s="31" t="n">
        <v>0</v>
      </c>
      <c r="T442" s="31" t="n">
        <v>0</v>
      </c>
      <c r="U442" s="31" t="n">
        <v>0</v>
      </c>
      <c r="V442" s="31" t="n">
        <v>0</v>
      </c>
      <c r="W442" s="31" t="n">
        <v>0</v>
      </c>
      <c r="X442" s="31" t="n">
        <v>0</v>
      </c>
      <c r="Y442" s="32" t="n">
        <f aca="false">SUM(N442:X442)</f>
        <v>21</v>
      </c>
      <c r="Z442" s="32" t="n">
        <f aca="false">Y442*(1+Assumptions!$C$5)</f>
        <v>24.15</v>
      </c>
      <c r="AA442" s="27" t="s">
        <v>312</v>
      </c>
      <c r="AB442" s="27" t="s">
        <v>95</v>
      </c>
      <c r="AC442" s="27"/>
      <c r="AD442" s="33" t="n">
        <v>0</v>
      </c>
      <c r="AF442" s="21" t="n">
        <f aca="false">IF($J442=0,0,MAX(0,NETWORKDAYS(MAX($K442,AF$4),MIN($L442,EOMONTH(AF$4,0)),Assumptions!$F$4:$F$44))/NETWORKDAYS($K442,$L442,Assumptions!$F$4:$F$44))</f>
        <v>0</v>
      </c>
      <c r="AG442" s="21" t="n">
        <f aca="false">IF($J442=0,0,MAX(0,NETWORKDAYS(MAX($K442,AG$4),MIN($L442,EOMONTH(AG$4,0)),Assumptions!$F$4:$F$44))/NETWORKDAYS($K442,$L442,Assumptions!$F$4:$F$44))</f>
        <v>0</v>
      </c>
      <c r="AH442" s="21" t="n">
        <f aca="false">IF($J442=0,0,MAX(0,NETWORKDAYS(MAX($K442,AH$4),MIN($L442,EOMONTH(AH$4,0)),Assumptions!$F$4:$F$44))/NETWORKDAYS($K442,$L442,Assumptions!$F$4:$F$44))</f>
        <v>0</v>
      </c>
      <c r="AI442" s="21" t="n">
        <f aca="false">IF($J442=0,0,MAX(0,NETWORKDAYS(MAX($K442,AI$4),MIN($L442,EOMONTH(AI$4,0)),Assumptions!$F$4:$F$44))/NETWORKDAYS($K442,$L442,Assumptions!$F$4:$F$44))</f>
        <v>0</v>
      </c>
      <c r="AJ442" s="21" t="n">
        <f aca="false">IF($J442=0,0,MAX(0,NETWORKDAYS(MAX($K442,AJ$4),MIN($L442,EOMONTH(AJ$4,0)),Assumptions!$F$4:$F$44))/NETWORKDAYS($K442,$L442,Assumptions!$F$4:$F$44))</f>
        <v>0</v>
      </c>
      <c r="AK442" s="21" t="n">
        <f aca="false">IF($J442=0,0,MAX(0,NETWORKDAYS(MAX($K442,AK$4),MIN($L442,EOMONTH(AK$4,0)),Assumptions!$F$4:$F$44))/NETWORKDAYS($K442,$L442,Assumptions!$F$4:$F$44))</f>
        <v>0</v>
      </c>
      <c r="AL442" s="21" t="n">
        <f aca="false">IF($J442=0,0,MAX(0,NETWORKDAYS(MAX($K442,AL$4),MIN($L442,EOMONTH(AL$4,0)),Assumptions!$F$4:$F$44))/NETWORKDAYS($K442,$L442,Assumptions!$F$4:$F$44))</f>
        <v>0</v>
      </c>
      <c r="AM442" s="21" t="n">
        <f aca="false">IF($J442=0,0,MAX(0,NETWORKDAYS(MAX($K442,AM$4),MIN($L442,EOMONTH(AM$4,0)),Assumptions!$F$4:$F$44))/NETWORKDAYS($K442,$L442,Assumptions!$F$4:$F$44))</f>
        <v>0</v>
      </c>
      <c r="AN442" s="21" t="n">
        <f aca="false">IF($J442=0,0,MAX(0,NETWORKDAYS(MAX($K442,AN$4),MIN($L442,EOMONTH(AN$4,0)),Assumptions!$F$4:$F$44))/NETWORKDAYS($K442,$L442,Assumptions!$F$4:$F$44))</f>
        <v>0</v>
      </c>
      <c r="AO442" s="21" t="n">
        <f aca="false">IF($J442=0,0,MAX(0,NETWORKDAYS(MAX($K442,AO$4),MIN($L442,EOMONTH(AO$4,0)),Assumptions!$F$4:$F$44))/NETWORKDAYS($K442,$L442,Assumptions!$F$4:$F$44))</f>
        <v>0</v>
      </c>
      <c r="AP442" s="21" t="n">
        <f aca="false">IF($J442=0,0,MAX(0,NETWORKDAYS(MAX($K442,AP$4),MIN($L442,EOMONTH(AP$4,0)),Assumptions!$F$4:$F$44))/NETWORKDAYS($K442,$L442,Assumptions!$F$4:$F$44))</f>
        <v>0</v>
      </c>
      <c r="AQ442" s="21" t="n">
        <f aca="false">IF($J442=0,0,MAX(0,NETWORKDAYS(MAX($K442,AQ$4),MIN($L442,EOMONTH(AQ$4,0)),Assumptions!$F$4:$F$44))/NETWORKDAYS($K442,$L442,Assumptions!$F$4:$F$44))</f>
        <v>0</v>
      </c>
      <c r="AR442" s="21" t="n">
        <f aca="false">IF($J442=0,0,MAX(0,NETWORKDAYS(MAX($K442,AR$4),MIN($L442,EOMONTH(AR$4,0)),Assumptions!$F$4:$F$44))/NETWORKDAYS($K442,$L442,Assumptions!$F$4:$F$44))</f>
        <v>0</v>
      </c>
      <c r="AS442" s="21" t="n">
        <f aca="false">IF($J442=0,0,MAX(0,NETWORKDAYS(MAX($K442,AS$4),MIN($L442,EOMONTH(AS$4,0)),Assumptions!$F$4:$F$44))/NETWORKDAYS($K442,$L442,Assumptions!$F$4:$F$44))</f>
        <v>0.150943396226415</v>
      </c>
      <c r="AT442" s="21" t="n">
        <f aca="false">IF($J442=0,0,MAX(0,NETWORKDAYS(MAX($K442,AT$4),MIN($L442,EOMONTH(AT$4,0)),Assumptions!$F$4:$F$44))/NETWORKDAYS($K442,$L442,Assumptions!$F$4:$F$44))</f>
        <v>0.39622641509434</v>
      </c>
      <c r="AU442" s="21" t="n">
        <f aca="false">IF($J442=0,0,MAX(0,NETWORKDAYS(MAX($K442,AU$4),MIN($L442,EOMONTH(AU$4,0)),Assumptions!$F$4:$F$44))/NETWORKDAYS($K442,$L442,Assumptions!$F$4:$F$44))</f>
        <v>0.39622641509434</v>
      </c>
      <c r="AV442" s="21" t="n">
        <f aca="false">IF($J442=0,0,MAX(0,NETWORKDAYS(MAX($K442,AV$4),MIN($L442,EOMONTH(AV$4,0)),Assumptions!$F$4:$F$44))/NETWORKDAYS($K442,$L442,Assumptions!$F$4:$F$44))</f>
        <v>0.0566037735849057</v>
      </c>
      <c r="AW442" s="21" t="n">
        <f aca="false">IF($J442=0,0,MAX(0,NETWORKDAYS(MAX($K442,AW$4),MIN($L442,EOMONTH(AW$4,0)),Assumptions!$F$4:$F$44))/NETWORKDAYS($K442,$L442,Assumptions!$F$4:$F$44))</f>
        <v>0</v>
      </c>
      <c r="AX442" s="21" t="n">
        <f aca="false">IF($J442=0,0,MAX(0,NETWORKDAYS(MAX($K442,AX$4),MIN($L442,EOMONTH(AX$4,0)),Assumptions!$F$4:$F$44))/NETWORKDAYS($K442,$L442,Assumptions!$F$4:$F$44))</f>
        <v>0</v>
      </c>
      <c r="AY442" s="21" t="n">
        <f aca="false">IF($J442=0,0,MAX(0,NETWORKDAYS(MAX($K442,AY$4),MIN($L442,EOMONTH(AY$4,0)),Assumptions!$F$4:$F$44))/NETWORKDAYS($K442,$L442,Assumptions!$F$4:$F$44))</f>
        <v>0</v>
      </c>
      <c r="AZ442" s="21" t="n">
        <f aca="false">IF($J442=0,0,MAX(0,NETWORKDAYS(MAX($K442,AZ$4),MIN($L442,EOMONTH(AZ$4,0)),Assumptions!$F$4:$F$44))/NETWORKDAYS($K442,$L442,Assumptions!$F$4:$F$44))</f>
        <v>0</v>
      </c>
      <c r="BA442" s="21" t="n">
        <f aca="false">IF($J442=0,0,MAX(0,NETWORKDAYS(MAX($K442,BA$4),MIN($L442,EOMONTH(BA$4,0)),Assumptions!$F$4:$F$44))/NETWORKDAYS($K442,$L442,Assumptions!$F$4:$F$44))</f>
        <v>0</v>
      </c>
      <c r="BB442" s="21" t="n">
        <f aca="false">IF($J442=0,0,MAX(0,NETWORKDAYS(MAX($K442,BB$4),MIN($L442,EOMONTH(BB$4,0)),Assumptions!$F$4:$F$44))/NETWORKDAYS($K442,$L442,Assumptions!$F$4:$F$44))</f>
        <v>0</v>
      </c>
      <c r="BC442" s="21" t="n">
        <f aca="false">IF($J442=0,0,MAX(0,NETWORKDAYS(MAX($K442,BC$4),MIN($L442,EOMONTH(BC$4,0)),Assumptions!$F$4:$F$44))/NETWORKDAYS($K442,$L442,Assumptions!$F$4:$F$44))</f>
        <v>0</v>
      </c>
    </row>
    <row r="443" customFormat="false" ht="15" hidden="false" customHeight="false" outlineLevel="2" collapsed="false">
      <c r="A443" s="27" t="n">
        <v>439</v>
      </c>
      <c r="B443" s="27" t="s">
        <v>924</v>
      </c>
      <c r="C443" s="27" t="n">
        <v>3</v>
      </c>
      <c r="D443" s="27" t="s">
        <v>92</v>
      </c>
      <c r="E443" s="28" t="s">
        <v>871</v>
      </c>
      <c r="F443" s="27" t="s">
        <v>846</v>
      </c>
      <c r="G443" s="27" t="s">
        <v>913</v>
      </c>
      <c r="H443" s="27" t="s">
        <v>47</v>
      </c>
      <c r="I443" s="29" t="n">
        <v>317</v>
      </c>
      <c r="J443" s="29" t="n">
        <v>37</v>
      </c>
      <c r="K443" s="30" t="n">
        <f aca="false">WORKDAY(Assumptions!$C$4,I443,Assumptions!$F$4:$F$44)</f>
        <v>46771</v>
      </c>
      <c r="L443" s="30" t="n">
        <f aca="false">IF(J443=0,K443,WORKDAY(K443,J443-1,Assumptions!$F$4:$F$44))</f>
        <v>46821</v>
      </c>
      <c r="M443" s="29" t="s">
        <v>925</v>
      </c>
      <c r="N443" s="31" t="n">
        <v>0</v>
      </c>
      <c r="O443" s="31" t="n">
        <v>0</v>
      </c>
      <c r="P443" s="31" t="n">
        <v>0</v>
      </c>
      <c r="Q443" s="31" t="n">
        <v>6</v>
      </c>
      <c r="R443" s="31" t="n">
        <v>0</v>
      </c>
      <c r="S443" s="31" t="n">
        <v>0</v>
      </c>
      <c r="T443" s="31" t="n">
        <v>0</v>
      </c>
      <c r="U443" s="31" t="n">
        <v>0</v>
      </c>
      <c r="V443" s="31" t="n">
        <v>0</v>
      </c>
      <c r="W443" s="31" t="n">
        <v>0</v>
      </c>
      <c r="X443" s="31" t="n">
        <v>0</v>
      </c>
      <c r="Y443" s="32" t="n">
        <f aca="false">SUM(N443:X443)</f>
        <v>6</v>
      </c>
      <c r="Z443" s="32" t="n">
        <f aca="false">Y443*(1+Assumptions!$C$5)</f>
        <v>6.9</v>
      </c>
      <c r="AA443" s="27" t="s">
        <v>325</v>
      </c>
      <c r="AB443" s="27" t="s">
        <v>95</v>
      </c>
      <c r="AC443" s="27"/>
      <c r="AD443" s="33" t="n">
        <v>0</v>
      </c>
      <c r="AF443" s="21" t="n">
        <f aca="false">IF($J443=0,0,MAX(0,NETWORKDAYS(MAX($K443,AF$4),MIN($L443,EOMONTH(AF$4,0)),Assumptions!$F$4:$F$44))/NETWORKDAYS($K443,$L443,Assumptions!$F$4:$F$44))</f>
        <v>0</v>
      </c>
      <c r="AG443" s="21" t="n">
        <f aca="false">IF($J443=0,0,MAX(0,NETWORKDAYS(MAX($K443,AG$4),MIN($L443,EOMONTH(AG$4,0)),Assumptions!$F$4:$F$44))/NETWORKDAYS($K443,$L443,Assumptions!$F$4:$F$44))</f>
        <v>0</v>
      </c>
      <c r="AH443" s="21" t="n">
        <f aca="false">IF($J443=0,0,MAX(0,NETWORKDAYS(MAX($K443,AH$4),MIN($L443,EOMONTH(AH$4,0)),Assumptions!$F$4:$F$44))/NETWORKDAYS($K443,$L443,Assumptions!$F$4:$F$44))</f>
        <v>0</v>
      </c>
      <c r="AI443" s="21" t="n">
        <f aca="false">IF($J443=0,0,MAX(0,NETWORKDAYS(MAX($K443,AI$4),MIN($L443,EOMONTH(AI$4,0)),Assumptions!$F$4:$F$44))/NETWORKDAYS($K443,$L443,Assumptions!$F$4:$F$44))</f>
        <v>0</v>
      </c>
      <c r="AJ443" s="21" t="n">
        <f aca="false">IF($J443=0,0,MAX(0,NETWORKDAYS(MAX($K443,AJ$4),MIN($L443,EOMONTH(AJ$4,0)),Assumptions!$F$4:$F$44))/NETWORKDAYS($K443,$L443,Assumptions!$F$4:$F$44))</f>
        <v>0</v>
      </c>
      <c r="AK443" s="21" t="n">
        <f aca="false">IF($J443=0,0,MAX(0,NETWORKDAYS(MAX($K443,AK$4),MIN($L443,EOMONTH(AK$4,0)),Assumptions!$F$4:$F$44))/NETWORKDAYS($K443,$L443,Assumptions!$F$4:$F$44))</f>
        <v>0</v>
      </c>
      <c r="AL443" s="21" t="n">
        <f aca="false">IF($J443=0,0,MAX(0,NETWORKDAYS(MAX($K443,AL$4),MIN($L443,EOMONTH(AL$4,0)),Assumptions!$F$4:$F$44))/NETWORKDAYS($K443,$L443,Assumptions!$F$4:$F$44))</f>
        <v>0</v>
      </c>
      <c r="AM443" s="21" t="n">
        <f aca="false">IF($J443=0,0,MAX(0,NETWORKDAYS(MAX($K443,AM$4),MIN($L443,EOMONTH(AM$4,0)),Assumptions!$F$4:$F$44))/NETWORKDAYS($K443,$L443,Assumptions!$F$4:$F$44))</f>
        <v>0</v>
      </c>
      <c r="AN443" s="21" t="n">
        <f aca="false">IF($J443=0,0,MAX(0,NETWORKDAYS(MAX($K443,AN$4),MIN($L443,EOMONTH(AN$4,0)),Assumptions!$F$4:$F$44))/NETWORKDAYS($K443,$L443,Assumptions!$F$4:$F$44))</f>
        <v>0</v>
      </c>
      <c r="AO443" s="21" t="n">
        <f aca="false">IF($J443=0,0,MAX(0,NETWORKDAYS(MAX($K443,AO$4),MIN($L443,EOMONTH(AO$4,0)),Assumptions!$F$4:$F$44))/NETWORKDAYS($K443,$L443,Assumptions!$F$4:$F$44))</f>
        <v>0</v>
      </c>
      <c r="AP443" s="21" t="n">
        <f aca="false">IF($J443=0,0,MAX(0,NETWORKDAYS(MAX($K443,AP$4),MIN($L443,EOMONTH(AP$4,0)),Assumptions!$F$4:$F$44))/NETWORKDAYS($K443,$L443,Assumptions!$F$4:$F$44))</f>
        <v>0</v>
      </c>
      <c r="AQ443" s="21" t="n">
        <f aca="false">IF($J443=0,0,MAX(0,NETWORKDAYS(MAX($K443,AQ$4),MIN($L443,EOMONTH(AQ$4,0)),Assumptions!$F$4:$F$44))/NETWORKDAYS($K443,$L443,Assumptions!$F$4:$F$44))</f>
        <v>0</v>
      </c>
      <c r="AR443" s="21" t="n">
        <f aca="false">IF($J443=0,0,MAX(0,NETWORKDAYS(MAX($K443,AR$4),MIN($L443,EOMONTH(AR$4,0)),Assumptions!$F$4:$F$44))/NETWORKDAYS($K443,$L443,Assumptions!$F$4:$F$44))</f>
        <v>0</v>
      </c>
      <c r="AS443" s="21" t="n">
        <f aca="false">IF($J443=0,0,MAX(0,NETWORKDAYS(MAX($K443,AS$4),MIN($L443,EOMONTH(AS$4,0)),Assumptions!$F$4:$F$44))/NETWORKDAYS($K443,$L443,Assumptions!$F$4:$F$44))</f>
        <v>0</v>
      </c>
      <c r="AT443" s="21" t="n">
        <f aca="false">IF($J443=0,0,MAX(0,NETWORKDAYS(MAX($K443,AT$4),MIN($L443,EOMONTH(AT$4,0)),Assumptions!$F$4:$F$44))/NETWORKDAYS($K443,$L443,Assumptions!$F$4:$F$44))</f>
        <v>0.243243243243243</v>
      </c>
      <c r="AU443" s="21" t="n">
        <f aca="false">IF($J443=0,0,MAX(0,NETWORKDAYS(MAX($K443,AU$4),MIN($L443,EOMONTH(AU$4,0)),Assumptions!$F$4:$F$44))/NETWORKDAYS($K443,$L443,Assumptions!$F$4:$F$44))</f>
        <v>0.567567567567568</v>
      </c>
      <c r="AV443" s="21" t="n">
        <f aca="false">IF($J443=0,0,MAX(0,NETWORKDAYS(MAX($K443,AV$4),MIN($L443,EOMONTH(AV$4,0)),Assumptions!$F$4:$F$44))/NETWORKDAYS($K443,$L443,Assumptions!$F$4:$F$44))</f>
        <v>0.189189189189189</v>
      </c>
      <c r="AW443" s="21" t="n">
        <f aca="false">IF($J443=0,0,MAX(0,NETWORKDAYS(MAX($K443,AW$4),MIN($L443,EOMONTH(AW$4,0)),Assumptions!$F$4:$F$44))/NETWORKDAYS($K443,$L443,Assumptions!$F$4:$F$44))</f>
        <v>0</v>
      </c>
      <c r="AX443" s="21" t="n">
        <f aca="false">IF($J443=0,0,MAX(0,NETWORKDAYS(MAX($K443,AX$4),MIN($L443,EOMONTH(AX$4,0)),Assumptions!$F$4:$F$44))/NETWORKDAYS($K443,$L443,Assumptions!$F$4:$F$44))</f>
        <v>0</v>
      </c>
      <c r="AY443" s="21" t="n">
        <f aca="false">IF($J443=0,0,MAX(0,NETWORKDAYS(MAX($K443,AY$4),MIN($L443,EOMONTH(AY$4,0)),Assumptions!$F$4:$F$44))/NETWORKDAYS($K443,$L443,Assumptions!$F$4:$F$44))</f>
        <v>0</v>
      </c>
      <c r="AZ443" s="21" t="n">
        <f aca="false">IF($J443=0,0,MAX(0,NETWORKDAYS(MAX($K443,AZ$4),MIN($L443,EOMONTH(AZ$4,0)),Assumptions!$F$4:$F$44))/NETWORKDAYS($K443,$L443,Assumptions!$F$4:$F$44))</f>
        <v>0</v>
      </c>
      <c r="BA443" s="21" t="n">
        <f aca="false">IF($J443=0,0,MAX(0,NETWORKDAYS(MAX($K443,BA$4),MIN($L443,EOMONTH(BA$4,0)),Assumptions!$F$4:$F$44))/NETWORKDAYS($K443,$L443,Assumptions!$F$4:$F$44))</f>
        <v>0</v>
      </c>
      <c r="BB443" s="21" t="n">
        <f aca="false">IF($J443=0,0,MAX(0,NETWORKDAYS(MAX($K443,BB$4),MIN($L443,EOMONTH(BB$4,0)),Assumptions!$F$4:$F$44))/NETWORKDAYS($K443,$L443,Assumptions!$F$4:$F$44))</f>
        <v>0</v>
      </c>
      <c r="BC443" s="21" t="n">
        <f aca="false">IF($J443=0,0,MAX(0,NETWORKDAYS(MAX($K443,BC$4),MIN($L443,EOMONTH(BC$4,0)),Assumptions!$F$4:$F$44))/NETWORKDAYS($K443,$L443,Assumptions!$F$4:$F$44))</f>
        <v>0</v>
      </c>
    </row>
    <row r="444" customFormat="false" ht="15" hidden="false" customHeight="false" outlineLevel="2" collapsed="false">
      <c r="A444" s="27" t="n">
        <v>440</v>
      </c>
      <c r="B444" s="27" t="s">
        <v>926</v>
      </c>
      <c r="C444" s="27" t="n">
        <v>3</v>
      </c>
      <c r="D444" s="27" t="s">
        <v>92</v>
      </c>
      <c r="E444" s="28" t="s">
        <v>815</v>
      </c>
      <c r="F444" s="27" t="s">
        <v>846</v>
      </c>
      <c r="G444" s="27" t="s">
        <v>913</v>
      </c>
      <c r="H444" s="27" t="s">
        <v>47</v>
      </c>
      <c r="I444" s="29" t="n">
        <v>310</v>
      </c>
      <c r="J444" s="29" t="n">
        <v>44</v>
      </c>
      <c r="K444" s="30" t="n">
        <f aca="false">WORKDAY(Assumptions!$C$4,I444,Assumptions!$F$4:$F$44)</f>
        <v>46762</v>
      </c>
      <c r="L444" s="30" t="n">
        <f aca="false">IF(J444=0,K444,WORKDAY(K444,J444-1,Assumptions!$F$4:$F$44))</f>
        <v>46821</v>
      </c>
      <c r="M444" s="29" t="s">
        <v>920</v>
      </c>
      <c r="N444" s="31" t="n">
        <v>0</v>
      </c>
      <c r="O444" s="31" t="n">
        <v>0</v>
      </c>
      <c r="P444" s="31" t="n">
        <v>0</v>
      </c>
      <c r="Q444" s="31" t="n">
        <v>5</v>
      </c>
      <c r="R444" s="31" t="n">
        <v>0</v>
      </c>
      <c r="S444" s="31" t="n">
        <v>0</v>
      </c>
      <c r="T444" s="31" t="n">
        <v>0</v>
      </c>
      <c r="U444" s="31" t="n">
        <v>0</v>
      </c>
      <c r="V444" s="31" t="n">
        <v>1</v>
      </c>
      <c r="W444" s="31" t="n">
        <v>0</v>
      </c>
      <c r="X444" s="31" t="n">
        <v>0</v>
      </c>
      <c r="Y444" s="32" t="n">
        <f aca="false">SUM(N444:X444)</f>
        <v>6</v>
      </c>
      <c r="Z444" s="32" t="n">
        <f aca="false">Y444*(1+Assumptions!$C$5)</f>
        <v>6.9</v>
      </c>
      <c r="AA444" s="27" t="s">
        <v>328</v>
      </c>
      <c r="AB444" s="27" t="s">
        <v>95</v>
      </c>
      <c r="AC444" s="27"/>
      <c r="AD444" s="33" t="n">
        <v>0</v>
      </c>
      <c r="AF444" s="21" t="n">
        <f aca="false">IF($J444=0,0,MAX(0,NETWORKDAYS(MAX($K444,AF$4),MIN($L444,EOMONTH(AF$4,0)),Assumptions!$F$4:$F$44))/NETWORKDAYS($K444,$L444,Assumptions!$F$4:$F$44))</f>
        <v>0</v>
      </c>
      <c r="AG444" s="21" t="n">
        <f aca="false">IF($J444=0,0,MAX(0,NETWORKDAYS(MAX($K444,AG$4),MIN($L444,EOMONTH(AG$4,0)),Assumptions!$F$4:$F$44))/NETWORKDAYS($K444,$L444,Assumptions!$F$4:$F$44))</f>
        <v>0</v>
      </c>
      <c r="AH444" s="21" t="n">
        <f aca="false">IF($J444=0,0,MAX(0,NETWORKDAYS(MAX($K444,AH$4),MIN($L444,EOMONTH(AH$4,0)),Assumptions!$F$4:$F$44))/NETWORKDAYS($K444,$L444,Assumptions!$F$4:$F$44))</f>
        <v>0</v>
      </c>
      <c r="AI444" s="21" t="n">
        <f aca="false">IF($J444=0,0,MAX(0,NETWORKDAYS(MAX($K444,AI$4),MIN($L444,EOMONTH(AI$4,0)),Assumptions!$F$4:$F$44))/NETWORKDAYS($K444,$L444,Assumptions!$F$4:$F$44))</f>
        <v>0</v>
      </c>
      <c r="AJ444" s="21" t="n">
        <f aca="false">IF($J444=0,0,MAX(0,NETWORKDAYS(MAX($K444,AJ$4),MIN($L444,EOMONTH(AJ$4,0)),Assumptions!$F$4:$F$44))/NETWORKDAYS($K444,$L444,Assumptions!$F$4:$F$44))</f>
        <v>0</v>
      </c>
      <c r="AK444" s="21" t="n">
        <f aca="false">IF($J444=0,0,MAX(0,NETWORKDAYS(MAX($K444,AK$4),MIN($L444,EOMONTH(AK$4,0)),Assumptions!$F$4:$F$44))/NETWORKDAYS($K444,$L444,Assumptions!$F$4:$F$44))</f>
        <v>0</v>
      </c>
      <c r="AL444" s="21" t="n">
        <f aca="false">IF($J444=0,0,MAX(0,NETWORKDAYS(MAX($K444,AL$4),MIN($L444,EOMONTH(AL$4,0)),Assumptions!$F$4:$F$44))/NETWORKDAYS($K444,$L444,Assumptions!$F$4:$F$44))</f>
        <v>0</v>
      </c>
      <c r="AM444" s="21" t="n">
        <f aca="false">IF($J444=0,0,MAX(0,NETWORKDAYS(MAX($K444,AM$4),MIN($L444,EOMONTH(AM$4,0)),Assumptions!$F$4:$F$44))/NETWORKDAYS($K444,$L444,Assumptions!$F$4:$F$44))</f>
        <v>0</v>
      </c>
      <c r="AN444" s="21" t="n">
        <f aca="false">IF($J444=0,0,MAX(0,NETWORKDAYS(MAX($K444,AN$4),MIN($L444,EOMONTH(AN$4,0)),Assumptions!$F$4:$F$44))/NETWORKDAYS($K444,$L444,Assumptions!$F$4:$F$44))</f>
        <v>0</v>
      </c>
      <c r="AO444" s="21" t="n">
        <f aca="false">IF($J444=0,0,MAX(0,NETWORKDAYS(MAX($K444,AO$4),MIN($L444,EOMONTH(AO$4,0)),Assumptions!$F$4:$F$44))/NETWORKDAYS($K444,$L444,Assumptions!$F$4:$F$44))</f>
        <v>0</v>
      </c>
      <c r="AP444" s="21" t="n">
        <f aca="false">IF($J444=0,0,MAX(0,NETWORKDAYS(MAX($K444,AP$4),MIN($L444,EOMONTH(AP$4,0)),Assumptions!$F$4:$F$44))/NETWORKDAYS($K444,$L444,Assumptions!$F$4:$F$44))</f>
        <v>0</v>
      </c>
      <c r="AQ444" s="21" t="n">
        <f aca="false">IF($J444=0,0,MAX(0,NETWORKDAYS(MAX($K444,AQ$4),MIN($L444,EOMONTH(AQ$4,0)),Assumptions!$F$4:$F$44))/NETWORKDAYS($K444,$L444,Assumptions!$F$4:$F$44))</f>
        <v>0</v>
      </c>
      <c r="AR444" s="21" t="n">
        <f aca="false">IF($J444=0,0,MAX(0,NETWORKDAYS(MAX($K444,AR$4),MIN($L444,EOMONTH(AR$4,0)),Assumptions!$F$4:$F$44))/NETWORKDAYS($K444,$L444,Assumptions!$F$4:$F$44))</f>
        <v>0</v>
      </c>
      <c r="AS444" s="21" t="n">
        <f aca="false">IF($J444=0,0,MAX(0,NETWORKDAYS(MAX($K444,AS$4),MIN($L444,EOMONTH(AS$4,0)),Assumptions!$F$4:$F$44))/NETWORKDAYS($K444,$L444,Assumptions!$F$4:$F$44))</f>
        <v>0</v>
      </c>
      <c r="AT444" s="21" t="n">
        <f aca="false">IF($J444=0,0,MAX(0,NETWORKDAYS(MAX($K444,AT$4),MIN($L444,EOMONTH(AT$4,0)),Assumptions!$F$4:$F$44))/NETWORKDAYS($K444,$L444,Assumptions!$F$4:$F$44))</f>
        <v>0.363636363636364</v>
      </c>
      <c r="AU444" s="21" t="n">
        <f aca="false">IF($J444=0,0,MAX(0,NETWORKDAYS(MAX($K444,AU$4),MIN($L444,EOMONTH(AU$4,0)),Assumptions!$F$4:$F$44))/NETWORKDAYS($K444,$L444,Assumptions!$F$4:$F$44))</f>
        <v>0.477272727272727</v>
      </c>
      <c r="AV444" s="21" t="n">
        <f aca="false">IF($J444=0,0,MAX(0,NETWORKDAYS(MAX($K444,AV$4),MIN($L444,EOMONTH(AV$4,0)),Assumptions!$F$4:$F$44))/NETWORKDAYS($K444,$L444,Assumptions!$F$4:$F$44))</f>
        <v>0.159090909090909</v>
      </c>
      <c r="AW444" s="21" t="n">
        <f aca="false">IF($J444=0,0,MAX(0,NETWORKDAYS(MAX($K444,AW$4),MIN($L444,EOMONTH(AW$4,0)),Assumptions!$F$4:$F$44))/NETWORKDAYS($K444,$L444,Assumptions!$F$4:$F$44))</f>
        <v>0</v>
      </c>
      <c r="AX444" s="21" t="n">
        <f aca="false">IF($J444=0,0,MAX(0,NETWORKDAYS(MAX($K444,AX$4),MIN($L444,EOMONTH(AX$4,0)),Assumptions!$F$4:$F$44))/NETWORKDAYS($K444,$L444,Assumptions!$F$4:$F$44))</f>
        <v>0</v>
      </c>
      <c r="AY444" s="21" t="n">
        <f aca="false">IF($J444=0,0,MAX(0,NETWORKDAYS(MAX($K444,AY$4),MIN($L444,EOMONTH(AY$4,0)),Assumptions!$F$4:$F$44))/NETWORKDAYS($K444,$L444,Assumptions!$F$4:$F$44))</f>
        <v>0</v>
      </c>
      <c r="AZ444" s="21" t="n">
        <f aca="false">IF($J444=0,0,MAX(0,NETWORKDAYS(MAX($K444,AZ$4),MIN($L444,EOMONTH(AZ$4,0)),Assumptions!$F$4:$F$44))/NETWORKDAYS($K444,$L444,Assumptions!$F$4:$F$44))</f>
        <v>0</v>
      </c>
      <c r="BA444" s="21" t="n">
        <f aca="false">IF($J444=0,0,MAX(0,NETWORKDAYS(MAX($K444,BA$4),MIN($L444,EOMONTH(BA$4,0)),Assumptions!$F$4:$F$44))/NETWORKDAYS($K444,$L444,Assumptions!$F$4:$F$44))</f>
        <v>0</v>
      </c>
      <c r="BB444" s="21" t="n">
        <f aca="false">IF($J444=0,0,MAX(0,NETWORKDAYS(MAX($K444,BB$4),MIN($L444,EOMONTH(BB$4,0)),Assumptions!$F$4:$F$44))/NETWORKDAYS($K444,$L444,Assumptions!$F$4:$F$44))</f>
        <v>0</v>
      </c>
      <c r="BC444" s="21" t="n">
        <f aca="false">IF($J444=0,0,MAX(0,NETWORKDAYS(MAX($K444,BC$4),MIN($L444,EOMONTH(BC$4,0)),Assumptions!$F$4:$F$44))/NETWORKDAYS($K444,$L444,Assumptions!$F$4:$F$44))</f>
        <v>0</v>
      </c>
    </row>
    <row r="445" customFormat="false" ht="15" hidden="false" customHeight="false" outlineLevel="2" collapsed="false">
      <c r="A445" s="27" t="n">
        <v>441</v>
      </c>
      <c r="B445" s="27" t="s">
        <v>927</v>
      </c>
      <c r="C445" s="27" t="n">
        <v>3</v>
      </c>
      <c r="D445" s="27" t="s">
        <v>92</v>
      </c>
      <c r="E445" s="28" t="s">
        <v>330</v>
      </c>
      <c r="F445" s="27" t="s">
        <v>846</v>
      </c>
      <c r="G445" s="27" t="s">
        <v>913</v>
      </c>
      <c r="H445" s="27" t="s">
        <v>47</v>
      </c>
      <c r="I445" s="29" t="n">
        <v>330</v>
      </c>
      <c r="J445" s="29" t="n">
        <v>26</v>
      </c>
      <c r="K445" s="30" t="n">
        <f aca="false">WORKDAY(Assumptions!$C$4,I445,Assumptions!$F$4:$F$44)</f>
        <v>46790</v>
      </c>
      <c r="L445" s="30" t="n">
        <f aca="false">IF(J445=0,K445,WORKDAY(K445,J445-1,Assumptions!$F$4:$F$44))</f>
        <v>46825</v>
      </c>
      <c r="M445" s="29" t="s">
        <v>925</v>
      </c>
      <c r="N445" s="31" t="n">
        <v>0</v>
      </c>
      <c r="O445" s="31" t="n">
        <v>2</v>
      </c>
      <c r="P445" s="31" t="n">
        <v>0</v>
      </c>
      <c r="Q445" s="31" t="n">
        <v>3</v>
      </c>
      <c r="R445" s="31" t="n">
        <v>3</v>
      </c>
      <c r="S445" s="31" t="n">
        <v>0</v>
      </c>
      <c r="T445" s="31" t="n">
        <v>0</v>
      </c>
      <c r="U445" s="31" t="n">
        <v>0</v>
      </c>
      <c r="V445" s="31" t="n">
        <v>0</v>
      </c>
      <c r="W445" s="31" t="n">
        <v>0</v>
      </c>
      <c r="X445" s="31" t="n">
        <v>0</v>
      </c>
      <c r="Y445" s="32" t="n">
        <f aca="false">SUM(N445:X445)</f>
        <v>8</v>
      </c>
      <c r="Z445" s="32" t="n">
        <f aca="false">Y445*(1+Assumptions!$C$5)</f>
        <v>9.2</v>
      </c>
      <c r="AA445" s="27" t="s">
        <v>331</v>
      </c>
      <c r="AB445" s="27" t="s">
        <v>95</v>
      </c>
      <c r="AC445" s="27"/>
      <c r="AD445" s="33" t="n">
        <v>0</v>
      </c>
      <c r="AF445" s="21" t="n">
        <f aca="false">IF($J445=0,0,MAX(0,NETWORKDAYS(MAX($K445,AF$4),MIN($L445,EOMONTH(AF$4,0)),Assumptions!$F$4:$F$44))/NETWORKDAYS($K445,$L445,Assumptions!$F$4:$F$44))</f>
        <v>0</v>
      </c>
      <c r="AG445" s="21" t="n">
        <f aca="false">IF($J445=0,0,MAX(0,NETWORKDAYS(MAX($K445,AG$4),MIN($L445,EOMONTH(AG$4,0)),Assumptions!$F$4:$F$44))/NETWORKDAYS($K445,$L445,Assumptions!$F$4:$F$44))</f>
        <v>0</v>
      </c>
      <c r="AH445" s="21" t="n">
        <f aca="false">IF($J445=0,0,MAX(0,NETWORKDAYS(MAX($K445,AH$4),MIN($L445,EOMONTH(AH$4,0)),Assumptions!$F$4:$F$44))/NETWORKDAYS($K445,$L445,Assumptions!$F$4:$F$44))</f>
        <v>0</v>
      </c>
      <c r="AI445" s="21" t="n">
        <f aca="false">IF($J445=0,0,MAX(0,NETWORKDAYS(MAX($K445,AI$4),MIN($L445,EOMONTH(AI$4,0)),Assumptions!$F$4:$F$44))/NETWORKDAYS($K445,$L445,Assumptions!$F$4:$F$44))</f>
        <v>0</v>
      </c>
      <c r="AJ445" s="21" t="n">
        <f aca="false">IF($J445=0,0,MAX(0,NETWORKDAYS(MAX($K445,AJ$4),MIN($L445,EOMONTH(AJ$4,0)),Assumptions!$F$4:$F$44))/NETWORKDAYS($K445,$L445,Assumptions!$F$4:$F$44))</f>
        <v>0</v>
      </c>
      <c r="AK445" s="21" t="n">
        <f aca="false">IF($J445=0,0,MAX(0,NETWORKDAYS(MAX($K445,AK$4),MIN($L445,EOMONTH(AK$4,0)),Assumptions!$F$4:$F$44))/NETWORKDAYS($K445,$L445,Assumptions!$F$4:$F$44))</f>
        <v>0</v>
      </c>
      <c r="AL445" s="21" t="n">
        <f aca="false">IF($J445=0,0,MAX(0,NETWORKDAYS(MAX($K445,AL$4),MIN($L445,EOMONTH(AL$4,0)),Assumptions!$F$4:$F$44))/NETWORKDAYS($K445,$L445,Assumptions!$F$4:$F$44))</f>
        <v>0</v>
      </c>
      <c r="AM445" s="21" t="n">
        <f aca="false">IF($J445=0,0,MAX(0,NETWORKDAYS(MAX($K445,AM$4),MIN($L445,EOMONTH(AM$4,0)),Assumptions!$F$4:$F$44))/NETWORKDAYS($K445,$L445,Assumptions!$F$4:$F$44))</f>
        <v>0</v>
      </c>
      <c r="AN445" s="21" t="n">
        <f aca="false">IF($J445=0,0,MAX(0,NETWORKDAYS(MAX($K445,AN$4),MIN($L445,EOMONTH(AN$4,0)),Assumptions!$F$4:$F$44))/NETWORKDAYS($K445,$L445,Assumptions!$F$4:$F$44))</f>
        <v>0</v>
      </c>
      <c r="AO445" s="21" t="n">
        <f aca="false">IF($J445=0,0,MAX(0,NETWORKDAYS(MAX($K445,AO$4),MIN($L445,EOMONTH(AO$4,0)),Assumptions!$F$4:$F$44))/NETWORKDAYS($K445,$L445,Assumptions!$F$4:$F$44))</f>
        <v>0</v>
      </c>
      <c r="AP445" s="21" t="n">
        <f aca="false">IF($J445=0,0,MAX(0,NETWORKDAYS(MAX($K445,AP$4),MIN($L445,EOMONTH(AP$4,0)),Assumptions!$F$4:$F$44))/NETWORKDAYS($K445,$L445,Assumptions!$F$4:$F$44))</f>
        <v>0</v>
      </c>
      <c r="AQ445" s="21" t="n">
        <f aca="false">IF($J445=0,0,MAX(0,NETWORKDAYS(MAX($K445,AQ$4),MIN($L445,EOMONTH(AQ$4,0)),Assumptions!$F$4:$F$44))/NETWORKDAYS($K445,$L445,Assumptions!$F$4:$F$44))</f>
        <v>0</v>
      </c>
      <c r="AR445" s="21" t="n">
        <f aca="false">IF($J445=0,0,MAX(0,NETWORKDAYS(MAX($K445,AR$4),MIN($L445,EOMONTH(AR$4,0)),Assumptions!$F$4:$F$44))/NETWORKDAYS($K445,$L445,Assumptions!$F$4:$F$44))</f>
        <v>0</v>
      </c>
      <c r="AS445" s="21" t="n">
        <f aca="false">IF($J445=0,0,MAX(0,NETWORKDAYS(MAX($K445,AS$4),MIN($L445,EOMONTH(AS$4,0)),Assumptions!$F$4:$F$44))/NETWORKDAYS($K445,$L445,Assumptions!$F$4:$F$44))</f>
        <v>0</v>
      </c>
      <c r="AT445" s="21" t="n">
        <f aca="false">IF($J445=0,0,MAX(0,NETWORKDAYS(MAX($K445,AT$4),MIN($L445,EOMONTH(AT$4,0)),Assumptions!$F$4:$F$44))/NETWORKDAYS($K445,$L445,Assumptions!$F$4:$F$44))</f>
        <v>0</v>
      </c>
      <c r="AU445" s="21" t="n">
        <f aca="false">IF($J445=0,0,MAX(0,NETWORKDAYS(MAX($K445,AU$4),MIN($L445,EOMONTH(AU$4,0)),Assumptions!$F$4:$F$44))/NETWORKDAYS($K445,$L445,Assumptions!$F$4:$F$44))</f>
        <v>0.653846153846154</v>
      </c>
      <c r="AV445" s="21" t="n">
        <f aca="false">IF($J445=0,0,MAX(0,NETWORKDAYS(MAX($K445,AV$4),MIN($L445,EOMONTH(AV$4,0)),Assumptions!$F$4:$F$44))/NETWORKDAYS($K445,$L445,Assumptions!$F$4:$F$44))</f>
        <v>0.346153846153846</v>
      </c>
      <c r="AW445" s="21" t="n">
        <f aca="false">IF($J445=0,0,MAX(0,NETWORKDAYS(MAX($K445,AW$4),MIN($L445,EOMONTH(AW$4,0)),Assumptions!$F$4:$F$44))/NETWORKDAYS($K445,$L445,Assumptions!$F$4:$F$44))</f>
        <v>0</v>
      </c>
      <c r="AX445" s="21" t="n">
        <f aca="false">IF($J445=0,0,MAX(0,NETWORKDAYS(MAX($K445,AX$4),MIN($L445,EOMONTH(AX$4,0)),Assumptions!$F$4:$F$44))/NETWORKDAYS($K445,$L445,Assumptions!$F$4:$F$44))</f>
        <v>0</v>
      </c>
      <c r="AY445" s="21" t="n">
        <f aca="false">IF($J445=0,0,MAX(0,NETWORKDAYS(MAX($K445,AY$4),MIN($L445,EOMONTH(AY$4,0)),Assumptions!$F$4:$F$44))/NETWORKDAYS($K445,$L445,Assumptions!$F$4:$F$44))</f>
        <v>0</v>
      </c>
      <c r="AZ445" s="21" t="n">
        <f aca="false">IF($J445=0,0,MAX(0,NETWORKDAYS(MAX($K445,AZ$4),MIN($L445,EOMONTH(AZ$4,0)),Assumptions!$F$4:$F$44))/NETWORKDAYS($K445,$L445,Assumptions!$F$4:$F$44))</f>
        <v>0</v>
      </c>
      <c r="BA445" s="21" t="n">
        <f aca="false">IF($J445=0,0,MAX(0,NETWORKDAYS(MAX($K445,BA$4),MIN($L445,EOMONTH(BA$4,0)),Assumptions!$F$4:$F$44))/NETWORKDAYS($K445,$L445,Assumptions!$F$4:$F$44))</f>
        <v>0</v>
      </c>
      <c r="BB445" s="21" t="n">
        <f aca="false">IF($J445=0,0,MAX(0,NETWORKDAYS(MAX($K445,BB$4),MIN($L445,EOMONTH(BB$4,0)),Assumptions!$F$4:$F$44))/NETWORKDAYS($K445,$L445,Assumptions!$F$4:$F$44))</f>
        <v>0</v>
      </c>
      <c r="BC445" s="21" t="n">
        <f aca="false">IF($J445=0,0,MAX(0,NETWORKDAYS(MAX($K445,BC$4),MIN($L445,EOMONTH(BC$4,0)),Assumptions!$F$4:$F$44))/NETWORKDAYS($K445,$L445,Assumptions!$F$4:$F$44))</f>
        <v>0</v>
      </c>
    </row>
    <row r="446" customFormat="false" ht="15" hidden="false" customHeight="false" outlineLevel="2" collapsed="false">
      <c r="A446" s="27" t="n">
        <v>442</v>
      </c>
      <c r="B446" s="27" t="s">
        <v>928</v>
      </c>
      <c r="C446" s="27" t="n">
        <v>3</v>
      </c>
      <c r="D446" s="27" t="s">
        <v>92</v>
      </c>
      <c r="E446" s="28" t="s">
        <v>929</v>
      </c>
      <c r="F446" s="27" t="s">
        <v>846</v>
      </c>
      <c r="G446" s="27" t="s">
        <v>913</v>
      </c>
      <c r="H446" s="27" t="s">
        <v>59</v>
      </c>
      <c r="I446" s="29" t="n">
        <v>304</v>
      </c>
      <c r="J446" s="29" t="n">
        <v>59</v>
      </c>
      <c r="K446" s="30" t="n">
        <f aca="false">WORKDAY(Assumptions!$C$4,I446,Assumptions!$F$4:$F$44)</f>
        <v>46752</v>
      </c>
      <c r="L446" s="30" t="n">
        <f aca="false">IF(J446=0,K446,WORKDAY(K446,J446-1,Assumptions!$F$4:$F$44))</f>
        <v>46834</v>
      </c>
      <c r="M446" s="29" t="s">
        <v>920</v>
      </c>
      <c r="N446" s="31" t="n">
        <v>0</v>
      </c>
      <c r="O446" s="31" t="n">
        <v>2</v>
      </c>
      <c r="P446" s="31" t="n">
        <v>0</v>
      </c>
      <c r="Q446" s="31" t="n">
        <v>0</v>
      </c>
      <c r="R446" s="31" t="n">
        <v>0</v>
      </c>
      <c r="S446" s="31" t="n">
        <v>0</v>
      </c>
      <c r="T446" s="31" t="n">
        <v>0</v>
      </c>
      <c r="U446" s="31" t="n">
        <v>0</v>
      </c>
      <c r="V446" s="31" t="n">
        <v>0</v>
      </c>
      <c r="W446" s="31" t="n">
        <v>10</v>
      </c>
      <c r="X446" s="31" t="n">
        <v>0</v>
      </c>
      <c r="Y446" s="32" t="n">
        <f aca="false">SUM(N446:X446)</f>
        <v>12</v>
      </c>
      <c r="Z446" s="32" t="n">
        <f aca="false">Y446*(1+Assumptions!$C$5)</f>
        <v>13.8</v>
      </c>
      <c r="AA446" s="27" t="s">
        <v>334</v>
      </c>
      <c r="AB446" s="27" t="s">
        <v>95</v>
      </c>
      <c r="AC446" s="27"/>
      <c r="AD446" s="33" t="n">
        <v>0</v>
      </c>
      <c r="AF446" s="21" t="n">
        <f aca="false">IF($J446=0,0,MAX(0,NETWORKDAYS(MAX($K446,AF$4),MIN($L446,EOMONTH(AF$4,0)),Assumptions!$F$4:$F$44))/NETWORKDAYS($K446,$L446,Assumptions!$F$4:$F$44))</f>
        <v>0</v>
      </c>
      <c r="AG446" s="21" t="n">
        <f aca="false">IF($J446=0,0,MAX(0,NETWORKDAYS(MAX($K446,AG$4),MIN($L446,EOMONTH(AG$4,0)),Assumptions!$F$4:$F$44))/NETWORKDAYS($K446,$L446,Assumptions!$F$4:$F$44))</f>
        <v>0</v>
      </c>
      <c r="AH446" s="21" t="n">
        <f aca="false">IF($J446=0,0,MAX(0,NETWORKDAYS(MAX($K446,AH$4),MIN($L446,EOMONTH(AH$4,0)),Assumptions!$F$4:$F$44))/NETWORKDAYS($K446,$L446,Assumptions!$F$4:$F$44))</f>
        <v>0</v>
      </c>
      <c r="AI446" s="21" t="n">
        <f aca="false">IF($J446=0,0,MAX(0,NETWORKDAYS(MAX($K446,AI$4),MIN($L446,EOMONTH(AI$4,0)),Assumptions!$F$4:$F$44))/NETWORKDAYS($K446,$L446,Assumptions!$F$4:$F$44))</f>
        <v>0</v>
      </c>
      <c r="AJ446" s="21" t="n">
        <f aca="false">IF($J446=0,0,MAX(0,NETWORKDAYS(MAX($K446,AJ$4),MIN($L446,EOMONTH(AJ$4,0)),Assumptions!$F$4:$F$44))/NETWORKDAYS($K446,$L446,Assumptions!$F$4:$F$44))</f>
        <v>0</v>
      </c>
      <c r="AK446" s="21" t="n">
        <f aca="false">IF($J446=0,0,MAX(0,NETWORKDAYS(MAX($K446,AK$4),MIN($L446,EOMONTH(AK$4,0)),Assumptions!$F$4:$F$44))/NETWORKDAYS($K446,$L446,Assumptions!$F$4:$F$44))</f>
        <v>0</v>
      </c>
      <c r="AL446" s="21" t="n">
        <f aca="false">IF($J446=0,0,MAX(0,NETWORKDAYS(MAX($K446,AL$4),MIN($L446,EOMONTH(AL$4,0)),Assumptions!$F$4:$F$44))/NETWORKDAYS($K446,$L446,Assumptions!$F$4:$F$44))</f>
        <v>0</v>
      </c>
      <c r="AM446" s="21" t="n">
        <f aca="false">IF($J446=0,0,MAX(0,NETWORKDAYS(MAX($K446,AM$4),MIN($L446,EOMONTH(AM$4,0)),Assumptions!$F$4:$F$44))/NETWORKDAYS($K446,$L446,Assumptions!$F$4:$F$44))</f>
        <v>0</v>
      </c>
      <c r="AN446" s="21" t="n">
        <f aca="false">IF($J446=0,0,MAX(0,NETWORKDAYS(MAX($K446,AN$4),MIN($L446,EOMONTH(AN$4,0)),Assumptions!$F$4:$F$44))/NETWORKDAYS($K446,$L446,Assumptions!$F$4:$F$44))</f>
        <v>0</v>
      </c>
      <c r="AO446" s="21" t="n">
        <f aca="false">IF($J446=0,0,MAX(0,NETWORKDAYS(MAX($K446,AO$4),MIN($L446,EOMONTH(AO$4,0)),Assumptions!$F$4:$F$44))/NETWORKDAYS($K446,$L446,Assumptions!$F$4:$F$44))</f>
        <v>0</v>
      </c>
      <c r="AP446" s="21" t="n">
        <f aca="false">IF($J446=0,0,MAX(0,NETWORKDAYS(MAX($K446,AP$4),MIN($L446,EOMONTH(AP$4,0)),Assumptions!$F$4:$F$44))/NETWORKDAYS($K446,$L446,Assumptions!$F$4:$F$44))</f>
        <v>0</v>
      </c>
      <c r="AQ446" s="21" t="n">
        <f aca="false">IF($J446=0,0,MAX(0,NETWORKDAYS(MAX($K446,AQ$4),MIN($L446,EOMONTH(AQ$4,0)),Assumptions!$F$4:$F$44))/NETWORKDAYS($K446,$L446,Assumptions!$F$4:$F$44))</f>
        <v>0</v>
      </c>
      <c r="AR446" s="21" t="n">
        <f aca="false">IF($J446=0,0,MAX(0,NETWORKDAYS(MAX($K446,AR$4),MIN($L446,EOMONTH(AR$4,0)),Assumptions!$F$4:$F$44))/NETWORKDAYS($K446,$L446,Assumptions!$F$4:$F$44))</f>
        <v>0</v>
      </c>
      <c r="AS446" s="21" t="n">
        <f aca="false">IF($J446=0,0,MAX(0,NETWORKDAYS(MAX($K446,AS$4),MIN($L446,EOMONTH(AS$4,0)),Assumptions!$F$4:$F$44))/NETWORKDAYS($K446,$L446,Assumptions!$F$4:$F$44))</f>
        <v>0.0169491525423729</v>
      </c>
      <c r="AT446" s="21" t="n">
        <f aca="false">IF($J446=0,0,MAX(0,NETWORKDAYS(MAX($K446,AT$4),MIN($L446,EOMONTH(AT$4,0)),Assumptions!$F$4:$F$44))/NETWORKDAYS($K446,$L446,Assumptions!$F$4:$F$44))</f>
        <v>0.355932203389831</v>
      </c>
      <c r="AU446" s="21" t="n">
        <f aca="false">IF($J446=0,0,MAX(0,NETWORKDAYS(MAX($K446,AU$4),MIN($L446,EOMONTH(AU$4,0)),Assumptions!$F$4:$F$44))/NETWORKDAYS($K446,$L446,Assumptions!$F$4:$F$44))</f>
        <v>0.355932203389831</v>
      </c>
      <c r="AV446" s="21" t="n">
        <f aca="false">IF($J446=0,0,MAX(0,NETWORKDAYS(MAX($K446,AV$4),MIN($L446,EOMONTH(AV$4,0)),Assumptions!$F$4:$F$44))/NETWORKDAYS($K446,$L446,Assumptions!$F$4:$F$44))</f>
        <v>0.271186440677966</v>
      </c>
      <c r="AW446" s="21" t="n">
        <f aca="false">IF($J446=0,0,MAX(0,NETWORKDAYS(MAX($K446,AW$4),MIN($L446,EOMONTH(AW$4,0)),Assumptions!$F$4:$F$44))/NETWORKDAYS($K446,$L446,Assumptions!$F$4:$F$44))</f>
        <v>0</v>
      </c>
      <c r="AX446" s="21" t="n">
        <f aca="false">IF($J446=0,0,MAX(0,NETWORKDAYS(MAX($K446,AX$4),MIN($L446,EOMONTH(AX$4,0)),Assumptions!$F$4:$F$44))/NETWORKDAYS($K446,$L446,Assumptions!$F$4:$F$44))</f>
        <v>0</v>
      </c>
      <c r="AY446" s="21" t="n">
        <f aca="false">IF($J446=0,0,MAX(0,NETWORKDAYS(MAX($K446,AY$4),MIN($L446,EOMONTH(AY$4,0)),Assumptions!$F$4:$F$44))/NETWORKDAYS($K446,$L446,Assumptions!$F$4:$F$44))</f>
        <v>0</v>
      </c>
      <c r="AZ446" s="21" t="n">
        <f aca="false">IF($J446=0,0,MAX(0,NETWORKDAYS(MAX($K446,AZ$4),MIN($L446,EOMONTH(AZ$4,0)),Assumptions!$F$4:$F$44))/NETWORKDAYS($K446,$L446,Assumptions!$F$4:$F$44))</f>
        <v>0</v>
      </c>
      <c r="BA446" s="21" t="n">
        <f aca="false">IF($J446=0,0,MAX(0,NETWORKDAYS(MAX($K446,BA$4),MIN($L446,EOMONTH(BA$4,0)),Assumptions!$F$4:$F$44))/NETWORKDAYS($K446,$L446,Assumptions!$F$4:$F$44))</f>
        <v>0</v>
      </c>
      <c r="BB446" s="21" t="n">
        <f aca="false">IF($J446=0,0,MAX(0,NETWORKDAYS(MAX($K446,BB$4),MIN($L446,EOMONTH(BB$4,0)),Assumptions!$F$4:$F$44))/NETWORKDAYS($K446,$L446,Assumptions!$F$4:$F$44))</f>
        <v>0</v>
      </c>
      <c r="BC446" s="21" t="n">
        <f aca="false">IF($J446=0,0,MAX(0,NETWORKDAYS(MAX($K446,BC$4),MIN($L446,EOMONTH(BC$4,0)),Assumptions!$F$4:$F$44))/NETWORKDAYS($K446,$L446,Assumptions!$F$4:$F$44))</f>
        <v>0</v>
      </c>
    </row>
    <row r="447" customFormat="false" ht="15" hidden="false" customHeight="false" outlineLevel="2" collapsed="false">
      <c r="A447" s="27" t="n">
        <v>443</v>
      </c>
      <c r="B447" s="27" t="s">
        <v>930</v>
      </c>
      <c r="C447" s="27" t="n">
        <v>3</v>
      </c>
      <c r="D447" s="27" t="s">
        <v>92</v>
      </c>
      <c r="E447" s="28" t="s">
        <v>336</v>
      </c>
      <c r="F447" s="27" t="s">
        <v>846</v>
      </c>
      <c r="G447" s="27" t="s">
        <v>913</v>
      </c>
      <c r="H447" s="27" t="s">
        <v>57</v>
      </c>
      <c r="I447" s="29" t="n">
        <v>346</v>
      </c>
      <c r="J447" s="29" t="n">
        <v>21</v>
      </c>
      <c r="K447" s="30" t="n">
        <f aca="false">WORKDAY(Assumptions!$C$4,I447,Assumptions!$F$4:$F$44)</f>
        <v>46812</v>
      </c>
      <c r="L447" s="30" t="n">
        <f aca="false">IF(J447=0,K447,WORKDAY(K447,J447-1,Assumptions!$F$4:$F$44))</f>
        <v>46840</v>
      </c>
      <c r="M447" s="29" t="s">
        <v>931</v>
      </c>
      <c r="N447" s="31" t="n">
        <v>0</v>
      </c>
      <c r="O447" s="31" t="n">
        <v>0</v>
      </c>
      <c r="P447" s="31" t="n">
        <v>0</v>
      </c>
      <c r="Q447" s="31" t="n">
        <v>0</v>
      </c>
      <c r="R447" s="31" t="n">
        <v>0</v>
      </c>
      <c r="S447" s="31" t="n">
        <v>0</v>
      </c>
      <c r="T447" s="31" t="n">
        <v>0</v>
      </c>
      <c r="U447" s="31" t="n">
        <v>0</v>
      </c>
      <c r="V447" s="31" t="n">
        <v>17</v>
      </c>
      <c r="W447" s="31" t="n">
        <v>0</v>
      </c>
      <c r="X447" s="31" t="n">
        <v>0</v>
      </c>
      <c r="Y447" s="32" t="n">
        <f aca="false">SUM(N447:X447)</f>
        <v>17</v>
      </c>
      <c r="Z447" s="32" t="n">
        <f aca="false">Y447*(1+Assumptions!$C$5)</f>
        <v>19.55</v>
      </c>
      <c r="AA447" s="27" t="s">
        <v>338</v>
      </c>
      <c r="AB447" s="27" t="s">
        <v>95</v>
      </c>
      <c r="AC447" s="27"/>
      <c r="AD447" s="33" t="n">
        <v>0</v>
      </c>
      <c r="AF447" s="21" t="n">
        <f aca="false">IF($J447=0,0,MAX(0,NETWORKDAYS(MAX($K447,AF$4),MIN($L447,EOMONTH(AF$4,0)),Assumptions!$F$4:$F$44))/NETWORKDAYS($K447,$L447,Assumptions!$F$4:$F$44))</f>
        <v>0</v>
      </c>
      <c r="AG447" s="21" t="n">
        <f aca="false">IF($J447=0,0,MAX(0,NETWORKDAYS(MAX($K447,AG$4),MIN($L447,EOMONTH(AG$4,0)),Assumptions!$F$4:$F$44))/NETWORKDAYS($K447,$L447,Assumptions!$F$4:$F$44))</f>
        <v>0</v>
      </c>
      <c r="AH447" s="21" t="n">
        <f aca="false">IF($J447=0,0,MAX(0,NETWORKDAYS(MAX($K447,AH$4),MIN($L447,EOMONTH(AH$4,0)),Assumptions!$F$4:$F$44))/NETWORKDAYS($K447,$L447,Assumptions!$F$4:$F$44))</f>
        <v>0</v>
      </c>
      <c r="AI447" s="21" t="n">
        <f aca="false">IF($J447=0,0,MAX(0,NETWORKDAYS(MAX($K447,AI$4),MIN($L447,EOMONTH(AI$4,0)),Assumptions!$F$4:$F$44))/NETWORKDAYS($K447,$L447,Assumptions!$F$4:$F$44))</f>
        <v>0</v>
      </c>
      <c r="AJ447" s="21" t="n">
        <f aca="false">IF($J447=0,0,MAX(0,NETWORKDAYS(MAX($K447,AJ$4),MIN($L447,EOMONTH(AJ$4,0)),Assumptions!$F$4:$F$44))/NETWORKDAYS($K447,$L447,Assumptions!$F$4:$F$44))</f>
        <v>0</v>
      </c>
      <c r="AK447" s="21" t="n">
        <f aca="false">IF($J447=0,0,MAX(0,NETWORKDAYS(MAX($K447,AK$4),MIN($L447,EOMONTH(AK$4,0)),Assumptions!$F$4:$F$44))/NETWORKDAYS($K447,$L447,Assumptions!$F$4:$F$44))</f>
        <v>0</v>
      </c>
      <c r="AL447" s="21" t="n">
        <f aca="false">IF($J447=0,0,MAX(0,NETWORKDAYS(MAX($K447,AL$4),MIN($L447,EOMONTH(AL$4,0)),Assumptions!$F$4:$F$44))/NETWORKDAYS($K447,$L447,Assumptions!$F$4:$F$44))</f>
        <v>0</v>
      </c>
      <c r="AM447" s="21" t="n">
        <f aca="false">IF($J447=0,0,MAX(0,NETWORKDAYS(MAX($K447,AM$4),MIN($L447,EOMONTH(AM$4,0)),Assumptions!$F$4:$F$44))/NETWORKDAYS($K447,$L447,Assumptions!$F$4:$F$44))</f>
        <v>0</v>
      </c>
      <c r="AN447" s="21" t="n">
        <f aca="false">IF($J447=0,0,MAX(0,NETWORKDAYS(MAX($K447,AN$4),MIN($L447,EOMONTH(AN$4,0)),Assumptions!$F$4:$F$44))/NETWORKDAYS($K447,$L447,Assumptions!$F$4:$F$44))</f>
        <v>0</v>
      </c>
      <c r="AO447" s="21" t="n">
        <f aca="false">IF($J447=0,0,MAX(0,NETWORKDAYS(MAX($K447,AO$4),MIN($L447,EOMONTH(AO$4,0)),Assumptions!$F$4:$F$44))/NETWORKDAYS($K447,$L447,Assumptions!$F$4:$F$44))</f>
        <v>0</v>
      </c>
      <c r="AP447" s="21" t="n">
        <f aca="false">IF($J447=0,0,MAX(0,NETWORKDAYS(MAX($K447,AP$4),MIN($L447,EOMONTH(AP$4,0)),Assumptions!$F$4:$F$44))/NETWORKDAYS($K447,$L447,Assumptions!$F$4:$F$44))</f>
        <v>0</v>
      </c>
      <c r="AQ447" s="21" t="n">
        <f aca="false">IF($J447=0,0,MAX(0,NETWORKDAYS(MAX($K447,AQ$4),MIN($L447,EOMONTH(AQ$4,0)),Assumptions!$F$4:$F$44))/NETWORKDAYS($K447,$L447,Assumptions!$F$4:$F$44))</f>
        <v>0</v>
      </c>
      <c r="AR447" s="21" t="n">
        <f aca="false">IF($J447=0,0,MAX(0,NETWORKDAYS(MAX($K447,AR$4),MIN($L447,EOMONTH(AR$4,0)),Assumptions!$F$4:$F$44))/NETWORKDAYS($K447,$L447,Assumptions!$F$4:$F$44))</f>
        <v>0</v>
      </c>
      <c r="AS447" s="21" t="n">
        <f aca="false">IF($J447=0,0,MAX(0,NETWORKDAYS(MAX($K447,AS$4),MIN($L447,EOMONTH(AS$4,0)),Assumptions!$F$4:$F$44))/NETWORKDAYS($K447,$L447,Assumptions!$F$4:$F$44))</f>
        <v>0</v>
      </c>
      <c r="AT447" s="21" t="n">
        <f aca="false">IF($J447=0,0,MAX(0,NETWORKDAYS(MAX($K447,AT$4),MIN($L447,EOMONTH(AT$4,0)),Assumptions!$F$4:$F$44))/NETWORKDAYS($K447,$L447,Assumptions!$F$4:$F$44))</f>
        <v>0</v>
      </c>
      <c r="AU447" s="21" t="n">
        <f aca="false">IF($J447=0,0,MAX(0,NETWORKDAYS(MAX($K447,AU$4),MIN($L447,EOMONTH(AU$4,0)),Assumptions!$F$4:$F$44))/NETWORKDAYS($K447,$L447,Assumptions!$F$4:$F$44))</f>
        <v>0.0476190476190476</v>
      </c>
      <c r="AV447" s="21" t="n">
        <f aca="false">IF($J447=0,0,MAX(0,NETWORKDAYS(MAX($K447,AV$4),MIN($L447,EOMONTH(AV$4,0)),Assumptions!$F$4:$F$44))/NETWORKDAYS($K447,$L447,Assumptions!$F$4:$F$44))</f>
        <v>0.952380952380952</v>
      </c>
      <c r="AW447" s="21" t="n">
        <f aca="false">IF($J447=0,0,MAX(0,NETWORKDAYS(MAX($K447,AW$4),MIN($L447,EOMONTH(AW$4,0)),Assumptions!$F$4:$F$44))/NETWORKDAYS($K447,$L447,Assumptions!$F$4:$F$44))</f>
        <v>0</v>
      </c>
      <c r="AX447" s="21" t="n">
        <f aca="false">IF($J447=0,0,MAX(0,NETWORKDAYS(MAX($K447,AX$4),MIN($L447,EOMONTH(AX$4,0)),Assumptions!$F$4:$F$44))/NETWORKDAYS($K447,$L447,Assumptions!$F$4:$F$44))</f>
        <v>0</v>
      </c>
      <c r="AY447" s="21" t="n">
        <f aca="false">IF($J447=0,0,MAX(0,NETWORKDAYS(MAX($K447,AY$4),MIN($L447,EOMONTH(AY$4,0)),Assumptions!$F$4:$F$44))/NETWORKDAYS($K447,$L447,Assumptions!$F$4:$F$44))</f>
        <v>0</v>
      </c>
      <c r="AZ447" s="21" t="n">
        <f aca="false">IF($J447=0,0,MAX(0,NETWORKDAYS(MAX($K447,AZ$4),MIN($L447,EOMONTH(AZ$4,0)),Assumptions!$F$4:$F$44))/NETWORKDAYS($K447,$L447,Assumptions!$F$4:$F$44))</f>
        <v>0</v>
      </c>
      <c r="BA447" s="21" t="n">
        <f aca="false">IF($J447=0,0,MAX(0,NETWORKDAYS(MAX($K447,BA$4),MIN($L447,EOMONTH(BA$4,0)),Assumptions!$F$4:$F$44))/NETWORKDAYS($K447,$L447,Assumptions!$F$4:$F$44))</f>
        <v>0</v>
      </c>
      <c r="BB447" s="21" t="n">
        <f aca="false">IF($J447=0,0,MAX(0,NETWORKDAYS(MAX($K447,BB$4),MIN($L447,EOMONTH(BB$4,0)),Assumptions!$F$4:$F$44))/NETWORKDAYS($K447,$L447,Assumptions!$F$4:$F$44))</f>
        <v>0</v>
      </c>
      <c r="BC447" s="21" t="n">
        <f aca="false">IF($J447=0,0,MAX(0,NETWORKDAYS(MAX($K447,BC$4),MIN($L447,EOMONTH(BC$4,0)),Assumptions!$F$4:$F$44))/NETWORKDAYS($K447,$L447,Assumptions!$F$4:$F$44))</f>
        <v>0</v>
      </c>
    </row>
    <row r="448" customFormat="false" ht="15" hidden="false" customHeight="false" outlineLevel="2" collapsed="false">
      <c r="A448" s="27" t="n">
        <v>444</v>
      </c>
      <c r="B448" s="27" t="s">
        <v>932</v>
      </c>
      <c r="C448" s="27" t="n">
        <v>3</v>
      </c>
      <c r="D448" s="27" t="s">
        <v>92</v>
      </c>
      <c r="E448" s="28" t="s">
        <v>340</v>
      </c>
      <c r="F448" s="27" t="s">
        <v>846</v>
      </c>
      <c r="G448" s="27" t="s">
        <v>913</v>
      </c>
      <c r="H448" s="27" t="s">
        <v>47</v>
      </c>
      <c r="I448" s="29" t="n">
        <v>350</v>
      </c>
      <c r="J448" s="29" t="n">
        <v>26</v>
      </c>
      <c r="K448" s="30" t="n">
        <f aca="false">WORKDAY(Assumptions!$C$4,I448,Assumptions!$F$4:$F$44)</f>
        <v>46818</v>
      </c>
      <c r="L448" s="30" t="n">
        <f aca="false">IF(J448=0,K448,WORKDAY(K448,J448-1,Assumptions!$F$4:$F$44))</f>
        <v>46853</v>
      </c>
      <c r="M448" s="29" t="s">
        <v>933</v>
      </c>
      <c r="N448" s="31" t="n">
        <v>0</v>
      </c>
      <c r="O448" s="31" t="n">
        <v>0</v>
      </c>
      <c r="P448" s="31" t="n">
        <v>0</v>
      </c>
      <c r="Q448" s="31" t="n">
        <v>7</v>
      </c>
      <c r="R448" s="31" t="n">
        <v>4</v>
      </c>
      <c r="S448" s="31" t="n">
        <v>0</v>
      </c>
      <c r="T448" s="31" t="n">
        <v>0</v>
      </c>
      <c r="U448" s="31" t="n">
        <v>0</v>
      </c>
      <c r="V448" s="31" t="n">
        <v>3</v>
      </c>
      <c r="W448" s="31" t="n">
        <v>0</v>
      </c>
      <c r="X448" s="31" t="n">
        <v>0</v>
      </c>
      <c r="Y448" s="32" t="n">
        <f aca="false">SUM(N448:X448)</f>
        <v>14</v>
      </c>
      <c r="Z448" s="32" t="n">
        <f aca="false">Y448*(1+Assumptions!$C$5)</f>
        <v>16.1</v>
      </c>
      <c r="AA448" s="27" t="s">
        <v>342</v>
      </c>
      <c r="AB448" s="27" t="s">
        <v>95</v>
      </c>
      <c r="AC448" s="27"/>
      <c r="AD448" s="33" t="n">
        <v>0</v>
      </c>
      <c r="AF448" s="21" t="n">
        <f aca="false">IF($J448=0,0,MAX(0,NETWORKDAYS(MAX($K448,AF$4),MIN($L448,EOMONTH(AF$4,0)),Assumptions!$F$4:$F$44))/NETWORKDAYS($K448,$L448,Assumptions!$F$4:$F$44))</f>
        <v>0</v>
      </c>
      <c r="AG448" s="21" t="n">
        <f aca="false">IF($J448=0,0,MAX(0,NETWORKDAYS(MAX($K448,AG$4),MIN($L448,EOMONTH(AG$4,0)),Assumptions!$F$4:$F$44))/NETWORKDAYS($K448,$L448,Assumptions!$F$4:$F$44))</f>
        <v>0</v>
      </c>
      <c r="AH448" s="21" t="n">
        <f aca="false">IF($J448=0,0,MAX(0,NETWORKDAYS(MAX($K448,AH$4),MIN($L448,EOMONTH(AH$4,0)),Assumptions!$F$4:$F$44))/NETWORKDAYS($K448,$L448,Assumptions!$F$4:$F$44))</f>
        <v>0</v>
      </c>
      <c r="AI448" s="21" t="n">
        <f aca="false">IF($J448=0,0,MAX(0,NETWORKDAYS(MAX($K448,AI$4),MIN($L448,EOMONTH(AI$4,0)),Assumptions!$F$4:$F$44))/NETWORKDAYS($K448,$L448,Assumptions!$F$4:$F$44))</f>
        <v>0</v>
      </c>
      <c r="AJ448" s="21" t="n">
        <f aca="false">IF($J448=0,0,MAX(0,NETWORKDAYS(MAX($K448,AJ$4),MIN($L448,EOMONTH(AJ$4,0)),Assumptions!$F$4:$F$44))/NETWORKDAYS($K448,$L448,Assumptions!$F$4:$F$44))</f>
        <v>0</v>
      </c>
      <c r="AK448" s="21" t="n">
        <f aca="false">IF($J448=0,0,MAX(0,NETWORKDAYS(MAX($K448,AK$4),MIN($L448,EOMONTH(AK$4,0)),Assumptions!$F$4:$F$44))/NETWORKDAYS($K448,$L448,Assumptions!$F$4:$F$44))</f>
        <v>0</v>
      </c>
      <c r="AL448" s="21" t="n">
        <f aca="false">IF($J448=0,0,MAX(0,NETWORKDAYS(MAX($K448,AL$4),MIN($L448,EOMONTH(AL$4,0)),Assumptions!$F$4:$F$44))/NETWORKDAYS($K448,$L448,Assumptions!$F$4:$F$44))</f>
        <v>0</v>
      </c>
      <c r="AM448" s="21" t="n">
        <f aca="false">IF($J448=0,0,MAX(0,NETWORKDAYS(MAX($K448,AM$4),MIN($L448,EOMONTH(AM$4,0)),Assumptions!$F$4:$F$44))/NETWORKDAYS($K448,$L448,Assumptions!$F$4:$F$44))</f>
        <v>0</v>
      </c>
      <c r="AN448" s="21" t="n">
        <f aca="false">IF($J448=0,0,MAX(0,NETWORKDAYS(MAX($K448,AN$4),MIN($L448,EOMONTH(AN$4,0)),Assumptions!$F$4:$F$44))/NETWORKDAYS($K448,$L448,Assumptions!$F$4:$F$44))</f>
        <v>0</v>
      </c>
      <c r="AO448" s="21" t="n">
        <f aca="false">IF($J448=0,0,MAX(0,NETWORKDAYS(MAX($K448,AO$4),MIN($L448,EOMONTH(AO$4,0)),Assumptions!$F$4:$F$44))/NETWORKDAYS($K448,$L448,Assumptions!$F$4:$F$44))</f>
        <v>0</v>
      </c>
      <c r="AP448" s="21" t="n">
        <f aca="false">IF($J448=0,0,MAX(0,NETWORKDAYS(MAX($K448,AP$4),MIN($L448,EOMONTH(AP$4,0)),Assumptions!$F$4:$F$44))/NETWORKDAYS($K448,$L448,Assumptions!$F$4:$F$44))</f>
        <v>0</v>
      </c>
      <c r="AQ448" s="21" t="n">
        <f aca="false">IF($J448=0,0,MAX(0,NETWORKDAYS(MAX($K448,AQ$4),MIN($L448,EOMONTH(AQ$4,0)),Assumptions!$F$4:$F$44))/NETWORKDAYS($K448,$L448,Assumptions!$F$4:$F$44))</f>
        <v>0</v>
      </c>
      <c r="AR448" s="21" t="n">
        <f aca="false">IF($J448=0,0,MAX(0,NETWORKDAYS(MAX($K448,AR$4),MIN($L448,EOMONTH(AR$4,0)),Assumptions!$F$4:$F$44))/NETWORKDAYS($K448,$L448,Assumptions!$F$4:$F$44))</f>
        <v>0</v>
      </c>
      <c r="AS448" s="21" t="n">
        <f aca="false">IF($J448=0,0,MAX(0,NETWORKDAYS(MAX($K448,AS$4),MIN($L448,EOMONTH(AS$4,0)),Assumptions!$F$4:$F$44))/NETWORKDAYS($K448,$L448,Assumptions!$F$4:$F$44))</f>
        <v>0</v>
      </c>
      <c r="AT448" s="21" t="n">
        <f aca="false">IF($J448=0,0,MAX(0,NETWORKDAYS(MAX($K448,AT$4),MIN($L448,EOMONTH(AT$4,0)),Assumptions!$F$4:$F$44))/NETWORKDAYS($K448,$L448,Assumptions!$F$4:$F$44))</f>
        <v>0</v>
      </c>
      <c r="AU448" s="21" t="n">
        <f aca="false">IF($J448=0,0,MAX(0,NETWORKDAYS(MAX($K448,AU$4),MIN($L448,EOMONTH(AU$4,0)),Assumptions!$F$4:$F$44))/NETWORKDAYS($K448,$L448,Assumptions!$F$4:$F$44))</f>
        <v>0</v>
      </c>
      <c r="AV448" s="21" t="n">
        <f aca="false">IF($J448=0,0,MAX(0,NETWORKDAYS(MAX($K448,AV$4),MIN($L448,EOMONTH(AV$4,0)),Assumptions!$F$4:$F$44))/NETWORKDAYS($K448,$L448,Assumptions!$F$4:$F$44))</f>
        <v>0.769230769230769</v>
      </c>
      <c r="AW448" s="21" t="n">
        <f aca="false">IF($J448=0,0,MAX(0,NETWORKDAYS(MAX($K448,AW$4),MIN($L448,EOMONTH(AW$4,0)),Assumptions!$F$4:$F$44))/NETWORKDAYS($K448,$L448,Assumptions!$F$4:$F$44))</f>
        <v>0.230769230769231</v>
      </c>
      <c r="AX448" s="21" t="n">
        <f aca="false">IF($J448=0,0,MAX(0,NETWORKDAYS(MAX($K448,AX$4),MIN($L448,EOMONTH(AX$4,0)),Assumptions!$F$4:$F$44))/NETWORKDAYS($K448,$L448,Assumptions!$F$4:$F$44))</f>
        <v>0</v>
      </c>
      <c r="AY448" s="21" t="n">
        <f aca="false">IF($J448=0,0,MAX(0,NETWORKDAYS(MAX($K448,AY$4),MIN($L448,EOMONTH(AY$4,0)),Assumptions!$F$4:$F$44))/NETWORKDAYS($K448,$L448,Assumptions!$F$4:$F$44))</f>
        <v>0</v>
      </c>
      <c r="AZ448" s="21" t="n">
        <f aca="false">IF($J448=0,0,MAX(0,NETWORKDAYS(MAX($K448,AZ$4),MIN($L448,EOMONTH(AZ$4,0)),Assumptions!$F$4:$F$44))/NETWORKDAYS($K448,$L448,Assumptions!$F$4:$F$44))</f>
        <v>0</v>
      </c>
      <c r="BA448" s="21" t="n">
        <f aca="false">IF($J448=0,0,MAX(0,NETWORKDAYS(MAX($K448,BA$4),MIN($L448,EOMONTH(BA$4,0)),Assumptions!$F$4:$F$44))/NETWORKDAYS($K448,$L448,Assumptions!$F$4:$F$44))</f>
        <v>0</v>
      </c>
      <c r="BB448" s="21" t="n">
        <f aca="false">IF($J448=0,0,MAX(0,NETWORKDAYS(MAX($K448,BB$4),MIN($L448,EOMONTH(BB$4,0)),Assumptions!$F$4:$F$44))/NETWORKDAYS($K448,$L448,Assumptions!$F$4:$F$44))</f>
        <v>0</v>
      </c>
      <c r="BC448" s="21" t="n">
        <f aca="false">IF($J448=0,0,MAX(0,NETWORKDAYS(MAX($K448,BC$4),MIN($L448,EOMONTH(BC$4,0)),Assumptions!$F$4:$F$44))/NETWORKDAYS($K448,$L448,Assumptions!$F$4:$F$44))</f>
        <v>0</v>
      </c>
    </row>
    <row r="449" customFormat="false" ht="15" hidden="false" customHeight="false" outlineLevel="2" collapsed="false">
      <c r="A449" s="27" t="n">
        <v>445</v>
      </c>
      <c r="B449" s="27" t="s">
        <v>934</v>
      </c>
      <c r="C449" s="27" t="n">
        <v>3</v>
      </c>
      <c r="D449" s="27" t="s">
        <v>92</v>
      </c>
      <c r="E449" s="28" t="s">
        <v>344</v>
      </c>
      <c r="F449" s="27" t="s">
        <v>846</v>
      </c>
      <c r="G449" s="27" t="s">
        <v>913</v>
      </c>
      <c r="H449" s="27" t="s">
        <v>43</v>
      </c>
      <c r="I449" s="29" t="n">
        <v>367</v>
      </c>
      <c r="J449" s="29" t="n">
        <v>13</v>
      </c>
      <c r="K449" s="30" t="n">
        <f aca="false">WORKDAY(Assumptions!$C$4,I449,Assumptions!$F$4:$F$44)</f>
        <v>46841</v>
      </c>
      <c r="L449" s="30" t="n">
        <f aca="false">IF(J449=0,K449,WORKDAY(K449,J449-1,Assumptions!$F$4:$F$44))</f>
        <v>46857</v>
      </c>
      <c r="M449" s="29" t="s">
        <v>933</v>
      </c>
      <c r="N449" s="31" t="n">
        <v>0</v>
      </c>
      <c r="O449" s="31" t="n">
        <v>4</v>
      </c>
      <c r="P449" s="31" t="n">
        <v>0</v>
      </c>
      <c r="Q449" s="31" t="n">
        <v>0</v>
      </c>
      <c r="R449" s="31" t="n">
        <v>0</v>
      </c>
      <c r="S449" s="31" t="n">
        <v>0</v>
      </c>
      <c r="T449" s="31" t="n">
        <v>0</v>
      </c>
      <c r="U449" s="31" t="n">
        <v>0</v>
      </c>
      <c r="V449" s="31" t="n">
        <v>4</v>
      </c>
      <c r="W449" s="31" t="n">
        <v>0</v>
      </c>
      <c r="X449" s="31" t="n">
        <v>0</v>
      </c>
      <c r="Y449" s="32" t="n">
        <f aca="false">SUM(N449:X449)</f>
        <v>8</v>
      </c>
      <c r="Z449" s="32" t="n">
        <f aca="false">Y449*(1+Assumptions!$C$5)</f>
        <v>9.2</v>
      </c>
      <c r="AA449" s="27" t="s">
        <v>345</v>
      </c>
      <c r="AB449" s="27" t="s">
        <v>95</v>
      </c>
      <c r="AC449" s="27"/>
      <c r="AD449" s="33" t="n">
        <v>0</v>
      </c>
      <c r="AF449" s="21" t="n">
        <f aca="false">IF($J449=0,0,MAX(0,NETWORKDAYS(MAX($K449,AF$4),MIN($L449,EOMONTH(AF$4,0)),Assumptions!$F$4:$F$44))/NETWORKDAYS($K449,$L449,Assumptions!$F$4:$F$44))</f>
        <v>0</v>
      </c>
      <c r="AG449" s="21" t="n">
        <f aca="false">IF($J449=0,0,MAX(0,NETWORKDAYS(MAX($K449,AG$4),MIN($L449,EOMONTH(AG$4,0)),Assumptions!$F$4:$F$44))/NETWORKDAYS($K449,$L449,Assumptions!$F$4:$F$44))</f>
        <v>0</v>
      </c>
      <c r="AH449" s="21" t="n">
        <f aca="false">IF($J449=0,0,MAX(0,NETWORKDAYS(MAX($K449,AH$4),MIN($L449,EOMONTH(AH$4,0)),Assumptions!$F$4:$F$44))/NETWORKDAYS($K449,$L449,Assumptions!$F$4:$F$44))</f>
        <v>0</v>
      </c>
      <c r="AI449" s="21" t="n">
        <f aca="false">IF($J449=0,0,MAX(0,NETWORKDAYS(MAX($K449,AI$4),MIN($L449,EOMONTH(AI$4,0)),Assumptions!$F$4:$F$44))/NETWORKDAYS($K449,$L449,Assumptions!$F$4:$F$44))</f>
        <v>0</v>
      </c>
      <c r="AJ449" s="21" t="n">
        <f aca="false">IF($J449=0,0,MAX(0,NETWORKDAYS(MAX($K449,AJ$4),MIN($L449,EOMONTH(AJ$4,0)),Assumptions!$F$4:$F$44))/NETWORKDAYS($K449,$L449,Assumptions!$F$4:$F$44))</f>
        <v>0</v>
      </c>
      <c r="AK449" s="21" t="n">
        <f aca="false">IF($J449=0,0,MAX(0,NETWORKDAYS(MAX($K449,AK$4),MIN($L449,EOMONTH(AK$4,0)),Assumptions!$F$4:$F$44))/NETWORKDAYS($K449,$L449,Assumptions!$F$4:$F$44))</f>
        <v>0</v>
      </c>
      <c r="AL449" s="21" t="n">
        <f aca="false">IF($J449=0,0,MAX(0,NETWORKDAYS(MAX($K449,AL$4),MIN($L449,EOMONTH(AL$4,0)),Assumptions!$F$4:$F$44))/NETWORKDAYS($K449,$L449,Assumptions!$F$4:$F$44))</f>
        <v>0</v>
      </c>
      <c r="AM449" s="21" t="n">
        <f aca="false">IF($J449=0,0,MAX(0,NETWORKDAYS(MAX($K449,AM$4),MIN($L449,EOMONTH(AM$4,0)),Assumptions!$F$4:$F$44))/NETWORKDAYS($K449,$L449,Assumptions!$F$4:$F$44))</f>
        <v>0</v>
      </c>
      <c r="AN449" s="21" t="n">
        <f aca="false">IF($J449=0,0,MAX(0,NETWORKDAYS(MAX($K449,AN$4),MIN($L449,EOMONTH(AN$4,0)),Assumptions!$F$4:$F$44))/NETWORKDAYS($K449,$L449,Assumptions!$F$4:$F$44))</f>
        <v>0</v>
      </c>
      <c r="AO449" s="21" t="n">
        <f aca="false">IF($J449=0,0,MAX(0,NETWORKDAYS(MAX($K449,AO$4),MIN($L449,EOMONTH(AO$4,0)),Assumptions!$F$4:$F$44))/NETWORKDAYS($K449,$L449,Assumptions!$F$4:$F$44))</f>
        <v>0</v>
      </c>
      <c r="AP449" s="21" t="n">
        <f aca="false">IF($J449=0,0,MAX(0,NETWORKDAYS(MAX($K449,AP$4),MIN($L449,EOMONTH(AP$4,0)),Assumptions!$F$4:$F$44))/NETWORKDAYS($K449,$L449,Assumptions!$F$4:$F$44))</f>
        <v>0</v>
      </c>
      <c r="AQ449" s="21" t="n">
        <f aca="false">IF($J449=0,0,MAX(0,NETWORKDAYS(MAX($K449,AQ$4),MIN($L449,EOMONTH(AQ$4,0)),Assumptions!$F$4:$F$44))/NETWORKDAYS($K449,$L449,Assumptions!$F$4:$F$44))</f>
        <v>0</v>
      </c>
      <c r="AR449" s="21" t="n">
        <f aca="false">IF($J449=0,0,MAX(0,NETWORKDAYS(MAX($K449,AR$4),MIN($L449,EOMONTH(AR$4,0)),Assumptions!$F$4:$F$44))/NETWORKDAYS($K449,$L449,Assumptions!$F$4:$F$44))</f>
        <v>0</v>
      </c>
      <c r="AS449" s="21" t="n">
        <f aca="false">IF($J449=0,0,MAX(0,NETWORKDAYS(MAX($K449,AS$4),MIN($L449,EOMONTH(AS$4,0)),Assumptions!$F$4:$F$44))/NETWORKDAYS($K449,$L449,Assumptions!$F$4:$F$44))</f>
        <v>0</v>
      </c>
      <c r="AT449" s="21" t="n">
        <f aca="false">IF($J449=0,0,MAX(0,NETWORKDAYS(MAX($K449,AT$4),MIN($L449,EOMONTH(AT$4,0)),Assumptions!$F$4:$F$44))/NETWORKDAYS($K449,$L449,Assumptions!$F$4:$F$44))</f>
        <v>0</v>
      </c>
      <c r="AU449" s="21" t="n">
        <f aca="false">IF($J449=0,0,MAX(0,NETWORKDAYS(MAX($K449,AU$4),MIN($L449,EOMONTH(AU$4,0)),Assumptions!$F$4:$F$44))/NETWORKDAYS($K449,$L449,Assumptions!$F$4:$F$44))</f>
        <v>0</v>
      </c>
      <c r="AV449" s="21" t="n">
        <f aca="false">IF($J449=0,0,MAX(0,NETWORKDAYS(MAX($K449,AV$4),MIN($L449,EOMONTH(AV$4,0)),Assumptions!$F$4:$F$44))/NETWORKDAYS($K449,$L449,Assumptions!$F$4:$F$44))</f>
        <v>0.230769230769231</v>
      </c>
      <c r="AW449" s="21" t="n">
        <f aca="false">IF($J449=0,0,MAX(0,NETWORKDAYS(MAX($K449,AW$4),MIN($L449,EOMONTH(AW$4,0)),Assumptions!$F$4:$F$44))/NETWORKDAYS($K449,$L449,Assumptions!$F$4:$F$44))</f>
        <v>0.769230769230769</v>
      </c>
      <c r="AX449" s="21" t="n">
        <f aca="false">IF($J449=0,0,MAX(0,NETWORKDAYS(MAX($K449,AX$4),MIN($L449,EOMONTH(AX$4,0)),Assumptions!$F$4:$F$44))/NETWORKDAYS($K449,$L449,Assumptions!$F$4:$F$44))</f>
        <v>0</v>
      </c>
      <c r="AY449" s="21" t="n">
        <f aca="false">IF($J449=0,0,MAX(0,NETWORKDAYS(MAX($K449,AY$4),MIN($L449,EOMONTH(AY$4,0)),Assumptions!$F$4:$F$44))/NETWORKDAYS($K449,$L449,Assumptions!$F$4:$F$44))</f>
        <v>0</v>
      </c>
      <c r="AZ449" s="21" t="n">
        <f aca="false">IF($J449=0,0,MAX(0,NETWORKDAYS(MAX($K449,AZ$4),MIN($L449,EOMONTH(AZ$4,0)),Assumptions!$F$4:$F$44))/NETWORKDAYS($K449,$L449,Assumptions!$F$4:$F$44))</f>
        <v>0</v>
      </c>
      <c r="BA449" s="21" t="n">
        <f aca="false">IF($J449=0,0,MAX(0,NETWORKDAYS(MAX($K449,BA$4),MIN($L449,EOMONTH(BA$4,0)),Assumptions!$F$4:$F$44))/NETWORKDAYS($K449,$L449,Assumptions!$F$4:$F$44))</f>
        <v>0</v>
      </c>
      <c r="BB449" s="21" t="n">
        <f aca="false">IF($J449=0,0,MAX(0,NETWORKDAYS(MAX($K449,BB$4),MIN($L449,EOMONTH(BB$4,0)),Assumptions!$F$4:$F$44))/NETWORKDAYS($K449,$L449,Assumptions!$F$4:$F$44))</f>
        <v>0</v>
      </c>
      <c r="BC449" s="21" t="n">
        <f aca="false">IF($J449=0,0,MAX(0,NETWORKDAYS(MAX($K449,BC$4),MIN($L449,EOMONTH(BC$4,0)),Assumptions!$F$4:$F$44))/NETWORKDAYS($K449,$L449,Assumptions!$F$4:$F$44))</f>
        <v>0</v>
      </c>
    </row>
    <row r="450" customFormat="false" ht="15" hidden="false" customHeight="false" outlineLevel="2" collapsed="false">
      <c r="A450" s="27" t="n">
        <v>446</v>
      </c>
      <c r="B450" s="27" t="s">
        <v>935</v>
      </c>
      <c r="C450" s="27" t="n">
        <v>3</v>
      </c>
      <c r="D450" s="27" t="s">
        <v>92</v>
      </c>
      <c r="E450" s="28" t="s">
        <v>347</v>
      </c>
      <c r="F450" s="27" t="s">
        <v>846</v>
      </c>
      <c r="G450" s="27" t="s">
        <v>913</v>
      </c>
      <c r="H450" s="27" t="s">
        <v>61</v>
      </c>
      <c r="I450" s="29" t="n">
        <v>370</v>
      </c>
      <c r="J450" s="29" t="n">
        <v>13</v>
      </c>
      <c r="K450" s="30" t="n">
        <f aca="false">WORKDAY(Assumptions!$C$4,I450,Assumptions!$F$4:$F$44)</f>
        <v>46846</v>
      </c>
      <c r="L450" s="30" t="n">
        <f aca="false">IF(J450=0,K450,WORKDAY(K450,J450-1,Assumptions!$F$4:$F$44))</f>
        <v>46862</v>
      </c>
      <c r="M450" s="29" t="s">
        <v>936</v>
      </c>
      <c r="N450" s="31" t="n">
        <v>0</v>
      </c>
      <c r="O450" s="31" t="n">
        <v>2</v>
      </c>
      <c r="P450" s="31" t="n">
        <v>0</v>
      </c>
      <c r="Q450" s="31" t="n">
        <v>0</v>
      </c>
      <c r="R450" s="31" t="n">
        <v>0</v>
      </c>
      <c r="S450" s="31" t="n">
        <v>0</v>
      </c>
      <c r="T450" s="31" t="n">
        <v>0</v>
      </c>
      <c r="U450" s="31" t="n">
        <v>0</v>
      </c>
      <c r="V450" s="31" t="n">
        <v>0</v>
      </c>
      <c r="W450" s="31" t="n">
        <v>0</v>
      </c>
      <c r="X450" s="31" t="n">
        <v>5</v>
      </c>
      <c r="Y450" s="32" t="n">
        <f aca="false">SUM(N450:X450)</f>
        <v>7</v>
      </c>
      <c r="Z450" s="32" t="n">
        <f aca="false">Y450*(1+Assumptions!$C$5)</f>
        <v>8.05</v>
      </c>
      <c r="AA450" s="27" t="s">
        <v>349</v>
      </c>
      <c r="AB450" s="27" t="s">
        <v>95</v>
      </c>
      <c r="AC450" s="27"/>
      <c r="AD450" s="33" t="n">
        <v>0</v>
      </c>
      <c r="AF450" s="21" t="n">
        <f aca="false">IF($J450=0,0,MAX(0,NETWORKDAYS(MAX($K450,AF$4),MIN($L450,EOMONTH(AF$4,0)),Assumptions!$F$4:$F$44))/NETWORKDAYS($K450,$L450,Assumptions!$F$4:$F$44))</f>
        <v>0</v>
      </c>
      <c r="AG450" s="21" t="n">
        <f aca="false">IF($J450=0,0,MAX(0,NETWORKDAYS(MAX($K450,AG$4),MIN($L450,EOMONTH(AG$4,0)),Assumptions!$F$4:$F$44))/NETWORKDAYS($K450,$L450,Assumptions!$F$4:$F$44))</f>
        <v>0</v>
      </c>
      <c r="AH450" s="21" t="n">
        <f aca="false">IF($J450=0,0,MAX(0,NETWORKDAYS(MAX($K450,AH$4),MIN($L450,EOMONTH(AH$4,0)),Assumptions!$F$4:$F$44))/NETWORKDAYS($K450,$L450,Assumptions!$F$4:$F$44))</f>
        <v>0</v>
      </c>
      <c r="AI450" s="21" t="n">
        <f aca="false">IF($J450=0,0,MAX(0,NETWORKDAYS(MAX($K450,AI$4),MIN($L450,EOMONTH(AI$4,0)),Assumptions!$F$4:$F$44))/NETWORKDAYS($K450,$L450,Assumptions!$F$4:$F$44))</f>
        <v>0</v>
      </c>
      <c r="AJ450" s="21" t="n">
        <f aca="false">IF($J450=0,0,MAX(0,NETWORKDAYS(MAX($K450,AJ$4),MIN($L450,EOMONTH(AJ$4,0)),Assumptions!$F$4:$F$44))/NETWORKDAYS($K450,$L450,Assumptions!$F$4:$F$44))</f>
        <v>0</v>
      </c>
      <c r="AK450" s="21" t="n">
        <f aca="false">IF($J450=0,0,MAX(0,NETWORKDAYS(MAX($K450,AK$4),MIN($L450,EOMONTH(AK$4,0)),Assumptions!$F$4:$F$44))/NETWORKDAYS($K450,$L450,Assumptions!$F$4:$F$44))</f>
        <v>0</v>
      </c>
      <c r="AL450" s="21" t="n">
        <f aca="false">IF($J450=0,0,MAX(0,NETWORKDAYS(MAX($K450,AL$4),MIN($L450,EOMONTH(AL$4,0)),Assumptions!$F$4:$F$44))/NETWORKDAYS($K450,$L450,Assumptions!$F$4:$F$44))</f>
        <v>0</v>
      </c>
      <c r="AM450" s="21" t="n">
        <f aca="false">IF($J450=0,0,MAX(0,NETWORKDAYS(MAX($K450,AM$4),MIN($L450,EOMONTH(AM$4,0)),Assumptions!$F$4:$F$44))/NETWORKDAYS($K450,$L450,Assumptions!$F$4:$F$44))</f>
        <v>0</v>
      </c>
      <c r="AN450" s="21" t="n">
        <f aca="false">IF($J450=0,0,MAX(0,NETWORKDAYS(MAX($K450,AN$4),MIN($L450,EOMONTH(AN$4,0)),Assumptions!$F$4:$F$44))/NETWORKDAYS($K450,$L450,Assumptions!$F$4:$F$44))</f>
        <v>0</v>
      </c>
      <c r="AO450" s="21" t="n">
        <f aca="false">IF($J450=0,0,MAX(0,NETWORKDAYS(MAX($K450,AO$4),MIN($L450,EOMONTH(AO$4,0)),Assumptions!$F$4:$F$44))/NETWORKDAYS($K450,$L450,Assumptions!$F$4:$F$44))</f>
        <v>0</v>
      </c>
      <c r="AP450" s="21" t="n">
        <f aca="false">IF($J450=0,0,MAX(0,NETWORKDAYS(MAX($K450,AP$4),MIN($L450,EOMONTH(AP$4,0)),Assumptions!$F$4:$F$44))/NETWORKDAYS($K450,$L450,Assumptions!$F$4:$F$44))</f>
        <v>0</v>
      </c>
      <c r="AQ450" s="21" t="n">
        <f aca="false">IF($J450=0,0,MAX(0,NETWORKDAYS(MAX($K450,AQ$4),MIN($L450,EOMONTH(AQ$4,0)),Assumptions!$F$4:$F$44))/NETWORKDAYS($K450,$L450,Assumptions!$F$4:$F$44))</f>
        <v>0</v>
      </c>
      <c r="AR450" s="21" t="n">
        <f aca="false">IF($J450=0,0,MAX(0,NETWORKDAYS(MAX($K450,AR$4),MIN($L450,EOMONTH(AR$4,0)),Assumptions!$F$4:$F$44))/NETWORKDAYS($K450,$L450,Assumptions!$F$4:$F$44))</f>
        <v>0</v>
      </c>
      <c r="AS450" s="21" t="n">
        <f aca="false">IF($J450=0,0,MAX(0,NETWORKDAYS(MAX($K450,AS$4),MIN($L450,EOMONTH(AS$4,0)),Assumptions!$F$4:$F$44))/NETWORKDAYS($K450,$L450,Assumptions!$F$4:$F$44))</f>
        <v>0</v>
      </c>
      <c r="AT450" s="21" t="n">
        <f aca="false">IF($J450=0,0,MAX(0,NETWORKDAYS(MAX($K450,AT$4),MIN($L450,EOMONTH(AT$4,0)),Assumptions!$F$4:$F$44))/NETWORKDAYS($K450,$L450,Assumptions!$F$4:$F$44))</f>
        <v>0</v>
      </c>
      <c r="AU450" s="21" t="n">
        <f aca="false">IF($J450=0,0,MAX(0,NETWORKDAYS(MAX($K450,AU$4),MIN($L450,EOMONTH(AU$4,0)),Assumptions!$F$4:$F$44))/NETWORKDAYS($K450,$L450,Assumptions!$F$4:$F$44))</f>
        <v>0</v>
      </c>
      <c r="AV450" s="21" t="n">
        <f aca="false">IF($J450=0,0,MAX(0,NETWORKDAYS(MAX($K450,AV$4),MIN($L450,EOMONTH(AV$4,0)),Assumptions!$F$4:$F$44))/NETWORKDAYS($K450,$L450,Assumptions!$F$4:$F$44))</f>
        <v>0</v>
      </c>
      <c r="AW450" s="21" t="n">
        <f aca="false">IF($J450=0,0,MAX(0,NETWORKDAYS(MAX($K450,AW$4),MIN($L450,EOMONTH(AW$4,0)),Assumptions!$F$4:$F$44))/NETWORKDAYS($K450,$L450,Assumptions!$F$4:$F$44))</f>
        <v>1</v>
      </c>
      <c r="AX450" s="21" t="n">
        <f aca="false">IF($J450=0,0,MAX(0,NETWORKDAYS(MAX($K450,AX$4),MIN($L450,EOMONTH(AX$4,0)),Assumptions!$F$4:$F$44))/NETWORKDAYS($K450,$L450,Assumptions!$F$4:$F$44))</f>
        <v>0</v>
      </c>
      <c r="AY450" s="21" t="n">
        <f aca="false">IF($J450=0,0,MAX(0,NETWORKDAYS(MAX($K450,AY$4),MIN($L450,EOMONTH(AY$4,0)),Assumptions!$F$4:$F$44))/NETWORKDAYS($K450,$L450,Assumptions!$F$4:$F$44))</f>
        <v>0</v>
      </c>
      <c r="AZ450" s="21" t="n">
        <f aca="false">IF($J450=0,0,MAX(0,NETWORKDAYS(MAX($K450,AZ$4),MIN($L450,EOMONTH(AZ$4,0)),Assumptions!$F$4:$F$44))/NETWORKDAYS($K450,$L450,Assumptions!$F$4:$F$44))</f>
        <v>0</v>
      </c>
      <c r="BA450" s="21" t="n">
        <f aca="false">IF($J450=0,0,MAX(0,NETWORKDAYS(MAX($K450,BA$4),MIN($L450,EOMONTH(BA$4,0)),Assumptions!$F$4:$F$44))/NETWORKDAYS($K450,$L450,Assumptions!$F$4:$F$44))</f>
        <v>0</v>
      </c>
      <c r="BB450" s="21" t="n">
        <f aca="false">IF($J450=0,0,MAX(0,NETWORKDAYS(MAX($K450,BB$4),MIN($L450,EOMONTH(BB$4,0)),Assumptions!$F$4:$F$44))/NETWORKDAYS($K450,$L450,Assumptions!$F$4:$F$44))</f>
        <v>0</v>
      </c>
      <c r="BC450" s="21" t="n">
        <f aca="false">IF($J450=0,0,MAX(0,NETWORKDAYS(MAX($K450,BC$4),MIN($L450,EOMONTH(BC$4,0)),Assumptions!$F$4:$F$44))/NETWORKDAYS($K450,$L450,Assumptions!$F$4:$F$44))</f>
        <v>0</v>
      </c>
    </row>
    <row r="451" customFormat="false" ht="15" hidden="false" customHeight="false" outlineLevel="1" collapsed="false">
      <c r="A451" s="22" t="n">
        <v>447</v>
      </c>
      <c r="B451" s="22" t="s">
        <v>937</v>
      </c>
      <c r="C451" s="22" t="n">
        <v>2</v>
      </c>
      <c r="D451" s="22" t="s">
        <v>89</v>
      </c>
      <c r="E451" s="23" t="s">
        <v>938</v>
      </c>
      <c r="F451" s="22" t="s">
        <v>846</v>
      </c>
      <c r="G451" s="22" t="s">
        <v>939</v>
      </c>
      <c r="H451" s="22"/>
      <c r="I451" s="22"/>
      <c r="J451" s="22" t="n">
        <f aca="false">NETWORKDAYS(K451,L451,Assumptions!$F$4:$F$44)</f>
        <v>119</v>
      </c>
      <c r="K451" s="24" t="n">
        <f aca="false">MIN(K452:K467)</f>
        <v>46696</v>
      </c>
      <c r="L451" s="24" t="n">
        <f aca="false">MAX(L452:L467)</f>
        <v>46862</v>
      </c>
      <c r="M451" s="22"/>
      <c r="N451" s="25" t="n">
        <f aca="false">SUMPRODUCT(($C$452:$C$467=3)*(N452:N467))</f>
        <v>1</v>
      </c>
      <c r="O451" s="25" t="n">
        <f aca="false">SUMPRODUCT(($C$452:$C$467=3)*(O452:O467))</f>
        <v>17</v>
      </c>
      <c r="P451" s="25" t="n">
        <f aca="false">SUMPRODUCT(($C$452:$C$467=3)*(P452:P467))</f>
        <v>5</v>
      </c>
      <c r="Q451" s="25" t="n">
        <f aca="false">SUMPRODUCT(($C$452:$C$467=3)*(Q452:Q467))</f>
        <v>59</v>
      </c>
      <c r="R451" s="25" t="n">
        <f aca="false">SUMPRODUCT(($C$452:$C$467=3)*(R452:R467))</f>
        <v>37</v>
      </c>
      <c r="S451" s="25" t="n">
        <f aca="false">SUMPRODUCT(($C$452:$C$467=3)*(S452:S467))</f>
        <v>12</v>
      </c>
      <c r="T451" s="25" t="n">
        <f aca="false">SUMPRODUCT(($C$452:$C$467=3)*(T452:T467))</f>
        <v>0</v>
      </c>
      <c r="U451" s="25" t="n">
        <f aca="false">SUMPRODUCT(($C$452:$C$467=3)*(U452:U467))</f>
        <v>0</v>
      </c>
      <c r="V451" s="25" t="n">
        <f aca="false">SUMPRODUCT(($C$452:$C$467=3)*(V452:V467))</f>
        <v>23</v>
      </c>
      <c r="W451" s="25" t="n">
        <f aca="false">SUMPRODUCT(($C$452:$C$467=3)*(W452:W467))</f>
        <v>8</v>
      </c>
      <c r="X451" s="25" t="n">
        <f aca="false">SUMPRODUCT(($C$452:$C$467=3)*(X452:X467))</f>
        <v>4</v>
      </c>
      <c r="Y451" s="25" t="n">
        <f aca="false">SUM(N451:X451)</f>
        <v>166</v>
      </c>
      <c r="Z451" s="25" t="n">
        <f aca="false">Y451*(1+Assumptions!$C$5)</f>
        <v>190.9</v>
      </c>
      <c r="AA451" s="22" t="s">
        <v>940</v>
      </c>
      <c r="AB451" s="22"/>
      <c r="AC451" s="22"/>
      <c r="AD451" s="26"/>
      <c r="AF451" s="21" t="n">
        <v>0</v>
      </c>
      <c r="AG451" s="21" t="n">
        <v>0</v>
      </c>
      <c r="AH451" s="21" t="n">
        <v>0</v>
      </c>
      <c r="AI451" s="21" t="n">
        <v>0</v>
      </c>
      <c r="AJ451" s="21" t="n">
        <v>0</v>
      </c>
      <c r="AK451" s="21" t="n">
        <v>0</v>
      </c>
      <c r="AL451" s="21" t="n">
        <v>0</v>
      </c>
      <c r="AM451" s="21" t="n">
        <v>0</v>
      </c>
      <c r="AN451" s="21" t="n">
        <v>0</v>
      </c>
      <c r="AO451" s="21" t="n">
        <v>0</v>
      </c>
      <c r="AP451" s="21" t="n">
        <v>0</v>
      </c>
      <c r="AQ451" s="21" t="n">
        <v>0</v>
      </c>
      <c r="AR451" s="21" t="n">
        <v>0</v>
      </c>
      <c r="AS451" s="21" t="n">
        <v>0</v>
      </c>
      <c r="AT451" s="21" t="n">
        <v>0</v>
      </c>
      <c r="AU451" s="21" t="n">
        <v>0</v>
      </c>
      <c r="AV451" s="21" t="n">
        <v>0</v>
      </c>
      <c r="AW451" s="21" t="n">
        <v>0</v>
      </c>
      <c r="AX451" s="21" t="n">
        <v>0</v>
      </c>
      <c r="AY451" s="21" t="n">
        <v>0</v>
      </c>
      <c r="AZ451" s="21" t="n">
        <v>0</v>
      </c>
      <c r="BA451" s="21" t="n">
        <v>0</v>
      </c>
      <c r="BB451" s="21" t="n">
        <v>0</v>
      </c>
      <c r="BC451" s="21" t="n">
        <v>0</v>
      </c>
    </row>
    <row r="452" customFormat="false" ht="15" hidden="false" customHeight="false" outlineLevel="2" collapsed="false">
      <c r="A452" s="27" t="n">
        <v>448</v>
      </c>
      <c r="B452" s="27" t="s">
        <v>941</v>
      </c>
      <c r="C452" s="27" t="n">
        <v>3</v>
      </c>
      <c r="D452" s="27" t="s">
        <v>92</v>
      </c>
      <c r="E452" s="28" t="s">
        <v>292</v>
      </c>
      <c r="F452" s="27" t="s">
        <v>846</v>
      </c>
      <c r="G452" s="27" t="s">
        <v>939</v>
      </c>
      <c r="H452" s="27" t="s">
        <v>43</v>
      </c>
      <c r="I452" s="29" t="n">
        <v>264</v>
      </c>
      <c r="J452" s="29" t="n">
        <v>16</v>
      </c>
      <c r="K452" s="30" t="n">
        <f aca="false">WORKDAY(Assumptions!$C$4,I452,Assumptions!$F$4:$F$44)</f>
        <v>46696</v>
      </c>
      <c r="L452" s="30" t="n">
        <f aca="false">IF(J452=0,K452,WORKDAY(K452,J452-1,Assumptions!$F$4:$F$44))</f>
        <v>46717</v>
      </c>
      <c r="M452" s="29" t="s">
        <v>860</v>
      </c>
      <c r="N452" s="31" t="n">
        <v>1</v>
      </c>
      <c r="O452" s="31" t="n">
        <v>6</v>
      </c>
      <c r="P452" s="31" t="n">
        <v>1</v>
      </c>
      <c r="Q452" s="31" t="n">
        <v>0</v>
      </c>
      <c r="R452" s="31" t="n">
        <v>0</v>
      </c>
      <c r="S452" s="31" t="n">
        <v>0</v>
      </c>
      <c r="T452" s="31" t="n">
        <v>0</v>
      </c>
      <c r="U452" s="31" t="n">
        <v>0</v>
      </c>
      <c r="V452" s="31" t="n">
        <v>0</v>
      </c>
      <c r="W452" s="31" t="n">
        <v>0</v>
      </c>
      <c r="X452" s="31" t="n">
        <v>0</v>
      </c>
      <c r="Y452" s="32" t="n">
        <f aca="false">SUM(N452:X452)</f>
        <v>8</v>
      </c>
      <c r="Z452" s="32" t="n">
        <f aca="false">Y452*(1+Assumptions!$C$5)</f>
        <v>9.2</v>
      </c>
      <c r="AA452" s="27" t="s">
        <v>294</v>
      </c>
      <c r="AB452" s="27" t="s">
        <v>95</v>
      </c>
      <c r="AC452" s="27"/>
      <c r="AD452" s="33" t="n">
        <v>0</v>
      </c>
      <c r="AF452" s="21" t="n">
        <f aca="false">IF($J452=0,0,MAX(0,NETWORKDAYS(MAX($K452,AF$4),MIN($L452,EOMONTH(AF$4,0)),Assumptions!$F$4:$F$44))/NETWORKDAYS($K452,$L452,Assumptions!$F$4:$F$44))</f>
        <v>0</v>
      </c>
      <c r="AG452" s="21" t="n">
        <f aca="false">IF($J452=0,0,MAX(0,NETWORKDAYS(MAX($K452,AG$4),MIN($L452,EOMONTH(AG$4,0)),Assumptions!$F$4:$F$44))/NETWORKDAYS($K452,$L452,Assumptions!$F$4:$F$44))</f>
        <v>0</v>
      </c>
      <c r="AH452" s="21" t="n">
        <f aca="false">IF($J452=0,0,MAX(0,NETWORKDAYS(MAX($K452,AH$4),MIN($L452,EOMONTH(AH$4,0)),Assumptions!$F$4:$F$44))/NETWORKDAYS($K452,$L452,Assumptions!$F$4:$F$44))</f>
        <v>0</v>
      </c>
      <c r="AI452" s="21" t="n">
        <f aca="false">IF($J452=0,0,MAX(0,NETWORKDAYS(MAX($K452,AI$4),MIN($L452,EOMONTH(AI$4,0)),Assumptions!$F$4:$F$44))/NETWORKDAYS($K452,$L452,Assumptions!$F$4:$F$44))</f>
        <v>0</v>
      </c>
      <c r="AJ452" s="21" t="n">
        <f aca="false">IF($J452=0,0,MAX(0,NETWORKDAYS(MAX($K452,AJ$4),MIN($L452,EOMONTH(AJ$4,0)),Assumptions!$F$4:$F$44))/NETWORKDAYS($K452,$L452,Assumptions!$F$4:$F$44))</f>
        <v>0</v>
      </c>
      <c r="AK452" s="21" t="n">
        <f aca="false">IF($J452=0,0,MAX(0,NETWORKDAYS(MAX($K452,AK$4),MIN($L452,EOMONTH(AK$4,0)),Assumptions!$F$4:$F$44))/NETWORKDAYS($K452,$L452,Assumptions!$F$4:$F$44))</f>
        <v>0</v>
      </c>
      <c r="AL452" s="21" t="n">
        <f aca="false">IF($J452=0,0,MAX(0,NETWORKDAYS(MAX($K452,AL$4),MIN($L452,EOMONTH(AL$4,0)),Assumptions!$F$4:$F$44))/NETWORKDAYS($K452,$L452,Assumptions!$F$4:$F$44))</f>
        <v>0</v>
      </c>
      <c r="AM452" s="21" t="n">
        <f aca="false">IF($J452=0,0,MAX(0,NETWORKDAYS(MAX($K452,AM$4),MIN($L452,EOMONTH(AM$4,0)),Assumptions!$F$4:$F$44))/NETWORKDAYS($K452,$L452,Assumptions!$F$4:$F$44))</f>
        <v>0</v>
      </c>
      <c r="AN452" s="21" t="n">
        <f aca="false">IF($J452=0,0,MAX(0,NETWORKDAYS(MAX($K452,AN$4),MIN($L452,EOMONTH(AN$4,0)),Assumptions!$F$4:$F$44))/NETWORKDAYS($K452,$L452,Assumptions!$F$4:$F$44))</f>
        <v>0</v>
      </c>
      <c r="AO452" s="21" t="n">
        <f aca="false">IF($J452=0,0,MAX(0,NETWORKDAYS(MAX($K452,AO$4),MIN($L452,EOMONTH(AO$4,0)),Assumptions!$F$4:$F$44))/NETWORKDAYS($K452,$L452,Assumptions!$F$4:$F$44))</f>
        <v>0</v>
      </c>
      <c r="AP452" s="21" t="n">
        <f aca="false">IF($J452=0,0,MAX(0,NETWORKDAYS(MAX($K452,AP$4),MIN($L452,EOMONTH(AP$4,0)),Assumptions!$F$4:$F$44))/NETWORKDAYS($K452,$L452,Assumptions!$F$4:$F$44))</f>
        <v>0</v>
      </c>
      <c r="AQ452" s="21" t="n">
        <f aca="false">IF($J452=0,0,MAX(0,NETWORKDAYS(MAX($K452,AQ$4),MIN($L452,EOMONTH(AQ$4,0)),Assumptions!$F$4:$F$44))/NETWORKDAYS($K452,$L452,Assumptions!$F$4:$F$44))</f>
        <v>0</v>
      </c>
      <c r="AR452" s="21" t="n">
        <f aca="false">IF($J452=0,0,MAX(0,NETWORKDAYS(MAX($K452,AR$4),MIN($L452,EOMONTH(AR$4,0)),Assumptions!$F$4:$F$44))/NETWORKDAYS($K452,$L452,Assumptions!$F$4:$F$44))</f>
        <v>1</v>
      </c>
      <c r="AS452" s="21" t="n">
        <f aca="false">IF($J452=0,0,MAX(0,NETWORKDAYS(MAX($K452,AS$4),MIN($L452,EOMONTH(AS$4,0)),Assumptions!$F$4:$F$44))/NETWORKDAYS($K452,$L452,Assumptions!$F$4:$F$44))</f>
        <v>0</v>
      </c>
      <c r="AT452" s="21" t="n">
        <f aca="false">IF($J452=0,0,MAX(0,NETWORKDAYS(MAX($K452,AT$4),MIN($L452,EOMONTH(AT$4,0)),Assumptions!$F$4:$F$44))/NETWORKDAYS($K452,$L452,Assumptions!$F$4:$F$44))</f>
        <v>0</v>
      </c>
      <c r="AU452" s="21" t="n">
        <f aca="false">IF($J452=0,0,MAX(0,NETWORKDAYS(MAX($K452,AU$4),MIN($L452,EOMONTH(AU$4,0)),Assumptions!$F$4:$F$44))/NETWORKDAYS($K452,$L452,Assumptions!$F$4:$F$44))</f>
        <v>0</v>
      </c>
      <c r="AV452" s="21" t="n">
        <f aca="false">IF($J452=0,0,MAX(0,NETWORKDAYS(MAX($K452,AV$4),MIN($L452,EOMONTH(AV$4,0)),Assumptions!$F$4:$F$44))/NETWORKDAYS($K452,$L452,Assumptions!$F$4:$F$44))</f>
        <v>0</v>
      </c>
      <c r="AW452" s="21" t="n">
        <f aca="false">IF($J452=0,0,MAX(0,NETWORKDAYS(MAX($K452,AW$4),MIN($L452,EOMONTH(AW$4,0)),Assumptions!$F$4:$F$44))/NETWORKDAYS($K452,$L452,Assumptions!$F$4:$F$44))</f>
        <v>0</v>
      </c>
      <c r="AX452" s="21" t="n">
        <f aca="false">IF($J452=0,0,MAX(0,NETWORKDAYS(MAX($K452,AX$4),MIN($L452,EOMONTH(AX$4,0)),Assumptions!$F$4:$F$44))/NETWORKDAYS($K452,$L452,Assumptions!$F$4:$F$44))</f>
        <v>0</v>
      </c>
      <c r="AY452" s="21" t="n">
        <f aca="false">IF($J452=0,0,MAX(0,NETWORKDAYS(MAX($K452,AY$4),MIN($L452,EOMONTH(AY$4,0)),Assumptions!$F$4:$F$44))/NETWORKDAYS($K452,$L452,Assumptions!$F$4:$F$44))</f>
        <v>0</v>
      </c>
      <c r="AZ452" s="21" t="n">
        <f aca="false">IF($J452=0,0,MAX(0,NETWORKDAYS(MAX($K452,AZ$4),MIN($L452,EOMONTH(AZ$4,0)),Assumptions!$F$4:$F$44))/NETWORKDAYS($K452,$L452,Assumptions!$F$4:$F$44))</f>
        <v>0</v>
      </c>
      <c r="BA452" s="21" t="n">
        <f aca="false">IF($J452=0,0,MAX(0,NETWORKDAYS(MAX($K452,BA$4),MIN($L452,EOMONTH(BA$4,0)),Assumptions!$F$4:$F$44))/NETWORKDAYS($K452,$L452,Assumptions!$F$4:$F$44))</f>
        <v>0</v>
      </c>
      <c r="BB452" s="21" t="n">
        <f aca="false">IF($J452=0,0,MAX(0,NETWORKDAYS(MAX($K452,BB$4),MIN($L452,EOMONTH(BB$4,0)),Assumptions!$F$4:$F$44))/NETWORKDAYS($K452,$L452,Assumptions!$F$4:$F$44))</f>
        <v>0</v>
      </c>
      <c r="BC452" s="21" t="n">
        <f aca="false">IF($J452=0,0,MAX(0,NETWORKDAYS(MAX($K452,BC$4),MIN($L452,EOMONTH(BC$4,0)),Assumptions!$F$4:$F$44))/NETWORKDAYS($K452,$L452,Assumptions!$F$4:$F$44))</f>
        <v>0</v>
      </c>
    </row>
    <row r="453" customFormat="false" ht="15" hidden="false" customHeight="false" outlineLevel="2" collapsed="false">
      <c r="A453" s="27" t="n">
        <v>449</v>
      </c>
      <c r="B453" s="27" t="s">
        <v>942</v>
      </c>
      <c r="C453" s="27" t="n">
        <v>3</v>
      </c>
      <c r="D453" s="27" t="s">
        <v>92</v>
      </c>
      <c r="E453" s="28" t="s">
        <v>296</v>
      </c>
      <c r="F453" s="27" t="s">
        <v>846</v>
      </c>
      <c r="G453" s="27" t="s">
        <v>939</v>
      </c>
      <c r="H453" s="27" t="s">
        <v>45</v>
      </c>
      <c r="I453" s="29" t="n">
        <v>275</v>
      </c>
      <c r="J453" s="29" t="n">
        <v>16</v>
      </c>
      <c r="K453" s="30" t="n">
        <f aca="false">WORKDAY(Assumptions!$C$4,I453,Assumptions!$F$4:$F$44)</f>
        <v>46713</v>
      </c>
      <c r="L453" s="30" t="n">
        <f aca="false">IF(J453=0,K453,WORKDAY(K453,J453-1,Assumptions!$F$4:$F$44))</f>
        <v>46734</v>
      </c>
      <c r="M453" s="29" t="s">
        <v>943</v>
      </c>
      <c r="N453" s="31" t="n">
        <v>0</v>
      </c>
      <c r="O453" s="31" t="n">
        <v>0</v>
      </c>
      <c r="P453" s="31" t="n">
        <v>4</v>
      </c>
      <c r="Q453" s="31" t="n">
        <v>4</v>
      </c>
      <c r="R453" s="31" t="n">
        <v>0</v>
      </c>
      <c r="S453" s="31" t="n">
        <v>0</v>
      </c>
      <c r="T453" s="31" t="n">
        <v>0</v>
      </c>
      <c r="U453" s="31" t="n">
        <v>0</v>
      </c>
      <c r="V453" s="31" t="n">
        <v>0</v>
      </c>
      <c r="W453" s="31" t="n">
        <v>0</v>
      </c>
      <c r="X453" s="31" t="n">
        <v>0</v>
      </c>
      <c r="Y453" s="32" t="n">
        <f aca="false">SUM(N453:X453)</f>
        <v>8</v>
      </c>
      <c r="Z453" s="32" t="n">
        <f aca="false">Y453*(1+Assumptions!$C$5)</f>
        <v>9.2</v>
      </c>
      <c r="AA453" s="27" t="s">
        <v>298</v>
      </c>
      <c r="AB453" s="27" t="s">
        <v>95</v>
      </c>
      <c r="AC453" s="27"/>
      <c r="AD453" s="33" t="n">
        <v>0</v>
      </c>
      <c r="AF453" s="21" t="n">
        <f aca="false">IF($J453=0,0,MAX(0,NETWORKDAYS(MAX($K453,AF$4),MIN($L453,EOMONTH(AF$4,0)),Assumptions!$F$4:$F$44))/NETWORKDAYS($K453,$L453,Assumptions!$F$4:$F$44))</f>
        <v>0</v>
      </c>
      <c r="AG453" s="21" t="n">
        <f aca="false">IF($J453=0,0,MAX(0,NETWORKDAYS(MAX($K453,AG$4),MIN($L453,EOMONTH(AG$4,0)),Assumptions!$F$4:$F$44))/NETWORKDAYS($K453,$L453,Assumptions!$F$4:$F$44))</f>
        <v>0</v>
      </c>
      <c r="AH453" s="21" t="n">
        <f aca="false">IF($J453=0,0,MAX(0,NETWORKDAYS(MAX($K453,AH$4),MIN($L453,EOMONTH(AH$4,0)),Assumptions!$F$4:$F$44))/NETWORKDAYS($K453,$L453,Assumptions!$F$4:$F$44))</f>
        <v>0</v>
      </c>
      <c r="AI453" s="21" t="n">
        <f aca="false">IF($J453=0,0,MAX(0,NETWORKDAYS(MAX($K453,AI$4),MIN($L453,EOMONTH(AI$4,0)),Assumptions!$F$4:$F$44))/NETWORKDAYS($K453,$L453,Assumptions!$F$4:$F$44))</f>
        <v>0</v>
      </c>
      <c r="AJ453" s="21" t="n">
        <f aca="false">IF($J453=0,0,MAX(0,NETWORKDAYS(MAX($K453,AJ$4),MIN($L453,EOMONTH(AJ$4,0)),Assumptions!$F$4:$F$44))/NETWORKDAYS($K453,$L453,Assumptions!$F$4:$F$44))</f>
        <v>0</v>
      </c>
      <c r="AK453" s="21" t="n">
        <f aca="false">IF($J453=0,0,MAX(0,NETWORKDAYS(MAX($K453,AK$4),MIN($L453,EOMONTH(AK$4,0)),Assumptions!$F$4:$F$44))/NETWORKDAYS($K453,$L453,Assumptions!$F$4:$F$44))</f>
        <v>0</v>
      </c>
      <c r="AL453" s="21" t="n">
        <f aca="false">IF($J453=0,0,MAX(0,NETWORKDAYS(MAX($K453,AL$4),MIN($L453,EOMONTH(AL$4,0)),Assumptions!$F$4:$F$44))/NETWORKDAYS($K453,$L453,Assumptions!$F$4:$F$44))</f>
        <v>0</v>
      </c>
      <c r="AM453" s="21" t="n">
        <f aca="false">IF($J453=0,0,MAX(0,NETWORKDAYS(MAX($K453,AM$4),MIN($L453,EOMONTH(AM$4,0)),Assumptions!$F$4:$F$44))/NETWORKDAYS($K453,$L453,Assumptions!$F$4:$F$44))</f>
        <v>0</v>
      </c>
      <c r="AN453" s="21" t="n">
        <f aca="false">IF($J453=0,0,MAX(0,NETWORKDAYS(MAX($K453,AN$4),MIN($L453,EOMONTH(AN$4,0)),Assumptions!$F$4:$F$44))/NETWORKDAYS($K453,$L453,Assumptions!$F$4:$F$44))</f>
        <v>0</v>
      </c>
      <c r="AO453" s="21" t="n">
        <f aca="false">IF($J453=0,0,MAX(0,NETWORKDAYS(MAX($K453,AO$4),MIN($L453,EOMONTH(AO$4,0)),Assumptions!$F$4:$F$44))/NETWORKDAYS($K453,$L453,Assumptions!$F$4:$F$44))</f>
        <v>0</v>
      </c>
      <c r="AP453" s="21" t="n">
        <f aca="false">IF($J453=0,0,MAX(0,NETWORKDAYS(MAX($K453,AP$4),MIN($L453,EOMONTH(AP$4,0)),Assumptions!$F$4:$F$44))/NETWORKDAYS($K453,$L453,Assumptions!$F$4:$F$44))</f>
        <v>0</v>
      </c>
      <c r="AQ453" s="21" t="n">
        <f aca="false">IF($J453=0,0,MAX(0,NETWORKDAYS(MAX($K453,AQ$4),MIN($L453,EOMONTH(AQ$4,0)),Assumptions!$F$4:$F$44))/NETWORKDAYS($K453,$L453,Assumptions!$F$4:$F$44))</f>
        <v>0</v>
      </c>
      <c r="AR453" s="21" t="n">
        <f aca="false">IF($J453=0,0,MAX(0,NETWORKDAYS(MAX($K453,AR$4),MIN($L453,EOMONTH(AR$4,0)),Assumptions!$F$4:$F$44))/NETWORKDAYS($K453,$L453,Assumptions!$F$4:$F$44))</f>
        <v>0.4375</v>
      </c>
      <c r="AS453" s="21" t="n">
        <f aca="false">IF($J453=0,0,MAX(0,NETWORKDAYS(MAX($K453,AS$4),MIN($L453,EOMONTH(AS$4,0)),Assumptions!$F$4:$F$44))/NETWORKDAYS($K453,$L453,Assumptions!$F$4:$F$44))</f>
        <v>0.5625</v>
      </c>
      <c r="AT453" s="21" t="n">
        <f aca="false">IF($J453=0,0,MAX(0,NETWORKDAYS(MAX($K453,AT$4),MIN($L453,EOMONTH(AT$4,0)),Assumptions!$F$4:$F$44))/NETWORKDAYS($K453,$L453,Assumptions!$F$4:$F$44))</f>
        <v>0</v>
      </c>
      <c r="AU453" s="21" t="n">
        <f aca="false">IF($J453=0,0,MAX(0,NETWORKDAYS(MAX($K453,AU$4),MIN($L453,EOMONTH(AU$4,0)),Assumptions!$F$4:$F$44))/NETWORKDAYS($K453,$L453,Assumptions!$F$4:$F$44))</f>
        <v>0</v>
      </c>
      <c r="AV453" s="21" t="n">
        <f aca="false">IF($J453=0,0,MAX(0,NETWORKDAYS(MAX($K453,AV$4),MIN($L453,EOMONTH(AV$4,0)),Assumptions!$F$4:$F$44))/NETWORKDAYS($K453,$L453,Assumptions!$F$4:$F$44))</f>
        <v>0</v>
      </c>
      <c r="AW453" s="21" t="n">
        <f aca="false">IF($J453=0,0,MAX(0,NETWORKDAYS(MAX($K453,AW$4),MIN($L453,EOMONTH(AW$4,0)),Assumptions!$F$4:$F$44))/NETWORKDAYS($K453,$L453,Assumptions!$F$4:$F$44))</f>
        <v>0</v>
      </c>
      <c r="AX453" s="21" t="n">
        <f aca="false">IF($J453=0,0,MAX(0,NETWORKDAYS(MAX($K453,AX$4),MIN($L453,EOMONTH(AX$4,0)),Assumptions!$F$4:$F$44))/NETWORKDAYS($K453,$L453,Assumptions!$F$4:$F$44))</f>
        <v>0</v>
      </c>
      <c r="AY453" s="21" t="n">
        <f aca="false">IF($J453=0,0,MAX(0,NETWORKDAYS(MAX($K453,AY$4),MIN($L453,EOMONTH(AY$4,0)),Assumptions!$F$4:$F$44))/NETWORKDAYS($K453,$L453,Assumptions!$F$4:$F$44))</f>
        <v>0</v>
      </c>
      <c r="AZ453" s="21" t="n">
        <f aca="false">IF($J453=0,0,MAX(0,NETWORKDAYS(MAX($K453,AZ$4),MIN($L453,EOMONTH(AZ$4,0)),Assumptions!$F$4:$F$44))/NETWORKDAYS($K453,$L453,Assumptions!$F$4:$F$44))</f>
        <v>0</v>
      </c>
      <c r="BA453" s="21" t="n">
        <f aca="false">IF($J453=0,0,MAX(0,NETWORKDAYS(MAX($K453,BA$4),MIN($L453,EOMONTH(BA$4,0)),Assumptions!$F$4:$F$44))/NETWORKDAYS($K453,$L453,Assumptions!$F$4:$F$44))</f>
        <v>0</v>
      </c>
      <c r="BB453" s="21" t="n">
        <f aca="false">IF($J453=0,0,MAX(0,NETWORKDAYS(MAX($K453,BB$4),MIN($L453,EOMONTH(BB$4,0)),Assumptions!$F$4:$F$44))/NETWORKDAYS($K453,$L453,Assumptions!$F$4:$F$44))</f>
        <v>0</v>
      </c>
      <c r="BC453" s="21" t="n">
        <f aca="false">IF($J453=0,0,MAX(0,NETWORKDAYS(MAX($K453,BC$4),MIN($L453,EOMONTH(BC$4,0)),Assumptions!$F$4:$F$44))/NETWORKDAYS($K453,$L453,Assumptions!$F$4:$F$44))</f>
        <v>0</v>
      </c>
    </row>
    <row r="454" customFormat="false" ht="15" hidden="false" customHeight="false" outlineLevel="2" collapsed="false">
      <c r="A454" s="27" t="n">
        <v>450</v>
      </c>
      <c r="B454" s="27" t="s">
        <v>944</v>
      </c>
      <c r="C454" s="27" t="n">
        <v>3</v>
      </c>
      <c r="D454" s="27" t="s">
        <v>92</v>
      </c>
      <c r="E454" s="28" t="s">
        <v>300</v>
      </c>
      <c r="F454" s="27" t="s">
        <v>846</v>
      </c>
      <c r="G454" s="27" t="s">
        <v>939</v>
      </c>
      <c r="H454" s="27" t="s">
        <v>49</v>
      </c>
      <c r="I454" s="29" t="n">
        <v>275</v>
      </c>
      <c r="J454" s="29" t="n">
        <v>16</v>
      </c>
      <c r="K454" s="30" t="n">
        <f aca="false">WORKDAY(Assumptions!$C$4,I454,Assumptions!$F$4:$F$44)</f>
        <v>46713</v>
      </c>
      <c r="L454" s="30" t="n">
        <f aca="false">IF(J454=0,K454,WORKDAY(K454,J454-1,Assumptions!$F$4:$F$44))</f>
        <v>46734</v>
      </c>
      <c r="M454" s="29" t="s">
        <v>943</v>
      </c>
      <c r="N454" s="31" t="n">
        <v>0</v>
      </c>
      <c r="O454" s="31" t="n">
        <v>1</v>
      </c>
      <c r="P454" s="31" t="n">
        <v>0</v>
      </c>
      <c r="Q454" s="31" t="n">
        <v>0</v>
      </c>
      <c r="R454" s="31" t="n">
        <v>4</v>
      </c>
      <c r="S454" s="31" t="n">
        <v>0</v>
      </c>
      <c r="T454" s="31" t="n">
        <v>0</v>
      </c>
      <c r="U454" s="31" t="n">
        <v>0</v>
      </c>
      <c r="V454" s="31" t="n">
        <v>0</v>
      </c>
      <c r="W454" s="31" t="n">
        <v>0</v>
      </c>
      <c r="X454" s="31" t="n">
        <v>0</v>
      </c>
      <c r="Y454" s="32" t="n">
        <f aca="false">SUM(N454:X454)</f>
        <v>5</v>
      </c>
      <c r="Z454" s="32" t="n">
        <f aca="false">Y454*(1+Assumptions!$C$5)</f>
        <v>5.75</v>
      </c>
      <c r="AA454" s="27" t="s">
        <v>301</v>
      </c>
      <c r="AB454" s="27" t="s">
        <v>95</v>
      </c>
      <c r="AC454" s="27"/>
      <c r="AD454" s="33" t="n">
        <v>0</v>
      </c>
      <c r="AF454" s="21" t="n">
        <f aca="false">IF($J454=0,0,MAX(0,NETWORKDAYS(MAX($K454,AF$4),MIN($L454,EOMONTH(AF$4,0)),Assumptions!$F$4:$F$44))/NETWORKDAYS($K454,$L454,Assumptions!$F$4:$F$44))</f>
        <v>0</v>
      </c>
      <c r="AG454" s="21" t="n">
        <f aca="false">IF($J454=0,0,MAX(0,NETWORKDAYS(MAX($K454,AG$4),MIN($L454,EOMONTH(AG$4,0)),Assumptions!$F$4:$F$44))/NETWORKDAYS($K454,$L454,Assumptions!$F$4:$F$44))</f>
        <v>0</v>
      </c>
      <c r="AH454" s="21" t="n">
        <f aca="false">IF($J454=0,0,MAX(0,NETWORKDAYS(MAX($K454,AH$4),MIN($L454,EOMONTH(AH$4,0)),Assumptions!$F$4:$F$44))/NETWORKDAYS($K454,$L454,Assumptions!$F$4:$F$44))</f>
        <v>0</v>
      </c>
      <c r="AI454" s="21" t="n">
        <f aca="false">IF($J454=0,0,MAX(0,NETWORKDAYS(MAX($K454,AI$4),MIN($L454,EOMONTH(AI$4,0)),Assumptions!$F$4:$F$44))/NETWORKDAYS($K454,$L454,Assumptions!$F$4:$F$44))</f>
        <v>0</v>
      </c>
      <c r="AJ454" s="21" t="n">
        <f aca="false">IF($J454=0,0,MAX(0,NETWORKDAYS(MAX($K454,AJ$4),MIN($L454,EOMONTH(AJ$4,0)),Assumptions!$F$4:$F$44))/NETWORKDAYS($K454,$L454,Assumptions!$F$4:$F$44))</f>
        <v>0</v>
      </c>
      <c r="AK454" s="21" t="n">
        <f aca="false">IF($J454=0,0,MAX(0,NETWORKDAYS(MAX($K454,AK$4),MIN($L454,EOMONTH(AK$4,0)),Assumptions!$F$4:$F$44))/NETWORKDAYS($K454,$L454,Assumptions!$F$4:$F$44))</f>
        <v>0</v>
      </c>
      <c r="AL454" s="21" t="n">
        <f aca="false">IF($J454=0,0,MAX(0,NETWORKDAYS(MAX($K454,AL$4),MIN($L454,EOMONTH(AL$4,0)),Assumptions!$F$4:$F$44))/NETWORKDAYS($K454,$L454,Assumptions!$F$4:$F$44))</f>
        <v>0</v>
      </c>
      <c r="AM454" s="21" t="n">
        <f aca="false">IF($J454=0,0,MAX(0,NETWORKDAYS(MAX($K454,AM$4),MIN($L454,EOMONTH(AM$4,0)),Assumptions!$F$4:$F$44))/NETWORKDAYS($K454,$L454,Assumptions!$F$4:$F$44))</f>
        <v>0</v>
      </c>
      <c r="AN454" s="21" t="n">
        <f aca="false">IF($J454=0,0,MAX(0,NETWORKDAYS(MAX($K454,AN$4),MIN($L454,EOMONTH(AN$4,0)),Assumptions!$F$4:$F$44))/NETWORKDAYS($K454,$L454,Assumptions!$F$4:$F$44))</f>
        <v>0</v>
      </c>
      <c r="AO454" s="21" t="n">
        <f aca="false">IF($J454=0,0,MAX(0,NETWORKDAYS(MAX($K454,AO$4),MIN($L454,EOMONTH(AO$4,0)),Assumptions!$F$4:$F$44))/NETWORKDAYS($K454,$L454,Assumptions!$F$4:$F$44))</f>
        <v>0</v>
      </c>
      <c r="AP454" s="21" t="n">
        <f aca="false">IF($J454=0,0,MAX(0,NETWORKDAYS(MAX($K454,AP$4),MIN($L454,EOMONTH(AP$4,0)),Assumptions!$F$4:$F$44))/NETWORKDAYS($K454,$L454,Assumptions!$F$4:$F$44))</f>
        <v>0</v>
      </c>
      <c r="AQ454" s="21" t="n">
        <f aca="false">IF($J454=0,0,MAX(0,NETWORKDAYS(MAX($K454,AQ$4),MIN($L454,EOMONTH(AQ$4,0)),Assumptions!$F$4:$F$44))/NETWORKDAYS($K454,$L454,Assumptions!$F$4:$F$44))</f>
        <v>0</v>
      </c>
      <c r="AR454" s="21" t="n">
        <f aca="false">IF($J454=0,0,MAX(0,NETWORKDAYS(MAX($K454,AR$4),MIN($L454,EOMONTH(AR$4,0)),Assumptions!$F$4:$F$44))/NETWORKDAYS($K454,$L454,Assumptions!$F$4:$F$44))</f>
        <v>0.4375</v>
      </c>
      <c r="AS454" s="21" t="n">
        <f aca="false">IF($J454=0,0,MAX(0,NETWORKDAYS(MAX($K454,AS$4),MIN($L454,EOMONTH(AS$4,0)),Assumptions!$F$4:$F$44))/NETWORKDAYS($K454,$L454,Assumptions!$F$4:$F$44))</f>
        <v>0.5625</v>
      </c>
      <c r="AT454" s="21" t="n">
        <f aca="false">IF($J454=0,0,MAX(0,NETWORKDAYS(MAX($K454,AT$4),MIN($L454,EOMONTH(AT$4,0)),Assumptions!$F$4:$F$44))/NETWORKDAYS($K454,$L454,Assumptions!$F$4:$F$44))</f>
        <v>0</v>
      </c>
      <c r="AU454" s="21" t="n">
        <f aca="false">IF($J454=0,0,MAX(0,NETWORKDAYS(MAX($K454,AU$4),MIN($L454,EOMONTH(AU$4,0)),Assumptions!$F$4:$F$44))/NETWORKDAYS($K454,$L454,Assumptions!$F$4:$F$44))</f>
        <v>0</v>
      </c>
      <c r="AV454" s="21" t="n">
        <f aca="false">IF($J454=0,0,MAX(0,NETWORKDAYS(MAX($K454,AV$4),MIN($L454,EOMONTH(AV$4,0)),Assumptions!$F$4:$F$44))/NETWORKDAYS($K454,$L454,Assumptions!$F$4:$F$44))</f>
        <v>0</v>
      </c>
      <c r="AW454" s="21" t="n">
        <f aca="false">IF($J454=0,0,MAX(0,NETWORKDAYS(MAX($K454,AW$4),MIN($L454,EOMONTH(AW$4,0)),Assumptions!$F$4:$F$44))/NETWORKDAYS($K454,$L454,Assumptions!$F$4:$F$44))</f>
        <v>0</v>
      </c>
      <c r="AX454" s="21" t="n">
        <f aca="false">IF($J454=0,0,MAX(0,NETWORKDAYS(MAX($K454,AX$4),MIN($L454,EOMONTH(AX$4,0)),Assumptions!$F$4:$F$44))/NETWORKDAYS($K454,$L454,Assumptions!$F$4:$F$44))</f>
        <v>0</v>
      </c>
      <c r="AY454" s="21" t="n">
        <f aca="false">IF($J454=0,0,MAX(0,NETWORKDAYS(MAX($K454,AY$4),MIN($L454,EOMONTH(AY$4,0)),Assumptions!$F$4:$F$44))/NETWORKDAYS($K454,$L454,Assumptions!$F$4:$F$44))</f>
        <v>0</v>
      </c>
      <c r="AZ454" s="21" t="n">
        <f aca="false">IF($J454=0,0,MAX(0,NETWORKDAYS(MAX($K454,AZ$4),MIN($L454,EOMONTH(AZ$4,0)),Assumptions!$F$4:$F$44))/NETWORKDAYS($K454,$L454,Assumptions!$F$4:$F$44))</f>
        <v>0</v>
      </c>
      <c r="BA454" s="21" t="n">
        <f aca="false">IF($J454=0,0,MAX(0,NETWORKDAYS(MAX($K454,BA$4),MIN($L454,EOMONTH(BA$4,0)),Assumptions!$F$4:$F$44))/NETWORKDAYS($K454,$L454,Assumptions!$F$4:$F$44))</f>
        <v>0</v>
      </c>
      <c r="BB454" s="21" t="n">
        <f aca="false">IF($J454=0,0,MAX(0,NETWORKDAYS(MAX($K454,BB$4),MIN($L454,EOMONTH(BB$4,0)),Assumptions!$F$4:$F$44))/NETWORKDAYS($K454,$L454,Assumptions!$F$4:$F$44))</f>
        <v>0</v>
      </c>
      <c r="BC454" s="21" t="n">
        <f aca="false">IF($J454=0,0,MAX(0,NETWORKDAYS(MAX($K454,BC$4),MIN($L454,EOMONTH(BC$4,0)),Assumptions!$F$4:$F$44))/NETWORKDAYS($K454,$L454,Assumptions!$F$4:$F$44))</f>
        <v>0</v>
      </c>
    </row>
    <row r="455" customFormat="false" ht="15" hidden="false" customHeight="false" outlineLevel="2" collapsed="false">
      <c r="A455" s="27" t="n">
        <v>451</v>
      </c>
      <c r="B455" s="27" t="s">
        <v>945</v>
      </c>
      <c r="C455" s="27" t="n">
        <v>3</v>
      </c>
      <c r="D455" s="27" t="s">
        <v>92</v>
      </c>
      <c r="E455" s="28" t="s">
        <v>303</v>
      </c>
      <c r="F455" s="27" t="s">
        <v>846</v>
      </c>
      <c r="G455" s="27" t="s">
        <v>939</v>
      </c>
      <c r="H455" s="27" t="s">
        <v>47</v>
      </c>
      <c r="I455" s="29" t="n">
        <v>288</v>
      </c>
      <c r="J455" s="29" t="n">
        <v>55</v>
      </c>
      <c r="K455" s="30" t="n">
        <f aca="false">WORKDAY(Assumptions!$C$4,I455,Assumptions!$F$4:$F$44)</f>
        <v>46730</v>
      </c>
      <c r="L455" s="30" t="n">
        <f aca="false">IF(J455=0,K455,WORKDAY(K455,J455-1,Assumptions!$F$4:$F$44))</f>
        <v>46806</v>
      </c>
      <c r="M455" s="29" t="s">
        <v>946</v>
      </c>
      <c r="N455" s="31" t="n">
        <v>0</v>
      </c>
      <c r="O455" s="31" t="n">
        <v>0</v>
      </c>
      <c r="P455" s="31" t="n">
        <v>0</v>
      </c>
      <c r="Q455" s="31" t="n">
        <v>21</v>
      </c>
      <c r="R455" s="31" t="n">
        <v>0</v>
      </c>
      <c r="S455" s="31" t="n">
        <v>0</v>
      </c>
      <c r="T455" s="31" t="n">
        <v>0</v>
      </c>
      <c r="U455" s="31" t="n">
        <v>0</v>
      </c>
      <c r="V455" s="31" t="n">
        <v>0</v>
      </c>
      <c r="W455" s="31" t="n">
        <v>0</v>
      </c>
      <c r="X455" s="31" t="n">
        <v>0</v>
      </c>
      <c r="Y455" s="32" t="n">
        <f aca="false">SUM(N455:X455)</f>
        <v>21</v>
      </c>
      <c r="Z455" s="32" t="n">
        <f aca="false">Y455*(1+Assumptions!$C$5)</f>
        <v>24.15</v>
      </c>
      <c r="AA455" s="27" t="s">
        <v>305</v>
      </c>
      <c r="AB455" s="27" t="s">
        <v>95</v>
      </c>
      <c r="AC455" s="27"/>
      <c r="AD455" s="33" t="n">
        <v>0</v>
      </c>
      <c r="AF455" s="21" t="n">
        <f aca="false">IF($J455=0,0,MAX(0,NETWORKDAYS(MAX($K455,AF$4),MIN($L455,EOMONTH(AF$4,0)),Assumptions!$F$4:$F$44))/NETWORKDAYS($K455,$L455,Assumptions!$F$4:$F$44))</f>
        <v>0</v>
      </c>
      <c r="AG455" s="21" t="n">
        <f aca="false">IF($J455=0,0,MAX(0,NETWORKDAYS(MAX($K455,AG$4),MIN($L455,EOMONTH(AG$4,0)),Assumptions!$F$4:$F$44))/NETWORKDAYS($K455,$L455,Assumptions!$F$4:$F$44))</f>
        <v>0</v>
      </c>
      <c r="AH455" s="21" t="n">
        <f aca="false">IF($J455=0,0,MAX(0,NETWORKDAYS(MAX($K455,AH$4),MIN($L455,EOMONTH(AH$4,0)),Assumptions!$F$4:$F$44))/NETWORKDAYS($K455,$L455,Assumptions!$F$4:$F$44))</f>
        <v>0</v>
      </c>
      <c r="AI455" s="21" t="n">
        <f aca="false">IF($J455=0,0,MAX(0,NETWORKDAYS(MAX($K455,AI$4),MIN($L455,EOMONTH(AI$4,0)),Assumptions!$F$4:$F$44))/NETWORKDAYS($K455,$L455,Assumptions!$F$4:$F$44))</f>
        <v>0</v>
      </c>
      <c r="AJ455" s="21" t="n">
        <f aca="false">IF($J455=0,0,MAX(0,NETWORKDAYS(MAX($K455,AJ$4),MIN($L455,EOMONTH(AJ$4,0)),Assumptions!$F$4:$F$44))/NETWORKDAYS($K455,$L455,Assumptions!$F$4:$F$44))</f>
        <v>0</v>
      </c>
      <c r="AK455" s="21" t="n">
        <f aca="false">IF($J455=0,0,MAX(0,NETWORKDAYS(MAX($K455,AK$4),MIN($L455,EOMONTH(AK$4,0)),Assumptions!$F$4:$F$44))/NETWORKDAYS($K455,$L455,Assumptions!$F$4:$F$44))</f>
        <v>0</v>
      </c>
      <c r="AL455" s="21" t="n">
        <f aca="false">IF($J455=0,0,MAX(0,NETWORKDAYS(MAX($K455,AL$4),MIN($L455,EOMONTH(AL$4,0)),Assumptions!$F$4:$F$44))/NETWORKDAYS($K455,$L455,Assumptions!$F$4:$F$44))</f>
        <v>0</v>
      </c>
      <c r="AM455" s="21" t="n">
        <f aca="false">IF($J455=0,0,MAX(0,NETWORKDAYS(MAX($K455,AM$4),MIN($L455,EOMONTH(AM$4,0)),Assumptions!$F$4:$F$44))/NETWORKDAYS($K455,$L455,Assumptions!$F$4:$F$44))</f>
        <v>0</v>
      </c>
      <c r="AN455" s="21" t="n">
        <f aca="false">IF($J455=0,0,MAX(0,NETWORKDAYS(MAX($K455,AN$4),MIN($L455,EOMONTH(AN$4,0)),Assumptions!$F$4:$F$44))/NETWORKDAYS($K455,$L455,Assumptions!$F$4:$F$44))</f>
        <v>0</v>
      </c>
      <c r="AO455" s="21" t="n">
        <f aca="false">IF($J455=0,0,MAX(0,NETWORKDAYS(MAX($K455,AO$4),MIN($L455,EOMONTH(AO$4,0)),Assumptions!$F$4:$F$44))/NETWORKDAYS($K455,$L455,Assumptions!$F$4:$F$44))</f>
        <v>0</v>
      </c>
      <c r="AP455" s="21" t="n">
        <f aca="false">IF($J455=0,0,MAX(0,NETWORKDAYS(MAX($K455,AP$4),MIN($L455,EOMONTH(AP$4,0)),Assumptions!$F$4:$F$44))/NETWORKDAYS($K455,$L455,Assumptions!$F$4:$F$44))</f>
        <v>0</v>
      </c>
      <c r="AQ455" s="21" t="n">
        <f aca="false">IF($J455=0,0,MAX(0,NETWORKDAYS(MAX($K455,AQ$4),MIN($L455,EOMONTH(AQ$4,0)),Assumptions!$F$4:$F$44))/NETWORKDAYS($K455,$L455,Assumptions!$F$4:$F$44))</f>
        <v>0</v>
      </c>
      <c r="AR455" s="21" t="n">
        <f aca="false">IF($J455=0,0,MAX(0,NETWORKDAYS(MAX($K455,AR$4),MIN($L455,EOMONTH(AR$4,0)),Assumptions!$F$4:$F$44))/NETWORKDAYS($K455,$L455,Assumptions!$F$4:$F$44))</f>
        <v>0</v>
      </c>
      <c r="AS455" s="21" t="n">
        <f aca="false">IF($J455=0,0,MAX(0,NETWORKDAYS(MAX($K455,AS$4),MIN($L455,EOMONTH(AS$4,0)),Assumptions!$F$4:$F$44))/NETWORKDAYS($K455,$L455,Assumptions!$F$4:$F$44))</f>
        <v>0.309090909090909</v>
      </c>
      <c r="AT455" s="21" t="n">
        <f aca="false">IF($J455=0,0,MAX(0,NETWORKDAYS(MAX($K455,AT$4),MIN($L455,EOMONTH(AT$4,0)),Assumptions!$F$4:$F$44))/NETWORKDAYS($K455,$L455,Assumptions!$F$4:$F$44))</f>
        <v>0.381818181818182</v>
      </c>
      <c r="AU455" s="21" t="n">
        <f aca="false">IF($J455=0,0,MAX(0,NETWORKDAYS(MAX($K455,AU$4),MIN($L455,EOMONTH(AU$4,0)),Assumptions!$F$4:$F$44))/NETWORKDAYS($K455,$L455,Assumptions!$F$4:$F$44))</f>
        <v>0.309090909090909</v>
      </c>
      <c r="AV455" s="21" t="n">
        <f aca="false">IF($J455=0,0,MAX(0,NETWORKDAYS(MAX($K455,AV$4),MIN($L455,EOMONTH(AV$4,0)),Assumptions!$F$4:$F$44))/NETWORKDAYS($K455,$L455,Assumptions!$F$4:$F$44))</f>
        <v>0</v>
      </c>
      <c r="AW455" s="21" t="n">
        <f aca="false">IF($J455=0,0,MAX(0,NETWORKDAYS(MAX($K455,AW$4),MIN($L455,EOMONTH(AW$4,0)),Assumptions!$F$4:$F$44))/NETWORKDAYS($K455,$L455,Assumptions!$F$4:$F$44))</f>
        <v>0</v>
      </c>
      <c r="AX455" s="21" t="n">
        <f aca="false">IF($J455=0,0,MAX(0,NETWORKDAYS(MAX($K455,AX$4),MIN($L455,EOMONTH(AX$4,0)),Assumptions!$F$4:$F$44))/NETWORKDAYS($K455,$L455,Assumptions!$F$4:$F$44))</f>
        <v>0</v>
      </c>
      <c r="AY455" s="21" t="n">
        <f aca="false">IF($J455=0,0,MAX(0,NETWORKDAYS(MAX($K455,AY$4),MIN($L455,EOMONTH(AY$4,0)),Assumptions!$F$4:$F$44))/NETWORKDAYS($K455,$L455,Assumptions!$F$4:$F$44))</f>
        <v>0</v>
      </c>
      <c r="AZ455" s="21" t="n">
        <f aca="false">IF($J455=0,0,MAX(0,NETWORKDAYS(MAX($K455,AZ$4),MIN($L455,EOMONTH(AZ$4,0)),Assumptions!$F$4:$F$44))/NETWORKDAYS($K455,$L455,Assumptions!$F$4:$F$44))</f>
        <v>0</v>
      </c>
      <c r="BA455" s="21" t="n">
        <f aca="false">IF($J455=0,0,MAX(0,NETWORKDAYS(MAX($K455,BA$4),MIN($L455,EOMONTH(BA$4,0)),Assumptions!$F$4:$F$44))/NETWORKDAYS($K455,$L455,Assumptions!$F$4:$F$44))</f>
        <v>0</v>
      </c>
      <c r="BB455" s="21" t="n">
        <f aca="false">IF($J455=0,0,MAX(0,NETWORKDAYS(MAX($K455,BB$4),MIN($L455,EOMONTH(BB$4,0)),Assumptions!$F$4:$F$44))/NETWORKDAYS($K455,$L455,Assumptions!$F$4:$F$44))</f>
        <v>0</v>
      </c>
      <c r="BC455" s="21" t="n">
        <f aca="false">IF($J455=0,0,MAX(0,NETWORKDAYS(MAX($K455,BC$4),MIN($L455,EOMONTH(BC$4,0)),Assumptions!$F$4:$F$44))/NETWORKDAYS($K455,$L455,Assumptions!$F$4:$F$44))</f>
        <v>0</v>
      </c>
    </row>
    <row r="456" customFormat="false" ht="15" hidden="false" customHeight="false" outlineLevel="2" collapsed="false">
      <c r="A456" s="27" t="n">
        <v>452</v>
      </c>
      <c r="B456" s="27" t="s">
        <v>947</v>
      </c>
      <c r="C456" s="27" t="n">
        <v>3</v>
      </c>
      <c r="D456" s="27" t="s">
        <v>92</v>
      </c>
      <c r="E456" s="28" t="s">
        <v>307</v>
      </c>
      <c r="F456" s="27" t="s">
        <v>846</v>
      </c>
      <c r="G456" s="27" t="s">
        <v>939</v>
      </c>
      <c r="H456" s="27" t="s">
        <v>47</v>
      </c>
      <c r="I456" s="29" t="n">
        <v>304</v>
      </c>
      <c r="J456" s="29" t="n">
        <v>40</v>
      </c>
      <c r="K456" s="30" t="n">
        <f aca="false">WORKDAY(Assumptions!$C$4,I456,Assumptions!$F$4:$F$44)</f>
        <v>46752</v>
      </c>
      <c r="L456" s="30" t="n">
        <f aca="false">IF(J456=0,K456,WORKDAY(K456,J456-1,Assumptions!$F$4:$F$44))</f>
        <v>46807</v>
      </c>
      <c r="M456" s="29" t="s">
        <v>946</v>
      </c>
      <c r="N456" s="31" t="n">
        <v>0</v>
      </c>
      <c r="O456" s="31" t="n">
        <v>3</v>
      </c>
      <c r="P456" s="31" t="n">
        <v>0</v>
      </c>
      <c r="Q456" s="31" t="n">
        <v>7</v>
      </c>
      <c r="R456" s="31" t="n">
        <v>0</v>
      </c>
      <c r="S456" s="31" t="n">
        <v>0</v>
      </c>
      <c r="T456" s="31" t="n">
        <v>0</v>
      </c>
      <c r="U456" s="31" t="n">
        <v>0</v>
      </c>
      <c r="V456" s="31" t="n">
        <v>0</v>
      </c>
      <c r="W456" s="31" t="n">
        <v>0</v>
      </c>
      <c r="X456" s="31" t="n">
        <v>0</v>
      </c>
      <c r="Y456" s="32" t="n">
        <f aca="false">SUM(N456:X456)</f>
        <v>10</v>
      </c>
      <c r="Z456" s="32" t="n">
        <f aca="false">Y456*(1+Assumptions!$C$5)</f>
        <v>11.5</v>
      </c>
      <c r="AA456" s="27" t="s">
        <v>308</v>
      </c>
      <c r="AB456" s="27" t="s">
        <v>95</v>
      </c>
      <c r="AC456" s="27"/>
      <c r="AD456" s="33" t="n">
        <v>0</v>
      </c>
      <c r="AF456" s="21" t="n">
        <f aca="false">IF($J456=0,0,MAX(0,NETWORKDAYS(MAX($K456,AF$4),MIN($L456,EOMONTH(AF$4,0)),Assumptions!$F$4:$F$44))/NETWORKDAYS($K456,$L456,Assumptions!$F$4:$F$44))</f>
        <v>0</v>
      </c>
      <c r="AG456" s="21" t="n">
        <f aca="false">IF($J456=0,0,MAX(0,NETWORKDAYS(MAX($K456,AG$4),MIN($L456,EOMONTH(AG$4,0)),Assumptions!$F$4:$F$44))/NETWORKDAYS($K456,$L456,Assumptions!$F$4:$F$44))</f>
        <v>0</v>
      </c>
      <c r="AH456" s="21" t="n">
        <f aca="false">IF($J456=0,0,MAX(0,NETWORKDAYS(MAX($K456,AH$4),MIN($L456,EOMONTH(AH$4,0)),Assumptions!$F$4:$F$44))/NETWORKDAYS($K456,$L456,Assumptions!$F$4:$F$44))</f>
        <v>0</v>
      </c>
      <c r="AI456" s="21" t="n">
        <f aca="false">IF($J456=0,0,MAX(0,NETWORKDAYS(MAX($K456,AI$4),MIN($L456,EOMONTH(AI$4,0)),Assumptions!$F$4:$F$44))/NETWORKDAYS($K456,$L456,Assumptions!$F$4:$F$44))</f>
        <v>0</v>
      </c>
      <c r="AJ456" s="21" t="n">
        <f aca="false">IF($J456=0,0,MAX(0,NETWORKDAYS(MAX($K456,AJ$4),MIN($L456,EOMONTH(AJ$4,0)),Assumptions!$F$4:$F$44))/NETWORKDAYS($K456,$L456,Assumptions!$F$4:$F$44))</f>
        <v>0</v>
      </c>
      <c r="AK456" s="21" t="n">
        <f aca="false">IF($J456=0,0,MAX(0,NETWORKDAYS(MAX($K456,AK$4),MIN($L456,EOMONTH(AK$4,0)),Assumptions!$F$4:$F$44))/NETWORKDAYS($K456,$L456,Assumptions!$F$4:$F$44))</f>
        <v>0</v>
      </c>
      <c r="AL456" s="21" t="n">
        <f aca="false">IF($J456=0,0,MAX(0,NETWORKDAYS(MAX($K456,AL$4),MIN($L456,EOMONTH(AL$4,0)),Assumptions!$F$4:$F$44))/NETWORKDAYS($K456,$L456,Assumptions!$F$4:$F$44))</f>
        <v>0</v>
      </c>
      <c r="AM456" s="21" t="n">
        <f aca="false">IF($J456=0,0,MAX(0,NETWORKDAYS(MAX($K456,AM$4),MIN($L456,EOMONTH(AM$4,0)),Assumptions!$F$4:$F$44))/NETWORKDAYS($K456,$L456,Assumptions!$F$4:$F$44))</f>
        <v>0</v>
      </c>
      <c r="AN456" s="21" t="n">
        <f aca="false">IF($J456=0,0,MAX(0,NETWORKDAYS(MAX($K456,AN$4),MIN($L456,EOMONTH(AN$4,0)),Assumptions!$F$4:$F$44))/NETWORKDAYS($K456,$L456,Assumptions!$F$4:$F$44))</f>
        <v>0</v>
      </c>
      <c r="AO456" s="21" t="n">
        <f aca="false">IF($J456=0,0,MAX(0,NETWORKDAYS(MAX($K456,AO$4),MIN($L456,EOMONTH(AO$4,0)),Assumptions!$F$4:$F$44))/NETWORKDAYS($K456,$L456,Assumptions!$F$4:$F$44))</f>
        <v>0</v>
      </c>
      <c r="AP456" s="21" t="n">
        <f aca="false">IF($J456=0,0,MAX(0,NETWORKDAYS(MAX($K456,AP$4),MIN($L456,EOMONTH(AP$4,0)),Assumptions!$F$4:$F$44))/NETWORKDAYS($K456,$L456,Assumptions!$F$4:$F$44))</f>
        <v>0</v>
      </c>
      <c r="AQ456" s="21" t="n">
        <f aca="false">IF($J456=0,0,MAX(0,NETWORKDAYS(MAX($K456,AQ$4),MIN($L456,EOMONTH(AQ$4,0)),Assumptions!$F$4:$F$44))/NETWORKDAYS($K456,$L456,Assumptions!$F$4:$F$44))</f>
        <v>0</v>
      </c>
      <c r="AR456" s="21" t="n">
        <f aca="false">IF($J456=0,0,MAX(0,NETWORKDAYS(MAX($K456,AR$4),MIN($L456,EOMONTH(AR$4,0)),Assumptions!$F$4:$F$44))/NETWORKDAYS($K456,$L456,Assumptions!$F$4:$F$44))</f>
        <v>0</v>
      </c>
      <c r="AS456" s="21" t="n">
        <f aca="false">IF($J456=0,0,MAX(0,NETWORKDAYS(MAX($K456,AS$4),MIN($L456,EOMONTH(AS$4,0)),Assumptions!$F$4:$F$44))/NETWORKDAYS($K456,$L456,Assumptions!$F$4:$F$44))</f>
        <v>0.025</v>
      </c>
      <c r="AT456" s="21" t="n">
        <f aca="false">IF($J456=0,0,MAX(0,NETWORKDAYS(MAX($K456,AT$4),MIN($L456,EOMONTH(AT$4,0)),Assumptions!$F$4:$F$44))/NETWORKDAYS($K456,$L456,Assumptions!$F$4:$F$44))</f>
        <v>0.525</v>
      </c>
      <c r="AU456" s="21" t="n">
        <f aca="false">IF($J456=0,0,MAX(0,NETWORKDAYS(MAX($K456,AU$4),MIN($L456,EOMONTH(AU$4,0)),Assumptions!$F$4:$F$44))/NETWORKDAYS($K456,$L456,Assumptions!$F$4:$F$44))</f>
        <v>0.45</v>
      </c>
      <c r="AV456" s="21" t="n">
        <f aca="false">IF($J456=0,0,MAX(0,NETWORKDAYS(MAX($K456,AV$4),MIN($L456,EOMONTH(AV$4,0)),Assumptions!$F$4:$F$44))/NETWORKDAYS($K456,$L456,Assumptions!$F$4:$F$44))</f>
        <v>0</v>
      </c>
      <c r="AW456" s="21" t="n">
        <f aca="false">IF($J456=0,0,MAX(0,NETWORKDAYS(MAX($K456,AW$4),MIN($L456,EOMONTH(AW$4,0)),Assumptions!$F$4:$F$44))/NETWORKDAYS($K456,$L456,Assumptions!$F$4:$F$44))</f>
        <v>0</v>
      </c>
      <c r="AX456" s="21" t="n">
        <f aca="false">IF($J456=0,0,MAX(0,NETWORKDAYS(MAX($K456,AX$4),MIN($L456,EOMONTH(AX$4,0)),Assumptions!$F$4:$F$44))/NETWORKDAYS($K456,$L456,Assumptions!$F$4:$F$44))</f>
        <v>0</v>
      </c>
      <c r="AY456" s="21" t="n">
        <f aca="false">IF($J456=0,0,MAX(0,NETWORKDAYS(MAX($K456,AY$4),MIN($L456,EOMONTH(AY$4,0)),Assumptions!$F$4:$F$44))/NETWORKDAYS($K456,$L456,Assumptions!$F$4:$F$44))</f>
        <v>0</v>
      </c>
      <c r="AZ456" s="21" t="n">
        <f aca="false">IF($J456=0,0,MAX(0,NETWORKDAYS(MAX($K456,AZ$4),MIN($L456,EOMONTH(AZ$4,0)),Assumptions!$F$4:$F$44))/NETWORKDAYS($K456,$L456,Assumptions!$F$4:$F$44))</f>
        <v>0</v>
      </c>
      <c r="BA456" s="21" t="n">
        <f aca="false">IF($J456=0,0,MAX(0,NETWORKDAYS(MAX($K456,BA$4),MIN($L456,EOMONTH(BA$4,0)),Assumptions!$F$4:$F$44))/NETWORKDAYS($K456,$L456,Assumptions!$F$4:$F$44))</f>
        <v>0</v>
      </c>
      <c r="BB456" s="21" t="n">
        <f aca="false">IF($J456=0,0,MAX(0,NETWORKDAYS(MAX($K456,BB$4),MIN($L456,EOMONTH(BB$4,0)),Assumptions!$F$4:$F$44))/NETWORKDAYS($K456,$L456,Assumptions!$F$4:$F$44))</f>
        <v>0</v>
      </c>
      <c r="BC456" s="21" t="n">
        <f aca="false">IF($J456=0,0,MAX(0,NETWORKDAYS(MAX($K456,BC$4),MIN($L456,EOMONTH(BC$4,0)),Assumptions!$F$4:$F$44))/NETWORKDAYS($K456,$L456,Assumptions!$F$4:$F$44))</f>
        <v>0</v>
      </c>
    </row>
    <row r="457" customFormat="false" ht="15" hidden="false" customHeight="false" outlineLevel="2" collapsed="false">
      <c r="A457" s="27" t="n">
        <v>453</v>
      </c>
      <c r="B457" s="27" t="s">
        <v>948</v>
      </c>
      <c r="C457" s="27" t="n">
        <v>3</v>
      </c>
      <c r="D457" s="27" t="s">
        <v>92</v>
      </c>
      <c r="E457" s="28" t="s">
        <v>310</v>
      </c>
      <c r="F457" s="27" t="s">
        <v>846</v>
      </c>
      <c r="G457" s="27" t="s">
        <v>939</v>
      </c>
      <c r="H457" s="27" t="s">
        <v>49</v>
      </c>
      <c r="I457" s="29" t="n">
        <v>297</v>
      </c>
      <c r="J457" s="29" t="n">
        <v>53</v>
      </c>
      <c r="K457" s="30" t="n">
        <f aca="false">WORKDAY(Assumptions!$C$4,I457,Assumptions!$F$4:$F$44)</f>
        <v>46743</v>
      </c>
      <c r="L457" s="30" t="n">
        <f aca="false">IF(J457=0,K457,WORKDAY(K457,J457-1,Assumptions!$F$4:$F$44))</f>
        <v>46815</v>
      </c>
      <c r="M457" s="29" t="s">
        <v>949</v>
      </c>
      <c r="N457" s="31" t="n">
        <v>0</v>
      </c>
      <c r="O457" s="31" t="n">
        <v>0</v>
      </c>
      <c r="P457" s="31" t="n">
        <v>0</v>
      </c>
      <c r="Q457" s="31" t="n">
        <v>0</v>
      </c>
      <c r="R457" s="31" t="n">
        <v>18</v>
      </c>
      <c r="S457" s="31" t="n">
        <v>0</v>
      </c>
      <c r="T457" s="31" t="n">
        <v>0</v>
      </c>
      <c r="U457" s="31" t="n">
        <v>0</v>
      </c>
      <c r="V457" s="31" t="n">
        <v>0</v>
      </c>
      <c r="W457" s="31" t="n">
        <v>0</v>
      </c>
      <c r="X457" s="31" t="n">
        <v>0</v>
      </c>
      <c r="Y457" s="32" t="n">
        <f aca="false">SUM(N457:X457)</f>
        <v>18</v>
      </c>
      <c r="Z457" s="32" t="n">
        <f aca="false">Y457*(1+Assumptions!$C$5)</f>
        <v>20.7</v>
      </c>
      <c r="AA457" s="27" t="s">
        <v>312</v>
      </c>
      <c r="AB457" s="27" t="s">
        <v>95</v>
      </c>
      <c r="AC457" s="27"/>
      <c r="AD457" s="33" t="n">
        <v>0</v>
      </c>
      <c r="AF457" s="21" t="n">
        <f aca="false">IF($J457=0,0,MAX(0,NETWORKDAYS(MAX($K457,AF$4),MIN($L457,EOMONTH(AF$4,0)),Assumptions!$F$4:$F$44))/NETWORKDAYS($K457,$L457,Assumptions!$F$4:$F$44))</f>
        <v>0</v>
      </c>
      <c r="AG457" s="21" t="n">
        <f aca="false">IF($J457=0,0,MAX(0,NETWORKDAYS(MAX($K457,AG$4),MIN($L457,EOMONTH(AG$4,0)),Assumptions!$F$4:$F$44))/NETWORKDAYS($K457,$L457,Assumptions!$F$4:$F$44))</f>
        <v>0</v>
      </c>
      <c r="AH457" s="21" t="n">
        <f aca="false">IF($J457=0,0,MAX(0,NETWORKDAYS(MAX($K457,AH$4),MIN($L457,EOMONTH(AH$4,0)),Assumptions!$F$4:$F$44))/NETWORKDAYS($K457,$L457,Assumptions!$F$4:$F$44))</f>
        <v>0</v>
      </c>
      <c r="AI457" s="21" t="n">
        <f aca="false">IF($J457=0,0,MAX(0,NETWORKDAYS(MAX($K457,AI$4),MIN($L457,EOMONTH(AI$4,0)),Assumptions!$F$4:$F$44))/NETWORKDAYS($K457,$L457,Assumptions!$F$4:$F$44))</f>
        <v>0</v>
      </c>
      <c r="AJ457" s="21" t="n">
        <f aca="false">IF($J457=0,0,MAX(0,NETWORKDAYS(MAX($K457,AJ$4),MIN($L457,EOMONTH(AJ$4,0)),Assumptions!$F$4:$F$44))/NETWORKDAYS($K457,$L457,Assumptions!$F$4:$F$44))</f>
        <v>0</v>
      </c>
      <c r="AK457" s="21" t="n">
        <f aca="false">IF($J457=0,0,MAX(0,NETWORKDAYS(MAX($K457,AK$4),MIN($L457,EOMONTH(AK$4,0)),Assumptions!$F$4:$F$44))/NETWORKDAYS($K457,$L457,Assumptions!$F$4:$F$44))</f>
        <v>0</v>
      </c>
      <c r="AL457" s="21" t="n">
        <f aca="false">IF($J457=0,0,MAX(0,NETWORKDAYS(MAX($K457,AL$4),MIN($L457,EOMONTH(AL$4,0)),Assumptions!$F$4:$F$44))/NETWORKDAYS($K457,$L457,Assumptions!$F$4:$F$44))</f>
        <v>0</v>
      </c>
      <c r="AM457" s="21" t="n">
        <f aca="false">IF($J457=0,0,MAX(0,NETWORKDAYS(MAX($K457,AM$4),MIN($L457,EOMONTH(AM$4,0)),Assumptions!$F$4:$F$44))/NETWORKDAYS($K457,$L457,Assumptions!$F$4:$F$44))</f>
        <v>0</v>
      </c>
      <c r="AN457" s="21" t="n">
        <f aca="false">IF($J457=0,0,MAX(0,NETWORKDAYS(MAX($K457,AN$4),MIN($L457,EOMONTH(AN$4,0)),Assumptions!$F$4:$F$44))/NETWORKDAYS($K457,$L457,Assumptions!$F$4:$F$44))</f>
        <v>0</v>
      </c>
      <c r="AO457" s="21" t="n">
        <f aca="false">IF($J457=0,0,MAX(0,NETWORKDAYS(MAX($K457,AO$4),MIN($L457,EOMONTH(AO$4,0)),Assumptions!$F$4:$F$44))/NETWORKDAYS($K457,$L457,Assumptions!$F$4:$F$44))</f>
        <v>0</v>
      </c>
      <c r="AP457" s="21" t="n">
        <f aca="false">IF($J457=0,0,MAX(0,NETWORKDAYS(MAX($K457,AP$4),MIN($L457,EOMONTH(AP$4,0)),Assumptions!$F$4:$F$44))/NETWORKDAYS($K457,$L457,Assumptions!$F$4:$F$44))</f>
        <v>0</v>
      </c>
      <c r="AQ457" s="21" t="n">
        <f aca="false">IF($J457=0,0,MAX(0,NETWORKDAYS(MAX($K457,AQ$4),MIN($L457,EOMONTH(AQ$4,0)),Assumptions!$F$4:$F$44))/NETWORKDAYS($K457,$L457,Assumptions!$F$4:$F$44))</f>
        <v>0</v>
      </c>
      <c r="AR457" s="21" t="n">
        <f aca="false">IF($J457=0,0,MAX(0,NETWORKDAYS(MAX($K457,AR$4),MIN($L457,EOMONTH(AR$4,0)),Assumptions!$F$4:$F$44))/NETWORKDAYS($K457,$L457,Assumptions!$F$4:$F$44))</f>
        <v>0</v>
      </c>
      <c r="AS457" s="21" t="n">
        <f aca="false">IF($J457=0,0,MAX(0,NETWORKDAYS(MAX($K457,AS$4),MIN($L457,EOMONTH(AS$4,0)),Assumptions!$F$4:$F$44))/NETWORKDAYS($K457,$L457,Assumptions!$F$4:$F$44))</f>
        <v>0.150943396226415</v>
      </c>
      <c r="AT457" s="21" t="n">
        <f aca="false">IF($J457=0,0,MAX(0,NETWORKDAYS(MAX($K457,AT$4),MIN($L457,EOMONTH(AT$4,0)),Assumptions!$F$4:$F$44))/NETWORKDAYS($K457,$L457,Assumptions!$F$4:$F$44))</f>
        <v>0.39622641509434</v>
      </c>
      <c r="AU457" s="21" t="n">
        <f aca="false">IF($J457=0,0,MAX(0,NETWORKDAYS(MAX($K457,AU$4),MIN($L457,EOMONTH(AU$4,0)),Assumptions!$F$4:$F$44))/NETWORKDAYS($K457,$L457,Assumptions!$F$4:$F$44))</f>
        <v>0.39622641509434</v>
      </c>
      <c r="AV457" s="21" t="n">
        <f aca="false">IF($J457=0,0,MAX(0,NETWORKDAYS(MAX($K457,AV$4),MIN($L457,EOMONTH(AV$4,0)),Assumptions!$F$4:$F$44))/NETWORKDAYS($K457,$L457,Assumptions!$F$4:$F$44))</f>
        <v>0.0566037735849057</v>
      </c>
      <c r="AW457" s="21" t="n">
        <f aca="false">IF($J457=0,0,MAX(0,NETWORKDAYS(MAX($K457,AW$4),MIN($L457,EOMONTH(AW$4,0)),Assumptions!$F$4:$F$44))/NETWORKDAYS($K457,$L457,Assumptions!$F$4:$F$44))</f>
        <v>0</v>
      </c>
      <c r="AX457" s="21" t="n">
        <f aca="false">IF($J457=0,0,MAX(0,NETWORKDAYS(MAX($K457,AX$4),MIN($L457,EOMONTH(AX$4,0)),Assumptions!$F$4:$F$44))/NETWORKDAYS($K457,$L457,Assumptions!$F$4:$F$44))</f>
        <v>0</v>
      </c>
      <c r="AY457" s="21" t="n">
        <f aca="false">IF($J457=0,0,MAX(0,NETWORKDAYS(MAX($K457,AY$4),MIN($L457,EOMONTH(AY$4,0)),Assumptions!$F$4:$F$44))/NETWORKDAYS($K457,$L457,Assumptions!$F$4:$F$44))</f>
        <v>0</v>
      </c>
      <c r="AZ457" s="21" t="n">
        <f aca="false">IF($J457=0,0,MAX(0,NETWORKDAYS(MAX($K457,AZ$4),MIN($L457,EOMONTH(AZ$4,0)),Assumptions!$F$4:$F$44))/NETWORKDAYS($K457,$L457,Assumptions!$F$4:$F$44))</f>
        <v>0</v>
      </c>
      <c r="BA457" s="21" t="n">
        <f aca="false">IF($J457=0,0,MAX(0,NETWORKDAYS(MAX($K457,BA$4),MIN($L457,EOMONTH(BA$4,0)),Assumptions!$F$4:$F$44))/NETWORKDAYS($K457,$L457,Assumptions!$F$4:$F$44))</f>
        <v>0</v>
      </c>
      <c r="BB457" s="21" t="n">
        <f aca="false">IF($J457=0,0,MAX(0,NETWORKDAYS(MAX($K457,BB$4),MIN($L457,EOMONTH(BB$4,0)),Assumptions!$F$4:$F$44))/NETWORKDAYS($K457,$L457,Assumptions!$F$4:$F$44))</f>
        <v>0</v>
      </c>
      <c r="BC457" s="21" t="n">
        <f aca="false">IF($J457=0,0,MAX(0,NETWORKDAYS(MAX($K457,BC$4),MIN($L457,EOMONTH(BC$4,0)),Assumptions!$F$4:$F$44))/NETWORKDAYS($K457,$L457,Assumptions!$F$4:$F$44))</f>
        <v>0</v>
      </c>
    </row>
    <row r="458" customFormat="false" ht="15" hidden="false" customHeight="false" outlineLevel="2" collapsed="false">
      <c r="A458" s="27" t="n">
        <v>454</v>
      </c>
      <c r="B458" s="27" t="s">
        <v>950</v>
      </c>
      <c r="C458" s="27" t="n">
        <v>3</v>
      </c>
      <c r="D458" s="27" t="s">
        <v>92</v>
      </c>
      <c r="E458" s="28" t="s">
        <v>314</v>
      </c>
      <c r="F458" s="27" t="s">
        <v>846</v>
      </c>
      <c r="G458" s="27" t="s">
        <v>939</v>
      </c>
      <c r="H458" s="27" t="s">
        <v>49</v>
      </c>
      <c r="I458" s="29" t="n">
        <v>310</v>
      </c>
      <c r="J458" s="29" t="n">
        <v>40</v>
      </c>
      <c r="K458" s="30" t="n">
        <f aca="false">WORKDAY(Assumptions!$C$4,I458,Assumptions!$F$4:$F$44)</f>
        <v>46762</v>
      </c>
      <c r="L458" s="30" t="n">
        <f aca="false">IF(J458=0,K458,WORKDAY(K458,J458-1,Assumptions!$F$4:$F$44))</f>
        <v>46815</v>
      </c>
      <c r="M458" s="29" t="s">
        <v>949</v>
      </c>
      <c r="N458" s="31" t="n">
        <v>0</v>
      </c>
      <c r="O458" s="31" t="n">
        <v>0</v>
      </c>
      <c r="P458" s="31" t="n">
        <v>0</v>
      </c>
      <c r="Q458" s="31" t="n">
        <v>0</v>
      </c>
      <c r="R458" s="31" t="n">
        <v>8</v>
      </c>
      <c r="S458" s="31" t="n">
        <v>4</v>
      </c>
      <c r="T458" s="31" t="n">
        <v>0</v>
      </c>
      <c r="U458" s="31" t="n">
        <v>0</v>
      </c>
      <c r="V458" s="31" t="n">
        <v>0</v>
      </c>
      <c r="W458" s="31" t="n">
        <v>0</v>
      </c>
      <c r="X458" s="31" t="n">
        <v>0</v>
      </c>
      <c r="Y458" s="32" t="n">
        <f aca="false">SUM(N458:X458)</f>
        <v>12</v>
      </c>
      <c r="Z458" s="32" t="n">
        <f aca="false">Y458*(1+Assumptions!$C$5)</f>
        <v>13.8</v>
      </c>
      <c r="AA458" s="27" t="s">
        <v>315</v>
      </c>
      <c r="AB458" s="27" t="s">
        <v>95</v>
      </c>
      <c r="AC458" s="27"/>
      <c r="AD458" s="33" t="n">
        <v>0</v>
      </c>
      <c r="AF458" s="21" t="n">
        <f aca="false">IF($J458=0,0,MAX(0,NETWORKDAYS(MAX($K458,AF$4),MIN($L458,EOMONTH(AF$4,0)),Assumptions!$F$4:$F$44))/NETWORKDAYS($K458,$L458,Assumptions!$F$4:$F$44))</f>
        <v>0</v>
      </c>
      <c r="AG458" s="21" t="n">
        <f aca="false">IF($J458=0,0,MAX(0,NETWORKDAYS(MAX($K458,AG$4),MIN($L458,EOMONTH(AG$4,0)),Assumptions!$F$4:$F$44))/NETWORKDAYS($K458,$L458,Assumptions!$F$4:$F$44))</f>
        <v>0</v>
      </c>
      <c r="AH458" s="21" t="n">
        <f aca="false">IF($J458=0,0,MAX(0,NETWORKDAYS(MAX($K458,AH$4),MIN($L458,EOMONTH(AH$4,0)),Assumptions!$F$4:$F$44))/NETWORKDAYS($K458,$L458,Assumptions!$F$4:$F$44))</f>
        <v>0</v>
      </c>
      <c r="AI458" s="21" t="n">
        <f aca="false">IF($J458=0,0,MAX(0,NETWORKDAYS(MAX($K458,AI$4),MIN($L458,EOMONTH(AI$4,0)),Assumptions!$F$4:$F$44))/NETWORKDAYS($K458,$L458,Assumptions!$F$4:$F$44))</f>
        <v>0</v>
      </c>
      <c r="AJ458" s="21" t="n">
        <f aca="false">IF($J458=0,0,MAX(0,NETWORKDAYS(MAX($K458,AJ$4),MIN($L458,EOMONTH(AJ$4,0)),Assumptions!$F$4:$F$44))/NETWORKDAYS($K458,$L458,Assumptions!$F$4:$F$44))</f>
        <v>0</v>
      </c>
      <c r="AK458" s="21" t="n">
        <f aca="false">IF($J458=0,0,MAX(0,NETWORKDAYS(MAX($K458,AK$4),MIN($L458,EOMONTH(AK$4,0)),Assumptions!$F$4:$F$44))/NETWORKDAYS($K458,$L458,Assumptions!$F$4:$F$44))</f>
        <v>0</v>
      </c>
      <c r="AL458" s="21" t="n">
        <f aca="false">IF($J458=0,0,MAX(0,NETWORKDAYS(MAX($K458,AL$4),MIN($L458,EOMONTH(AL$4,0)),Assumptions!$F$4:$F$44))/NETWORKDAYS($K458,$L458,Assumptions!$F$4:$F$44))</f>
        <v>0</v>
      </c>
      <c r="AM458" s="21" t="n">
        <f aca="false">IF($J458=0,0,MAX(0,NETWORKDAYS(MAX($K458,AM$4),MIN($L458,EOMONTH(AM$4,0)),Assumptions!$F$4:$F$44))/NETWORKDAYS($K458,$L458,Assumptions!$F$4:$F$44))</f>
        <v>0</v>
      </c>
      <c r="AN458" s="21" t="n">
        <f aca="false">IF($J458=0,0,MAX(0,NETWORKDAYS(MAX($K458,AN$4),MIN($L458,EOMONTH(AN$4,0)),Assumptions!$F$4:$F$44))/NETWORKDAYS($K458,$L458,Assumptions!$F$4:$F$44))</f>
        <v>0</v>
      </c>
      <c r="AO458" s="21" t="n">
        <f aca="false">IF($J458=0,0,MAX(0,NETWORKDAYS(MAX($K458,AO$4),MIN($L458,EOMONTH(AO$4,0)),Assumptions!$F$4:$F$44))/NETWORKDAYS($K458,$L458,Assumptions!$F$4:$F$44))</f>
        <v>0</v>
      </c>
      <c r="AP458" s="21" t="n">
        <f aca="false">IF($J458=0,0,MAX(0,NETWORKDAYS(MAX($K458,AP$4),MIN($L458,EOMONTH(AP$4,0)),Assumptions!$F$4:$F$44))/NETWORKDAYS($K458,$L458,Assumptions!$F$4:$F$44))</f>
        <v>0</v>
      </c>
      <c r="AQ458" s="21" t="n">
        <f aca="false">IF($J458=0,0,MAX(0,NETWORKDAYS(MAX($K458,AQ$4),MIN($L458,EOMONTH(AQ$4,0)),Assumptions!$F$4:$F$44))/NETWORKDAYS($K458,$L458,Assumptions!$F$4:$F$44))</f>
        <v>0</v>
      </c>
      <c r="AR458" s="21" t="n">
        <f aca="false">IF($J458=0,0,MAX(0,NETWORKDAYS(MAX($K458,AR$4),MIN($L458,EOMONTH(AR$4,0)),Assumptions!$F$4:$F$44))/NETWORKDAYS($K458,$L458,Assumptions!$F$4:$F$44))</f>
        <v>0</v>
      </c>
      <c r="AS458" s="21" t="n">
        <f aca="false">IF($J458=0,0,MAX(0,NETWORKDAYS(MAX($K458,AS$4),MIN($L458,EOMONTH(AS$4,0)),Assumptions!$F$4:$F$44))/NETWORKDAYS($K458,$L458,Assumptions!$F$4:$F$44))</f>
        <v>0</v>
      </c>
      <c r="AT458" s="21" t="n">
        <f aca="false">IF($J458=0,0,MAX(0,NETWORKDAYS(MAX($K458,AT$4),MIN($L458,EOMONTH(AT$4,0)),Assumptions!$F$4:$F$44))/NETWORKDAYS($K458,$L458,Assumptions!$F$4:$F$44))</f>
        <v>0.4</v>
      </c>
      <c r="AU458" s="21" t="n">
        <f aca="false">IF($J458=0,0,MAX(0,NETWORKDAYS(MAX($K458,AU$4),MIN($L458,EOMONTH(AU$4,0)),Assumptions!$F$4:$F$44))/NETWORKDAYS($K458,$L458,Assumptions!$F$4:$F$44))</f>
        <v>0.525</v>
      </c>
      <c r="AV458" s="21" t="n">
        <f aca="false">IF($J458=0,0,MAX(0,NETWORKDAYS(MAX($K458,AV$4),MIN($L458,EOMONTH(AV$4,0)),Assumptions!$F$4:$F$44))/NETWORKDAYS($K458,$L458,Assumptions!$F$4:$F$44))</f>
        <v>0.075</v>
      </c>
      <c r="AW458" s="21" t="n">
        <f aca="false">IF($J458=0,0,MAX(0,NETWORKDAYS(MAX($K458,AW$4),MIN($L458,EOMONTH(AW$4,0)),Assumptions!$F$4:$F$44))/NETWORKDAYS($K458,$L458,Assumptions!$F$4:$F$44))</f>
        <v>0</v>
      </c>
      <c r="AX458" s="21" t="n">
        <f aca="false">IF($J458=0,0,MAX(0,NETWORKDAYS(MAX($K458,AX$4),MIN($L458,EOMONTH(AX$4,0)),Assumptions!$F$4:$F$44))/NETWORKDAYS($K458,$L458,Assumptions!$F$4:$F$44))</f>
        <v>0</v>
      </c>
      <c r="AY458" s="21" t="n">
        <f aca="false">IF($J458=0,0,MAX(0,NETWORKDAYS(MAX($K458,AY$4),MIN($L458,EOMONTH(AY$4,0)),Assumptions!$F$4:$F$44))/NETWORKDAYS($K458,$L458,Assumptions!$F$4:$F$44))</f>
        <v>0</v>
      </c>
      <c r="AZ458" s="21" t="n">
        <f aca="false">IF($J458=0,0,MAX(0,NETWORKDAYS(MAX($K458,AZ$4),MIN($L458,EOMONTH(AZ$4,0)),Assumptions!$F$4:$F$44))/NETWORKDAYS($K458,$L458,Assumptions!$F$4:$F$44))</f>
        <v>0</v>
      </c>
      <c r="BA458" s="21" t="n">
        <f aca="false">IF($J458=0,0,MAX(0,NETWORKDAYS(MAX($K458,BA$4),MIN($L458,EOMONTH(BA$4,0)),Assumptions!$F$4:$F$44))/NETWORKDAYS($K458,$L458,Assumptions!$F$4:$F$44))</f>
        <v>0</v>
      </c>
      <c r="BB458" s="21" t="n">
        <f aca="false">IF($J458=0,0,MAX(0,NETWORKDAYS(MAX($K458,BB$4),MIN($L458,EOMONTH(BB$4,0)),Assumptions!$F$4:$F$44))/NETWORKDAYS($K458,$L458,Assumptions!$F$4:$F$44))</f>
        <v>0</v>
      </c>
      <c r="BC458" s="21" t="n">
        <f aca="false">IF($J458=0,0,MAX(0,NETWORKDAYS(MAX($K458,BC$4),MIN($L458,EOMONTH(BC$4,0)),Assumptions!$F$4:$F$44))/NETWORKDAYS($K458,$L458,Assumptions!$F$4:$F$44))</f>
        <v>0</v>
      </c>
    </row>
    <row r="459" customFormat="false" ht="15" hidden="false" customHeight="false" outlineLevel="2" collapsed="false">
      <c r="A459" s="27" t="n">
        <v>455</v>
      </c>
      <c r="B459" s="27" t="s">
        <v>951</v>
      </c>
      <c r="C459" s="27" t="n">
        <v>3</v>
      </c>
      <c r="D459" s="27" t="s">
        <v>92</v>
      </c>
      <c r="E459" s="28" t="s">
        <v>317</v>
      </c>
      <c r="F459" s="27" t="s">
        <v>846</v>
      </c>
      <c r="G459" s="27" t="s">
        <v>939</v>
      </c>
      <c r="H459" s="27" t="s">
        <v>51</v>
      </c>
      <c r="I459" s="29" t="n">
        <v>310</v>
      </c>
      <c r="J459" s="29" t="n">
        <v>40</v>
      </c>
      <c r="K459" s="30" t="n">
        <f aca="false">WORKDAY(Assumptions!$C$4,I459,Assumptions!$F$4:$F$44)</f>
        <v>46762</v>
      </c>
      <c r="L459" s="30" t="n">
        <f aca="false">IF(J459=0,K459,WORKDAY(K459,J459-1,Assumptions!$F$4:$F$44))</f>
        <v>46815</v>
      </c>
      <c r="M459" s="29" t="s">
        <v>949</v>
      </c>
      <c r="N459" s="31" t="n">
        <v>0</v>
      </c>
      <c r="O459" s="31" t="n">
        <v>0</v>
      </c>
      <c r="P459" s="31" t="n">
        <v>0</v>
      </c>
      <c r="Q459" s="31" t="n">
        <v>0</v>
      </c>
      <c r="R459" s="31" t="n">
        <v>0</v>
      </c>
      <c r="S459" s="31" t="n">
        <v>8</v>
      </c>
      <c r="T459" s="31" t="n">
        <v>0</v>
      </c>
      <c r="U459" s="31" t="n">
        <v>0</v>
      </c>
      <c r="V459" s="31" t="n">
        <v>0</v>
      </c>
      <c r="W459" s="31" t="n">
        <v>0</v>
      </c>
      <c r="X459" s="31" t="n">
        <v>0</v>
      </c>
      <c r="Y459" s="32" t="n">
        <f aca="false">SUM(N459:X459)</f>
        <v>8</v>
      </c>
      <c r="Z459" s="32" t="n">
        <f aca="false">Y459*(1+Assumptions!$C$5)</f>
        <v>9.2</v>
      </c>
      <c r="AA459" s="27" t="s">
        <v>318</v>
      </c>
      <c r="AB459" s="27" t="s">
        <v>95</v>
      </c>
      <c r="AC459" s="27"/>
      <c r="AD459" s="33" t="n">
        <v>0</v>
      </c>
      <c r="AF459" s="21" t="n">
        <f aca="false">IF($J459=0,0,MAX(0,NETWORKDAYS(MAX($K459,AF$4),MIN($L459,EOMONTH(AF$4,0)),Assumptions!$F$4:$F$44))/NETWORKDAYS($K459,$L459,Assumptions!$F$4:$F$44))</f>
        <v>0</v>
      </c>
      <c r="AG459" s="21" t="n">
        <f aca="false">IF($J459=0,0,MAX(0,NETWORKDAYS(MAX($K459,AG$4),MIN($L459,EOMONTH(AG$4,0)),Assumptions!$F$4:$F$44))/NETWORKDAYS($K459,$L459,Assumptions!$F$4:$F$44))</f>
        <v>0</v>
      </c>
      <c r="AH459" s="21" t="n">
        <f aca="false">IF($J459=0,0,MAX(0,NETWORKDAYS(MAX($K459,AH$4),MIN($L459,EOMONTH(AH$4,0)),Assumptions!$F$4:$F$44))/NETWORKDAYS($K459,$L459,Assumptions!$F$4:$F$44))</f>
        <v>0</v>
      </c>
      <c r="AI459" s="21" t="n">
        <f aca="false">IF($J459=0,0,MAX(0,NETWORKDAYS(MAX($K459,AI$4),MIN($L459,EOMONTH(AI$4,0)),Assumptions!$F$4:$F$44))/NETWORKDAYS($K459,$L459,Assumptions!$F$4:$F$44))</f>
        <v>0</v>
      </c>
      <c r="AJ459" s="21" t="n">
        <f aca="false">IF($J459=0,0,MAX(0,NETWORKDAYS(MAX($K459,AJ$4),MIN($L459,EOMONTH(AJ$4,0)),Assumptions!$F$4:$F$44))/NETWORKDAYS($K459,$L459,Assumptions!$F$4:$F$44))</f>
        <v>0</v>
      </c>
      <c r="AK459" s="21" t="n">
        <f aca="false">IF($J459=0,0,MAX(0,NETWORKDAYS(MAX($K459,AK$4),MIN($L459,EOMONTH(AK$4,0)),Assumptions!$F$4:$F$44))/NETWORKDAYS($K459,$L459,Assumptions!$F$4:$F$44))</f>
        <v>0</v>
      </c>
      <c r="AL459" s="21" t="n">
        <f aca="false">IF($J459=0,0,MAX(0,NETWORKDAYS(MAX($K459,AL$4),MIN($L459,EOMONTH(AL$4,0)),Assumptions!$F$4:$F$44))/NETWORKDAYS($K459,$L459,Assumptions!$F$4:$F$44))</f>
        <v>0</v>
      </c>
      <c r="AM459" s="21" t="n">
        <f aca="false">IF($J459=0,0,MAX(0,NETWORKDAYS(MAX($K459,AM$4),MIN($L459,EOMONTH(AM$4,0)),Assumptions!$F$4:$F$44))/NETWORKDAYS($K459,$L459,Assumptions!$F$4:$F$44))</f>
        <v>0</v>
      </c>
      <c r="AN459" s="21" t="n">
        <f aca="false">IF($J459=0,0,MAX(0,NETWORKDAYS(MAX($K459,AN$4),MIN($L459,EOMONTH(AN$4,0)),Assumptions!$F$4:$F$44))/NETWORKDAYS($K459,$L459,Assumptions!$F$4:$F$44))</f>
        <v>0</v>
      </c>
      <c r="AO459" s="21" t="n">
        <f aca="false">IF($J459=0,0,MAX(0,NETWORKDAYS(MAX($K459,AO$4),MIN($L459,EOMONTH(AO$4,0)),Assumptions!$F$4:$F$44))/NETWORKDAYS($K459,$L459,Assumptions!$F$4:$F$44))</f>
        <v>0</v>
      </c>
      <c r="AP459" s="21" t="n">
        <f aca="false">IF($J459=0,0,MAX(0,NETWORKDAYS(MAX($K459,AP$4),MIN($L459,EOMONTH(AP$4,0)),Assumptions!$F$4:$F$44))/NETWORKDAYS($K459,$L459,Assumptions!$F$4:$F$44))</f>
        <v>0</v>
      </c>
      <c r="AQ459" s="21" t="n">
        <f aca="false">IF($J459=0,0,MAX(0,NETWORKDAYS(MAX($K459,AQ$4),MIN($L459,EOMONTH(AQ$4,0)),Assumptions!$F$4:$F$44))/NETWORKDAYS($K459,$L459,Assumptions!$F$4:$F$44))</f>
        <v>0</v>
      </c>
      <c r="AR459" s="21" t="n">
        <f aca="false">IF($J459=0,0,MAX(0,NETWORKDAYS(MAX($K459,AR$4),MIN($L459,EOMONTH(AR$4,0)),Assumptions!$F$4:$F$44))/NETWORKDAYS($K459,$L459,Assumptions!$F$4:$F$44))</f>
        <v>0</v>
      </c>
      <c r="AS459" s="21" t="n">
        <f aca="false">IF($J459=0,0,MAX(0,NETWORKDAYS(MAX($K459,AS$4),MIN($L459,EOMONTH(AS$4,0)),Assumptions!$F$4:$F$44))/NETWORKDAYS($K459,$L459,Assumptions!$F$4:$F$44))</f>
        <v>0</v>
      </c>
      <c r="AT459" s="21" t="n">
        <f aca="false">IF($J459=0,0,MAX(0,NETWORKDAYS(MAX($K459,AT$4),MIN($L459,EOMONTH(AT$4,0)),Assumptions!$F$4:$F$44))/NETWORKDAYS($K459,$L459,Assumptions!$F$4:$F$44))</f>
        <v>0.4</v>
      </c>
      <c r="AU459" s="21" t="n">
        <f aca="false">IF($J459=0,0,MAX(0,NETWORKDAYS(MAX($K459,AU$4),MIN($L459,EOMONTH(AU$4,0)),Assumptions!$F$4:$F$44))/NETWORKDAYS($K459,$L459,Assumptions!$F$4:$F$44))</f>
        <v>0.525</v>
      </c>
      <c r="AV459" s="21" t="n">
        <f aca="false">IF($J459=0,0,MAX(0,NETWORKDAYS(MAX($K459,AV$4),MIN($L459,EOMONTH(AV$4,0)),Assumptions!$F$4:$F$44))/NETWORKDAYS($K459,$L459,Assumptions!$F$4:$F$44))</f>
        <v>0.075</v>
      </c>
      <c r="AW459" s="21" t="n">
        <f aca="false">IF($J459=0,0,MAX(0,NETWORKDAYS(MAX($K459,AW$4),MIN($L459,EOMONTH(AW$4,0)),Assumptions!$F$4:$F$44))/NETWORKDAYS($K459,$L459,Assumptions!$F$4:$F$44))</f>
        <v>0</v>
      </c>
      <c r="AX459" s="21" t="n">
        <f aca="false">IF($J459=0,0,MAX(0,NETWORKDAYS(MAX($K459,AX$4),MIN($L459,EOMONTH(AX$4,0)),Assumptions!$F$4:$F$44))/NETWORKDAYS($K459,$L459,Assumptions!$F$4:$F$44))</f>
        <v>0</v>
      </c>
      <c r="AY459" s="21" t="n">
        <f aca="false">IF($J459=0,0,MAX(0,NETWORKDAYS(MAX($K459,AY$4),MIN($L459,EOMONTH(AY$4,0)),Assumptions!$F$4:$F$44))/NETWORKDAYS($K459,$L459,Assumptions!$F$4:$F$44))</f>
        <v>0</v>
      </c>
      <c r="AZ459" s="21" t="n">
        <f aca="false">IF($J459=0,0,MAX(0,NETWORKDAYS(MAX($K459,AZ$4),MIN($L459,EOMONTH(AZ$4,0)),Assumptions!$F$4:$F$44))/NETWORKDAYS($K459,$L459,Assumptions!$F$4:$F$44))</f>
        <v>0</v>
      </c>
      <c r="BA459" s="21" t="n">
        <f aca="false">IF($J459=0,0,MAX(0,NETWORKDAYS(MAX($K459,BA$4),MIN($L459,EOMONTH(BA$4,0)),Assumptions!$F$4:$F$44))/NETWORKDAYS($K459,$L459,Assumptions!$F$4:$F$44))</f>
        <v>0</v>
      </c>
      <c r="BB459" s="21" t="n">
        <f aca="false">IF($J459=0,0,MAX(0,NETWORKDAYS(MAX($K459,BB$4),MIN($L459,EOMONTH(BB$4,0)),Assumptions!$F$4:$F$44))/NETWORKDAYS($K459,$L459,Assumptions!$F$4:$F$44))</f>
        <v>0</v>
      </c>
      <c r="BC459" s="21" t="n">
        <f aca="false">IF($J459=0,0,MAX(0,NETWORKDAYS(MAX($K459,BC$4),MIN($L459,EOMONTH(BC$4,0)),Assumptions!$F$4:$F$44))/NETWORKDAYS($K459,$L459,Assumptions!$F$4:$F$44))</f>
        <v>0</v>
      </c>
    </row>
    <row r="460" customFormat="false" ht="15" hidden="false" customHeight="false" outlineLevel="2" collapsed="false">
      <c r="A460" s="27" t="n">
        <v>456</v>
      </c>
      <c r="B460" s="27" t="s">
        <v>952</v>
      </c>
      <c r="C460" s="27" t="n">
        <v>3</v>
      </c>
      <c r="D460" s="27" t="s">
        <v>92</v>
      </c>
      <c r="E460" s="28" t="s">
        <v>397</v>
      </c>
      <c r="F460" s="27" t="s">
        <v>846</v>
      </c>
      <c r="G460" s="27" t="s">
        <v>939</v>
      </c>
      <c r="H460" s="27" t="s">
        <v>47</v>
      </c>
      <c r="I460" s="29" t="n">
        <v>317</v>
      </c>
      <c r="J460" s="29" t="n">
        <v>37</v>
      </c>
      <c r="K460" s="30" t="n">
        <f aca="false">WORKDAY(Assumptions!$C$4,I460,Assumptions!$F$4:$F$44)</f>
        <v>46771</v>
      </c>
      <c r="L460" s="30" t="n">
        <f aca="false">IF(J460=0,K460,WORKDAY(K460,J460-1,Assumptions!$F$4:$F$44))</f>
        <v>46821</v>
      </c>
      <c r="M460" s="29" t="s">
        <v>953</v>
      </c>
      <c r="N460" s="31" t="n">
        <v>0</v>
      </c>
      <c r="O460" s="31" t="n">
        <v>0</v>
      </c>
      <c r="P460" s="31" t="n">
        <v>0</v>
      </c>
      <c r="Q460" s="31" t="n">
        <v>8</v>
      </c>
      <c r="R460" s="31" t="n">
        <v>0</v>
      </c>
      <c r="S460" s="31" t="n">
        <v>0</v>
      </c>
      <c r="T460" s="31" t="n">
        <v>0</v>
      </c>
      <c r="U460" s="31" t="n">
        <v>0</v>
      </c>
      <c r="V460" s="31" t="n">
        <v>0</v>
      </c>
      <c r="W460" s="31" t="n">
        <v>0</v>
      </c>
      <c r="X460" s="31" t="n">
        <v>0</v>
      </c>
      <c r="Y460" s="32" t="n">
        <f aca="false">SUM(N460:X460)</f>
        <v>8</v>
      </c>
      <c r="Z460" s="32" t="n">
        <f aca="false">Y460*(1+Assumptions!$C$5)</f>
        <v>9.2</v>
      </c>
      <c r="AA460" s="27" t="s">
        <v>325</v>
      </c>
      <c r="AB460" s="27" t="s">
        <v>95</v>
      </c>
      <c r="AC460" s="27"/>
      <c r="AD460" s="33" t="n">
        <v>0</v>
      </c>
      <c r="AF460" s="21" t="n">
        <f aca="false">IF($J460=0,0,MAX(0,NETWORKDAYS(MAX($K460,AF$4),MIN($L460,EOMONTH(AF$4,0)),Assumptions!$F$4:$F$44))/NETWORKDAYS($K460,$L460,Assumptions!$F$4:$F$44))</f>
        <v>0</v>
      </c>
      <c r="AG460" s="21" t="n">
        <f aca="false">IF($J460=0,0,MAX(0,NETWORKDAYS(MAX($K460,AG$4),MIN($L460,EOMONTH(AG$4,0)),Assumptions!$F$4:$F$44))/NETWORKDAYS($K460,$L460,Assumptions!$F$4:$F$44))</f>
        <v>0</v>
      </c>
      <c r="AH460" s="21" t="n">
        <f aca="false">IF($J460=0,0,MAX(0,NETWORKDAYS(MAX($K460,AH$4),MIN($L460,EOMONTH(AH$4,0)),Assumptions!$F$4:$F$44))/NETWORKDAYS($K460,$L460,Assumptions!$F$4:$F$44))</f>
        <v>0</v>
      </c>
      <c r="AI460" s="21" t="n">
        <f aca="false">IF($J460=0,0,MAX(0,NETWORKDAYS(MAX($K460,AI$4),MIN($L460,EOMONTH(AI$4,0)),Assumptions!$F$4:$F$44))/NETWORKDAYS($K460,$L460,Assumptions!$F$4:$F$44))</f>
        <v>0</v>
      </c>
      <c r="AJ460" s="21" t="n">
        <f aca="false">IF($J460=0,0,MAX(0,NETWORKDAYS(MAX($K460,AJ$4),MIN($L460,EOMONTH(AJ$4,0)),Assumptions!$F$4:$F$44))/NETWORKDAYS($K460,$L460,Assumptions!$F$4:$F$44))</f>
        <v>0</v>
      </c>
      <c r="AK460" s="21" t="n">
        <f aca="false">IF($J460=0,0,MAX(0,NETWORKDAYS(MAX($K460,AK$4),MIN($L460,EOMONTH(AK$4,0)),Assumptions!$F$4:$F$44))/NETWORKDAYS($K460,$L460,Assumptions!$F$4:$F$44))</f>
        <v>0</v>
      </c>
      <c r="AL460" s="21" t="n">
        <f aca="false">IF($J460=0,0,MAX(0,NETWORKDAYS(MAX($K460,AL$4),MIN($L460,EOMONTH(AL$4,0)),Assumptions!$F$4:$F$44))/NETWORKDAYS($K460,$L460,Assumptions!$F$4:$F$44))</f>
        <v>0</v>
      </c>
      <c r="AM460" s="21" t="n">
        <f aca="false">IF($J460=0,0,MAX(0,NETWORKDAYS(MAX($K460,AM$4),MIN($L460,EOMONTH(AM$4,0)),Assumptions!$F$4:$F$44))/NETWORKDAYS($K460,$L460,Assumptions!$F$4:$F$44))</f>
        <v>0</v>
      </c>
      <c r="AN460" s="21" t="n">
        <f aca="false">IF($J460=0,0,MAX(0,NETWORKDAYS(MAX($K460,AN$4),MIN($L460,EOMONTH(AN$4,0)),Assumptions!$F$4:$F$44))/NETWORKDAYS($K460,$L460,Assumptions!$F$4:$F$44))</f>
        <v>0</v>
      </c>
      <c r="AO460" s="21" t="n">
        <f aca="false">IF($J460=0,0,MAX(0,NETWORKDAYS(MAX($K460,AO$4),MIN($L460,EOMONTH(AO$4,0)),Assumptions!$F$4:$F$44))/NETWORKDAYS($K460,$L460,Assumptions!$F$4:$F$44))</f>
        <v>0</v>
      </c>
      <c r="AP460" s="21" t="n">
        <f aca="false">IF($J460=0,0,MAX(0,NETWORKDAYS(MAX($K460,AP$4),MIN($L460,EOMONTH(AP$4,0)),Assumptions!$F$4:$F$44))/NETWORKDAYS($K460,$L460,Assumptions!$F$4:$F$44))</f>
        <v>0</v>
      </c>
      <c r="AQ460" s="21" t="n">
        <f aca="false">IF($J460=0,0,MAX(0,NETWORKDAYS(MAX($K460,AQ$4),MIN($L460,EOMONTH(AQ$4,0)),Assumptions!$F$4:$F$44))/NETWORKDAYS($K460,$L460,Assumptions!$F$4:$F$44))</f>
        <v>0</v>
      </c>
      <c r="AR460" s="21" t="n">
        <f aca="false">IF($J460=0,0,MAX(0,NETWORKDAYS(MAX($K460,AR$4),MIN($L460,EOMONTH(AR$4,0)),Assumptions!$F$4:$F$44))/NETWORKDAYS($K460,$L460,Assumptions!$F$4:$F$44))</f>
        <v>0</v>
      </c>
      <c r="AS460" s="21" t="n">
        <f aca="false">IF($J460=0,0,MAX(0,NETWORKDAYS(MAX($K460,AS$4),MIN($L460,EOMONTH(AS$4,0)),Assumptions!$F$4:$F$44))/NETWORKDAYS($K460,$L460,Assumptions!$F$4:$F$44))</f>
        <v>0</v>
      </c>
      <c r="AT460" s="21" t="n">
        <f aca="false">IF($J460=0,0,MAX(0,NETWORKDAYS(MAX($K460,AT$4),MIN($L460,EOMONTH(AT$4,0)),Assumptions!$F$4:$F$44))/NETWORKDAYS($K460,$L460,Assumptions!$F$4:$F$44))</f>
        <v>0.243243243243243</v>
      </c>
      <c r="AU460" s="21" t="n">
        <f aca="false">IF($J460=0,0,MAX(0,NETWORKDAYS(MAX($K460,AU$4),MIN($L460,EOMONTH(AU$4,0)),Assumptions!$F$4:$F$44))/NETWORKDAYS($K460,$L460,Assumptions!$F$4:$F$44))</f>
        <v>0.567567567567568</v>
      </c>
      <c r="AV460" s="21" t="n">
        <f aca="false">IF($J460=0,0,MAX(0,NETWORKDAYS(MAX($K460,AV$4),MIN($L460,EOMONTH(AV$4,0)),Assumptions!$F$4:$F$44))/NETWORKDAYS($K460,$L460,Assumptions!$F$4:$F$44))</f>
        <v>0.189189189189189</v>
      </c>
      <c r="AW460" s="21" t="n">
        <f aca="false">IF($J460=0,0,MAX(0,NETWORKDAYS(MAX($K460,AW$4),MIN($L460,EOMONTH(AW$4,0)),Assumptions!$F$4:$F$44))/NETWORKDAYS($K460,$L460,Assumptions!$F$4:$F$44))</f>
        <v>0</v>
      </c>
      <c r="AX460" s="21" t="n">
        <f aca="false">IF($J460=0,0,MAX(0,NETWORKDAYS(MAX($K460,AX$4),MIN($L460,EOMONTH(AX$4,0)),Assumptions!$F$4:$F$44))/NETWORKDAYS($K460,$L460,Assumptions!$F$4:$F$44))</f>
        <v>0</v>
      </c>
      <c r="AY460" s="21" t="n">
        <f aca="false">IF($J460=0,0,MAX(0,NETWORKDAYS(MAX($K460,AY$4),MIN($L460,EOMONTH(AY$4,0)),Assumptions!$F$4:$F$44))/NETWORKDAYS($K460,$L460,Assumptions!$F$4:$F$44))</f>
        <v>0</v>
      </c>
      <c r="AZ460" s="21" t="n">
        <f aca="false">IF($J460=0,0,MAX(0,NETWORKDAYS(MAX($K460,AZ$4),MIN($L460,EOMONTH(AZ$4,0)),Assumptions!$F$4:$F$44))/NETWORKDAYS($K460,$L460,Assumptions!$F$4:$F$44))</f>
        <v>0</v>
      </c>
      <c r="BA460" s="21" t="n">
        <f aca="false">IF($J460=0,0,MAX(0,NETWORKDAYS(MAX($K460,BA$4),MIN($L460,EOMONTH(BA$4,0)),Assumptions!$F$4:$F$44))/NETWORKDAYS($K460,$L460,Assumptions!$F$4:$F$44))</f>
        <v>0</v>
      </c>
      <c r="BB460" s="21" t="n">
        <f aca="false">IF($J460=0,0,MAX(0,NETWORKDAYS(MAX($K460,BB$4),MIN($L460,EOMONTH(BB$4,0)),Assumptions!$F$4:$F$44))/NETWORKDAYS($K460,$L460,Assumptions!$F$4:$F$44))</f>
        <v>0</v>
      </c>
      <c r="BC460" s="21" t="n">
        <f aca="false">IF($J460=0,0,MAX(0,NETWORKDAYS(MAX($K460,BC$4),MIN($L460,EOMONTH(BC$4,0)),Assumptions!$F$4:$F$44))/NETWORKDAYS($K460,$L460,Assumptions!$F$4:$F$44))</f>
        <v>0</v>
      </c>
    </row>
    <row r="461" customFormat="false" ht="15" hidden="false" customHeight="false" outlineLevel="2" collapsed="false">
      <c r="A461" s="27" t="n">
        <v>457</v>
      </c>
      <c r="B461" s="27" t="s">
        <v>954</v>
      </c>
      <c r="C461" s="27" t="n">
        <v>3</v>
      </c>
      <c r="D461" s="27" t="s">
        <v>92</v>
      </c>
      <c r="E461" s="28" t="s">
        <v>370</v>
      </c>
      <c r="F461" s="27" t="s">
        <v>846</v>
      </c>
      <c r="G461" s="27" t="s">
        <v>939</v>
      </c>
      <c r="H461" s="27" t="s">
        <v>47</v>
      </c>
      <c r="I461" s="29" t="n">
        <v>310</v>
      </c>
      <c r="J461" s="29" t="n">
        <v>44</v>
      </c>
      <c r="K461" s="30" t="n">
        <f aca="false">WORKDAY(Assumptions!$C$4,I461,Assumptions!$F$4:$F$44)</f>
        <v>46762</v>
      </c>
      <c r="L461" s="30" t="n">
        <f aca="false">IF(J461=0,K461,WORKDAY(K461,J461-1,Assumptions!$F$4:$F$44))</f>
        <v>46821</v>
      </c>
      <c r="M461" s="29" t="s">
        <v>946</v>
      </c>
      <c r="N461" s="31" t="n">
        <v>0</v>
      </c>
      <c r="O461" s="31" t="n">
        <v>0</v>
      </c>
      <c r="P461" s="31" t="n">
        <v>0</v>
      </c>
      <c r="Q461" s="31" t="n">
        <v>10</v>
      </c>
      <c r="R461" s="31" t="n">
        <v>0</v>
      </c>
      <c r="S461" s="31" t="n">
        <v>0</v>
      </c>
      <c r="T461" s="31" t="n">
        <v>0</v>
      </c>
      <c r="U461" s="31" t="n">
        <v>0</v>
      </c>
      <c r="V461" s="31" t="n">
        <v>2</v>
      </c>
      <c r="W461" s="31" t="n">
        <v>0</v>
      </c>
      <c r="X461" s="31" t="n">
        <v>0</v>
      </c>
      <c r="Y461" s="32" t="n">
        <f aca="false">SUM(N461:X461)</f>
        <v>12</v>
      </c>
      <c r="Z461" s="32" t="n">
        <f aca="false">Y461*(1+Assumptions!$C$5)</f>
        <v>13.8</v>
      </c>
      <c r="AA461" s="27" t="s">
        <v>328</v>
      </c>
      <c r="AB461" s="27" t="s">
        <v>95</v>
      </c>
      <c r="AC461" s="27"/>
      <c r="AD461" s="33" t="n">
        <v>0</v>
      </c>
      <c r="AF461" s="21" t="n">
        <f aca="false">IF($J461=0,0,MAX(0,NETWORKDAYS(MAX($K461,AF$4),MIN($L461,EOMONTH(AF$4,0)),Assumptions!$F$4:$F$44))/NETWORKDAYS($K461,$L461,Assumptions!$F$4:$F$44))</f>
        <v>0</v>
      </c>
      <c r="AG461" s="21" t="n">
        <f aca="false">IF($J461=0,0,MAX(0,NETWORKDAYS(MAX($K461,AG$4),MIN($L461,EOMONTH(AG$4,0)),Assumptions!$F$4:$F$44))/NETWORKDAYS($K461,$L461,Assumptions!$F$4:$F$44))</f>
        <v>0</v>
      </c>
      <c r="AH461" s="21" t="n">
        <f aca="false">IF($J461=0,0,MAX(0,NETWORKDAYS(MAX($K461,AH$4),MIN($L461,EOMONTH(AH$4,0)),Assumptions!$F$4:$F$44))/NETWORKDAYS($K461,$L461,Assumptions!$F$4:$F$44))</f>
        <v>0</v>
      </c>
      <c r="AI461" s="21" t="n">
        <f aca="false">IF($J461=0,0,MAX(0,NETWORKDAYS(MAX($K461,AI$4),MIN($L461,EOMONTH(AI$4,0)),Assumptions!$F$4:$F$44))/NETWORKDAYS($K461,$L461,Assumptions!$F$4:$F$44))</f>
        <v>0</v>
      </c>
      <c r="AJ461" s="21" t="n">
        <f aca="false">IF($J461=0,0,MAX(0,NETWORKDAYS(MAX($K461,AJ$4),MIN($L461,EOMONTH(AJ$4,0)),Assumptions!$F$4:$F$44))/NETWORKDAYS($K461,$L461,Assumptions!$F$4:$F$44))</f>
        <v>0</v>
      </c>
      <c r="AK461" s="21" t="n">
        <f aca="false">IF($J461=0,0,MAX(0,NETWORKDAYS(MAX($K461,AK$4),MIN($L461,EOMONTH(AK$4,0)),Assumptions!$F$4:$F$44))/NETWORKDAYS($K461,$L461,Assumptions!$F$4:$F$44))</f>
        <v>0</v>
      </c>
      <c r="AL461" s="21" t="n">
        <f aca="false">IF($J461=0,0,MAX(0,NETWORKDAYS(MAX($K461,AL$4),MIN($L461,EOMONTH(AL$4,0)),Assumptions!$F$4:$F$44))/NETWORKDAYS($K461,$L461,Assumptions!$F$4:$F$44))</f>
        <v>0</v>
      </c>
      <c r="AM461" s="21" t="n">
        <f aca="false">IF($J461=0,0,MAX(0,NETWORKDAYS(MAX($K461,AM$4),MIN($L461,EOMONTH(AM$4,0)),Assumptions!$F$4:$F$44))/NETWORKDAYS($K461,$L461,Assumptions!$F$4:$F$44))</f>
        <v>0</v>
      </c>
      <c r="AN461" s="21" t="n">
        <f aca="false">IF($J461=0,0,MAX(0,NETWORKDAYS(MAX($K461,AN$4),MIN($L461,EOMONTH(AN$4,0)),Assumptions!$F$4:$F$44))/NETWORKDAYS($K461,$L461,Assumptions!$F$4:$F$44))</f>
        <v>0</v>
      </c>
      <c r="AO461" s="21" t="n">
        <f aca="false">IF($J461=0,0,MAX(0,NETWORKDAYS(MAX($K461,AO$4),MIN($L461,EOMONTH(AO$4,0)),Assumptions!$F$4:$F$44))/NETWORKDAYS($K461,$L461,Assumptions!$F$4:$F$44))</f>
        <v>0</v>
      </c>
      <c r="AP461" s="21" t="n">
        <f aca="false">IF($J461=0,0,MAX(0,NETWORKDAYS(MAX($K461,AP$4),MIN($L461,EOMONTH(AP$4,0)),Assumptions!$F$4:$F$44))/NETWORKDAYS($K461,$L461,Assumptions!$F$4:$F$44))</f>
        <v>0</v>
      </c>
      <c r="AQ461" s="21" t="n">
        <f aca="false">IF($J461=0,0,MAX(0,NETWORKDAYS(MAX($K461,AQ$4),MIN($L461,EOMONTH(AQ$4,0)),Assumptions!$F$4:$F$44))/NETWORKDAYS($K461,$L461,Assumptions!$F$4:$F$44))</f>
        <v>0</v>
      </c>
      <c r="AR461" s="21" t="n">
        <f aca="false">IF($J461=0,0,MAX(0,NETWORKDAYS(MAX($K461,AR$4),MIN($L461,EOMONTH(AR$4,0)),Assumptions!$F$4:$F$44))/NETWORKDAYS($K461,$L461,Assumptions!$F$4:$F$44))</f>
        <v>0</v>
      </c>
      <c r="AS461" s="21" t="n">
        <f aca="false">IF($J461=0,0,MAX(0,NETWORKDAYS(MAX($K461,AS$4),MIN($L461,EOMONTH(AS$4,0)),Assumptions!$F$4:$F$44))/NETWORKDAYS($K461,$L461,Assumptions!$F$4:$F$44))</f>
        <v>0</v>
      </c>
      <c r="AT461" s="21" t="n">
        <f aca="false">IF($J461=0,0,MAX(0,NETWORKDAYS(MAX($K461,AT$4),MIN($L461,EOMONTH(AT$4,0)),Assumptions!$F$4:$F$44))/NETWORKDAYS($K461,$L461,Assumptions!$F$4:$F$44))</f>
        <v>0.363636363636364</v>
      </c>
      <c r="AU461" s="21" t="n">
        <f aca="false">IF($J461=0,0,MAX(0,NETWORKDAYS(MAX($K461,AU$4),MIN($L461,EOMONTH(AU$4,0)),Assumptions!$F$4:$F$44))/NETWORKDAYS($K461,$L461,Assumptions!$F$4:$F$44))</f>
        <v>0.477272727272727</v>
      </c>
      <c r="AV461" s="21" t="n">
        <f aca="false">IF($J461=0,0,MAX(0,NETWORKDAYS(MAX($K461,AV$4),MIN($L461,EOMONTH(AV$4,0)),Assumptions!$F$4:$F$44))/NETWORKDAYS($K461,$L461,Assumptions!$F$4:$F$44))</f>
        <v>0.159090909090909</v>
      </c>
      <c r="AW461" s="21" t="n">
        <f aca="false">IF($J461=0,0,MAX(0,NETWORKDAYS(MAX($K461,AW$4),MIN($L461,EOMONTH(AW$4,0)),Assumptions!$F$4:$F$44))/NETWORKDAYS($K461,$L461,Assumptions!$F$4:$F$44))</f>
        <v>0</v>
      </c>
      <c r="AX461" s="21" t="n">
        <f aca="false">IF($J461=0,0,MAX(0,NETWORKDAYS(MAX($K461,AX$4),MIN($L461,EOMONTH(AX$4,0)),Assumptions!$F$4:$F$44))/NETWORKDAYS($K461,$L461,Assumptions!$F$4:$F$44))</f>
        <v>0</v>
      </c>
      <c r="AY461" s="21" t="n">
        <f aca="false">IF($J461=0,0,MAX(0,NETWORKDAYS(MAX($K461,AY$4),MIN($L461,EOMONTH(AY$4,0)),Assumptions!$F$4:$F$44))/NETWORKDAYS($K461,$L461,Assumptions!$F$4:$F$44))</f>
        <v>0</v>
      </c>
      <c r="AZ461" s="21" t="n">
        <f aca="false">IF($J461=0,0,MAX(0,NETWORKDAYS(MAX($K461,AZ$4),MIN($L461,EOMONTH(AZ$4,0)),Assumptions!$F$4:$F$44))/NETWORKDAYS($K461,$L461,Assumptions!$F$4:$F$44))</f>
        <v>0</v>
      </c>
      <c r="BA461" s="21" t="n">
        <f aca="false">IF($J461=0,0,MAX(0,NETWORKDAYS(MAX($K461,BA$4),MIN($L461,EOMONTH(BA$4,0)),Assumptions!$F$4:$F$44))/NETWORKDAYS($K461,$L461,Assumptions!$F$4:$F$44))</f>
        <v>0</v>
      </c>
      <c r="BB461" s="21" t="n">
        <f aca="false">IF($J461=0,0,MAX(0,NETWORKDAYS(MAX($K461,BB$4),MIN($L461,EOMONTH(BB$4,0)),Assumptions!$F$4:$F$44))/NETWORKDAYS($K461,$L461,Assumptions!$F$4:$F$44))</f>
        <v>0</v>
      </c>
      <c r="BC461" s="21" t="n">
        <f aca="false">IF($J461=0,0,MAX(0,NETWORKDAYS(MAX($K461,BC$4),MIN($L461,EOMONTH(BC$4,0)),Assumptions!$F$4:$F$44))/NETWORKDAYS($K461,$L461,Assumptions!$F$4:$F$44))</f>
        <v>0</v>
      </c>
    </row>
    <row r="462" customFormat="false" ht="15" hidden="false" customHeight="false" outlineLevel="2" collapsed="false">
      <c r="A462" s="27" t="n">
        <v>458</v>
      </c>
      <c r="B462" s="27" t="s">
        <v>955</v>
      </c>
      <c r="C462" s="27" t="n">
        <v>3</v>
      </c>
      <c r="D462" s="27" t="s">
        <v>92</v>
      </c>
      <c r="E462" s="28" t="s">
        <v>330</v>
      </c>
      <c r="F462" s="27" t="s">
        <v>846</v>
      </c>
      <c r="G462" s="27" t="s">
        <v>939</v>
      </c>
      <c r="H462" s="27" t="s">
        <v>47</v>
      </c>
      <c r="I462" s="29" t="n">
        <v>330</v>
      </c>
      <c r="J462" s="29" t="n">
        <v>26</v>
      </c>
      <c r="K462" s="30" t="n">
        <f aca="false">WORKDAY(Assumptions!$C$4,I462,Assumptions!$F$4:$F$44)</f>
        <v>46790</v>
      </c>
      <c r="L462" s="30" t="n">
        <f aca="false">IF(J462=0,K462,WORKDAY(K462,J462-1,Assumptions!$F$4:$F$44))</f>
        <v>46825</v>
      </c>
      <c r="M462" s="29" t="s">
        <v>953</v>
      </c>
      <c r="N462" s="31" t="n">
        <v>0</v>
      </c>
      <c r="O462" s="31" t="n">
        <v>1</v>
      </c>
      <c r="P462" s="31" t="n">
        <v>0</v>
      </c>
      <c r="Q462" s="31" t="n">
        <v>3</v>
      </c>
      <c r="R462" s="31" t="n">
        <v>3</v>
      </c>
      <c r="S462" s="31" t="n">
        <v>0</v>
      </c>
      <c r="T462" s="31" t="n">
        <v>0</v>
      </c>
      <c r="U462" s="31" t="n">
        <v>0</v>
      </c>
      <c r="V462" s="31" t="n">
        <v>0</v>
      </c>
      <c r="W462" s="31" t="n">
        <v>0</v>
      </c>
      <c r="X462" s="31" t="n">
        <v>0</v>
      </c>
      <c r="Y462" s="32" t="n">
        <f aca="false">SUM(N462:X462)</f>
        <v>7</v>
      </c>
      <c r="Z462" s="32" t="n">
        <f aca="false">Y462*(1+Assumptions!$C$5)</f>
        <v>8.05</v>
      </c>
      <c r="AA462" s="27" t="s">
        <v>331</v>
      </c>
      <c r="AB462" s="27" t="s">
        <v>95</v>
      </c>
      <c r="AC462" s="27"/>
      <c r="AD462" s="33" t="n">
        <v>0</v>
      </c>
      <c r="AF462" s="21" t="n">
        <f aca="false">IF($J462=0,0,MAX(0,NETWORKDAYS(MAX($K462,AF$4),MIN($L462,EOMONTH(AF$4,0)),Assumptions!$F$4:$F$44))/NETWORKDAYS($K462,$L462,Assumptions!$F$4:$F$44))</f>
        <v>0</v>
      </c>
      <c r="AG462" s="21" t="n">
        <f aca="false">IF($J462=0,0,MAX(0,NETWORKDAYS(MAX($K462,AG$4),MIN($L462,EOMONTH(AG$4,0)),Assumptions!$F$4:$F$44))/NETWORKDAYS($K462,$L462,Assumptions!$F$4:$F$44))</f>
        <v>0</v>
      </c>
      <c r="AH462" s="21" t="n">
        <f aca="false">IF($J462=0,0,MAX(0,NETWORKDAYS(MAX($K462,AH$4),MIN($L462,EOMONTH(AH$4,0)),Assumptions!$F$4:$F$44))/NETWORKDAYS($K462,$L462,Assumptions!$F$4:$F$44))</f>
        <v>0</v>
      </c>
      <c r="AI462" s="21" t="n">
        <f aca="false">IF($J462=0,0,MAX(0,NETWORKDAYS(MAX($K462,AI$4),MIN($L462,EOMONTH(AI$4,0)),Assumptions!$F$4:$F$44))/NETWORKDAYS($K462,$L462,Assumptions!$F$4:$F$44))</f>
        <v>0</v>
      </c>
      <c r="AJ462" s="21" t="n">
        <f aca="false">IF($J462=0,0,MAX(0,NETWORKDAYS(MAX($K462,AJ$4),MIN($L462,EOMONTH(AJ$4,0)),Assumptions!$F$4:$F$44))/NETWORKDAYS($K462,$L462,Assumptions!$F$4:$F$44))</f>
        <v>0</v>
      </c>
      <c r="AK462" s="21" t="n">
        <f aca="false">IF($J462=0,0,MAX(0,NETWORKDAYS(MAX($K462,AK$4),MIN($L462,EOMONTH(AK$4,0)),Assumptions!$F$4:$F$44))/NETWORKDAYS($K462,$L462,Assumptions!$F$4:$F$44))</f>
        <v>0</v>
      </c>
      <c r="AL462" s="21" t="n">
        <f aca="false">IF($J462=0,0,MAX(0,NETWORKDAYS(MAX($K462,AL$4),MIN($L462,EOMONTH(AL$4,0)),Assumptions!$F$4:$F$44))/NETWORKDAYS($K462,$L462,Assumptions!$F$4:$F$44))</f>
        <v>0</v>
      </c>
      <c r="AM462" s="21" t="n">
        <f aca="false">IF($J462=0,0,MAX(0,NETWORKDAYS(MAX($K462,AM$4),MIN($L462,EOMONTH(AM$4,0)),Assumptions!$F$4:$F$44))/NETWORKDAYS($K462,$L462,Assumptions!$F$4:$F$44))</f>
        <v>0</v>
      </c>
      <c r="AN462" s="21" t="n">
        <f aca="false">IF($J462=0,0,MAX(0,NETWORKDAYS(MAX($K462,AN$4),MIN($L462,EOMONTH(AN$4,0)),Assumptions!$F$4:$F$44))/NETWORKDAYS($K462,$L462,Assumptions!$F$4:$F$44))</f>
        <v>0</v>
      </c>
      <c r="AO462" s="21" t="n">
        <f aca="false">IF($J462=0,0,MAX(0,NETWORKDAYS(MAX($K462,AO$4),MIN($L462,EOMONTH(AO$4,0)),Assumptions!$F$4:$F$44))/NETWORKDAYS($K462,$L462,Assumptions!$F$4:$F$44))</f>
        <v>0</v>
      </c>
      <c r="AP462" s="21" t="n">
        <f aca="false">IF($J462=0,0,MAX(0,NETWORKDAYS(MAX($K462,AP$4),MIN($L462,EOMONTH(AP$4,0)),Assumptions!$F$4:$F$44))/NETWORKDAYS($K462,$L462,Assumptions!$F$4:$F$44))</f>
        <v>0</v>
      </c>
      <c r="AQ462" s="21" t="n">
        <f aca="false">IF($J462=0,0,MAX(0,NETWORKDAYS(MAX($K462,AQ$4),MIN($L462,EOMONTH(AQ$4,0)),Assumptions!$F$4:$F$44))/NETWORKDAYS($K462,$L462,Assumptions!$F$4:$F$44))</f>
        <v>0</v>
      </c>
      <c r="AR462" s="21" t="n">
        <f aca="false">IF($J462=0,0,MAX(0,NETWORKDAYS(MAX($K462,AR$4),MIN($L462,EOMONTH(AR$4,0)),Assumptions!$F$4:$F$44))/NETWORKDAYS($K462,$L462,Assumptions!$F$4:$F$44))</f>
        <v>0</v>
      </c>
      <c r="AS462" s="21" t="n">
        <f aca="false">IF($J462=0,0,MAX(0,NETWORKDAYS(MAX($K462,AS$4),MIN($L462,EOMONTH(AS$4,0)),Assumptions!$F$4:$F$44))/NETWORKDAYS($K462,$L462,Assumptions!$F$4:$F$44))</f>
        <v>0</v>
      </c>
      <c r="AT462" s="21" t="n">
        <f aca="false">IF($J462=0,0,MAX(0,NETWORKDAYS(MAX($K462,AT$4),MIN($L462,EOMONTH(AT$4,0)),Assumptions!$F$4:$F$44))/NETWORKDAYS($K462,$L462,Assumptions!$F$4:$F$44))</f>
        <v>0</v>
      </c>
      <c r="AU462" s="21" t="n">
        <f aca="false">IF($J462=0,0,MAX(0,NETWORKDAYS(MAX($K462,AU$4),MIN($L462,EOMONTH(AU$4,0)),Assumptions!$F$4:$F$44))/NETWORKDAYS($K462,$L462,Assumptions!$F$4:$F$44))</f>
        <v>0.653846153846154</v>
      </c>
      <c r="AV462" s="21" t="n">
        <f aca="false">IF($J462=0,0,MAX(0,NETWORKDAYS(MAX($K462,AV$4),MIN($L462,EOMONTH(AV$4,0)),Assumptions!$F$4:$F$44))/NETWORKDAYS($K462,$L462,Assumptions!$F$4:$F$44))</f>
        <v>0.346153846153846</v>
      </c>
      <c r="AW462" s="21" t="n">
        <f aca="false">IF($J462=0,0,MAX(0,NETWORKDAYS(MAX($K462,AW$4),MIN($L462,EOMONTH(AW$4,0)),Assumptions!$F$4:$F$44))/NETWORKDAYS($K462,$L462,Assumptions!$F$4:$F$44))</f>
        <v>0</v>
      </c>
      <c r="AX462" s="21" t="n">
        <f aca="false">IF($J462=0,0,MAX(0,NETWORKDAYS(MAX($K462,AX$4),MIN($L462,EOMONTH(AX$4,0)),Assumptions!$F$4:$F$44))/NETWORKDAYS($K462,$L462,Assumptions!$F$4:$F$44))</f>
        <v>0</v>
      </c>
      <c r="AY462" s="21" t="n">
        <f aca="false">IF($J462=0,0,MAX(0,NETWORKDAYS(MAX($K462,AY$4),MIN($L462,EOMONTH(AY$4,0)),Assumptions!$F$4:$F$44))/NETWORKDAYS($K462,$L462,Assumptions!$F$4:$F$44))</f>
        <v>0</v>
      </c>
      <c r="AZ462" s="21" t="n">
        <f aca="false">IF($J462=0,0,MAX(0,NETWORKDAYS(MAX($K462,AZ$4),MIN($L462,EOMONTH(AZ$4,0)),Assumptions!$F$4:$F$44))/NETWORKDAYS($K462,$L462,Assumptions!$F$4:$F$44))</f>
        <v>0</v>
      </c>
      <c r="BA462" s="21" t="n">
        <f aca="false">IF($J462=0,0,MAX(0,NETWORKDAYS(MAX($K462,BA$4),MIN($L462,EOMONTH(BA$4,0)),Assumptions!$F$4:$F$44))/NETWORKDAYS($K462,$L462,Assumptions!$F$4:$F$44))</f>
        <v>0</v>
      </c>
      <c r="BB462" s="21" t="n">
        <f aca="false">IF($J462=0,0,MAX(0,NETWORKDAYS(MAX($K462,BB$4),MIN($L462,EOMONTH(BB$4,0)),Assumptions!$F$4:$F$44))/NETWORKDAYS($K462,$L462,Assumptions!$F$4:$F$44))</f>
        <v>0</v>
      </c>
      <c r="BC462" s="21" t="n">
        <f aca="false">IF($J462=0,0,MAX(0,NETWORKDAYS(MAX($K462,BC$4),MIN($L462,EOMONTH(BC$4,0)),Assumptions!$F$4:$F$44))/NETWORKDAYS($K462,$L462,Assumptions!$F$4:$F$44))</f>
        <v>0</v>
      </c>
    </row>
    <row r="463" customFormat="false" ht="15" hidden="false" customHeight="false" outlineLevel="2" collapsed="false">
      <c r="A463" s="27" t="n">
        <v>459</v>
      </c>
      <c r="B463" s="27" t="s">
        <v>956</v>
      </c>
      <c r="C463" s="27" t="n">
        <v>3</v>
      </c>
      <c r="D463" s="27" t="s">
        <v>92</v>
      </c>
      <c r="E463" s="28" t="s">
        <v>957</v>
      </c>
      <c r="F463" s="27" t="s">
        <v>846</v>
      </c>
      <c r="G463" s="27" t="s">
        <v>939</v>
      </c>
      <c r="H463" s="27" t="s">
        <v>59</v>
      </c>
      <c r="I463" s="29" t="n">
        <v>304</v>
      </c>
      <c r="J463" s="29" t="n">
        <v>59</v>
      </c>
      <c r="K463" s="30" t="n">
        <f aca="false">WORKDAY(Assumptions!$C$4,I463,Assumptions!$F$4:$F$44)</f>
        <v>46752</v>
      </c>
      <c r="L463" s="30" t="n">
        <f aca="false">IF(J463=0,K463,WORKDAY(K463,J463-1,Assumptions!$F$4:$F$44))</f>
        <v>46834</v>
      </c>
      <c r="M463" s="29" t="s">
        <v>946</v>
      </c>
      <c r="N463" s="31" t="n">
        <v>0</v>
      </c>
      <c r="O463" s="31" t="n">
        <v>1</v>
      </c>
      <c r="P463" s="31" t="n">
        <v>0</v>
      </c>
      <c r="Q463" s="31" t="n">
        <v>0</v>
      </c>
      <c r="R463" s="31" t="n">
        <v>0</v>
      </c>
      <c r="S463" s="31" t="n">
        <v>0</v>
      </c>
      <c r="T463" s="31" t="n">
        <v>0</v>
      </c>
      <c r="U463" s="31" t="n">
        <v>0</v>
      </c>
      <c r="V463" s="31" t="n">
        <v>0</v>
      </c>
      <c r="W463" s="31" t="n">
        <v>8</v>
      </c>
      <c r="X463" s="31" t="n">
        <v>0</v>
      </c>
      <c r="Y463" s="32" t="n">
        <f aca="false">SUM(N463:X463)</f>
        <v>9</v>
      </c>
      <c r="Z463" s="32" t="n">
        <f aca="false">Y463*(1+Assumptions!$C$5)</f>
        <v>10.35</v>
      </c>
      <c r="AA463" s="27" t="s">
        <v>334</v>
      </c>
      <c r="AB463" s="27" t="s">
        <v>95</v>
      </c>
      <c r="AC463" s="27"/>
      <c r="AD463" s="33" t="n">
        <v>0</v>
      </c>
      <c r="AF463" s="21" t="n">
        <f aca="false">IF($J463=0,0,MAX(0,NETWORKDAYS(MAX($K463,AF$4),MIN($L463,EOMONTH(AF$4,0)),Assumptions!$F$4:$F$44))/NETWORKDAYS($K463,$L463,Assumptions!$F$4:$F$44))</f>
        <v>0</v>
      </c>
      <c r="AG463" s="21" t="n">
        <f aca="false">IF($J463=0,0,MAX(0,NETWORKDAYS(MAX($K463,AG$4),MIN($L463,EOMONTH(AG$4,0)),Assumptions!$F$4:$F$44))/NETWORKDAYS($K463,$L463,Assumptions!$F$4:$F$44))</f>
        <v>0</v>
      </c>
      <c r="AH463" s="21" t="n">
        <f aca="false">IF($J463=0,0,MAX(0,NETWORKDAYS(MAX($K463,AH$4),MIN($L463,EOMONTH(AH$4,0)),Assumptions!$F$4:$F$44))/NETWORKDAYS($K463,$L463,Assumptions!$F$4:$F$44))</f>
        <v>0</v>
      </c>
      <c r="AI463" s="21" t="n">
        <f aca="false">IF($J463=0,0,MAX(0,NETWORKDAYS(MAX($K463,AI$4),MIN($L463,EOMONTH(AI$4,0)),Assumptions!$F$4:$F$44))/NETWORKDAYS($K463,$L463,Assumptions!$F$4:$F$44))</f>
        <v>0</v>
      </c>
      <c r="AJ463" s="21" t="n">
        <f aca="false">IF($J463=0,0,MAX(0,NETWORKDAYS(MAX($K463,AJ$4),MIN($L463,EOMONTH(AJ$4,0)),Assumptions!$F$4:$F$44))/NETWORKDAYS($K463,$L463,Assumptions!$F$4:$F$44))</f>
        <v>0</v>
      </c>
      <c r="AK463" s="21" t="n">
        <f aca="false">IF($J463=0,0,MAX(0,NETWORKDAYS(MAX($K463,AK$4),MIN($L463,EOMONTH(AK$4,0)),Assumptions!$F$4:$F$44))/NETWORKDAYS($K463,$L463,Assumptions!$F$4:$F$44))</f>
        <v>0</v>
      </c>
      <c r="AL463" s="21" t="n">
        <f aca="false">IF($J463=0,0,MAX(0,NETWORKDAYS(MAX($K463,AL$4),MIN($L463,EOMONTH(AL$4,0)),Assumptions!$F$4:$F$44))/NETWORKDAYS($K463,$L463,Assumptions!$F$4:$F$44))</f>
        <v>0</v>
      </c>
      <c r="AM463" s="21" t="n">
        <f aca="false">IF($J463=0,0,MAX(0,NETWORKDAYS(MAX($K463,AM$4),MIN($L463,EOMONTH(AM$4,0)),Assumptions!$F$4:$F$44))/NETWORKDAYS($K463,$L463,Assumptions!$F$4:$F$44))</f>
        <v>0</v>
      </c>
      <c r="AN463" s="21" t="n">
        <f aca="false">IF($J463=0,0,MAX(0,NETWORKDAYS(MAX($K463,AN$4),MIN($L463,EOMONTH(AN$4,0)),Assumptions!$F$4:$F$44))/NETWORKDAYS($K463,$L463,Assumptions!$F$4:$F$44))</f>
        <v>0</v>
      </c>
      <c r="AO463" s="21" t="n">
        <f aca="false">IF($J463=0,0,MAX(0,NETWORKDAYS(MAX($K463,AO$4),MIN($L463,EOMONTH(AO$4,0)),Assumptions!$F$4:$F$44))/NETWORKDAYS($K463,$L463,Assumptions!$F$4:$F$44))</f>
        <v>0</v>
      </c>
      <c r="AP463" s="21" t="n">
        <f aca="false">IF($J463=0,0,MAX(0,NETWORKDAYS(MAX($K463,AP$4),MIN($L463,EOMONTH(AP$4,0)),Assumptions!$F$4:$F$44))/NETWORKDAYS($K463,$L463,Assumptions!$F$4:$F$44))</f>
        <v>0</v>
      </c>
      <c r="AQ463" s="21" t="n">
        <f aca="false">IF($J463=0,0,MAX(0,NETWORKDAYS(MAX($K463,AQ$4),MIN($L463,EOMONTH(AQ$4,0)),Assumptions!$F$4:$F$44))/NETWORKDAYS($K463,$L463,Assumptions!$F$4:$F$44))</f>
        <v>0</v>
      </c>
      <c r="AR463" s="21" t="n">
        <f aca="false">IF($J463=0,0,MAX(0,NETWORKDAYS(MAX($K463,AR$4),MIN($L463,EOMONTH(AR$4,0)),Assumptions!$F$4:$F$44))/NETWORKDAYS($K463,$L463,Assumptions!$F$4:$F$44))</f>
        <v>0</v>
      </c>
      <c r="AS463" s="21" t="n">
        <f aca="false">IF($J463=0,0,MAX(0,NETWORKDAYS(MAX($K463,AS$4),MIN($L463,EOMONTH(AS$4,0)),Assumptions!$F$4:$F$44))/NETWORKDAYS($K463,$L463,Assumptions!$F$4:$F$44))</f>
        <v>0.0169491525423729</v>
      </c>
      <c r="AT463" s="21" t="n">
        <f aca="false">IF($J463=0,0,MAX(0,NETWORKDAYS(MAX($K463,AT$4),MIN($L463,EOMONTH(AT$4,0)),Assumptions!$F$4:$F$44))/NETWORKDAYS($K463,$L463,Assumptions!$F$4:$F$44))</f>
        <v>0.355932203389831</v>
      </c>
      <c r="AU463" s="21" t="n">
        <f aca="false">IF($J463=0,0,MAX(0,NETWORKDAYS(MAX($K463,AU$4),MIN($L463,EOMONTH(AU$4,0)),Assumptions!$F$4:$F$44))/NETWORKDAYS($K463,$L463,Assumptions!$F$4:$F$44))</f>
        <v>0.355932203389831</v>
      </c>
      <c r="AV463" s="21" t="n">
        <f aca="false">IF($J463=0,0,MAX(0,NETWORKDAYS(MAX($K463,AV$4),MIN($L463,EOMONTH(AV$4,0)),Assumptions!$F$4:$F$44))/NETWORKDAYS($K463,$L463,Assumptions!$F$4:$F$44))</f>
        <v>0.271186440677966</v>
      </c>
      <c r="AW463" s="21" t="n">
        <f aca="false">IF($J463=0,0,MAX(0,NETWORKDAYS(MAX($K463,AW$4),MIN($L463,EOMONTH(AW$4,0)),Assumptions!$F$4:$F$44))/NETWORKDAYS($K463,$L463,Assumptions!$F$4:$F$44))</f>
        <v>0</v>
      </c>
      <c r="AX463" s="21" t="n">
        <f aca="false">IF($J463=0,0,MAX(0,NETWORKDAYS(MAX($K463,AX$4),MIN($L463,EOMONTH(AX$4,0)),Assumptions!$F$4:$F$44))/NETWORKDAYS($K463,$L463,Assumptions!$F$4:$F$44))</f>
        <v>0</v>
      </c>
      <c r="AY463" s="21" t="n">
        <f aca="false">IF($J463=0,0,MAX(0,NETWORKDAYS(MAX($K463,AY$4),MIN($L463,EOMONTH(AY$4,0)),Assumptions!$F$4:$F$44))/NETWORKDAYS($K463,$L463,Assumptions!$F$4:$F$44))</f>
        <v>0</v>
      </c>
      <c r="AZ463" s="21" t="n">
        <f aca="false">IF($J463=0,0,MAX(0,NETWORKDAYS(MAX($K463,AZ$4),MIN($L463,EOMONTH(AZ$4,0)),Assumptions!$F$4:$F$44))/NETWORKDAYS($K463,$L463,Assumptions!$F$4:$F$44))</f>
        <v>0</v>
      </c>
      <c r="BA463" s="21" t="n">
        <f aca="false">IF($J463=0,0,MAX(0,NETWORKDAYS(MAX($K463,BA$4),MIN($L463,EOMONTH(BA$4,0)),Assumptions!$F$4:$F$44))/NETWORKDAYS($K463,$L463,Assumptions!$F$4:$F$44))</f>
        <v>0</v>
      </c>
      <c r="BB463" s="21" t="n">
        <f aca="false">IF($J463=0,0,MAX(0,NETWORKDAYS(MAX($K463,BB$4),MIN($L463,EOMONTH(BB$4,0)),Assumptions!$F$4:$F$44))/NETWORKDAYS($K463,$L463,Assumptions!$F$4:$F$44))</f>
        <v>0</v>
      </c>
      <c r="BC463" s="21" t="n">
        <f aca="false">IF($J463=0,0,MAX(0,NETWORKDAYS(MAX($K463,BC$4),MIN($L463,EOMONTH(BC$4,0)),Assumptions!$F$4:$F$44))/NETWORKDAYS($K463,$L463,Assumptions!$F$4:$F$44))</f>
        <v>0</v>
      </c>
    </row>
    <row r="464" customFormat="false" ht="15" hidden="false" customHeight="false" outlineLevel="2" collapsed="false">
      <c r="A464" s="27" t="n">
        <v>460</v>
      </c>
      <c r="B464" s="27" t="s">
        <v>958</v>
      </c>
      <c r="C464" s="27" t="n">
        <v>3</v>
      </c>
      <c r="D464" s="27" t="s">
        <v>92</v>
      </c>
      <c r="E464" s="28" t="s">
        <v>336</v>
      </c>
      <c r="F464" s="27" t="s">
        <v>846</v>
      </c>
      <c r="G464" s="27" t="s">
        <v>939</v>
      </c>
      <c r="H464" s="27" t="s">
        <v>57</v>
      </c>
      <c r="I464" s="29" t="n">
        <v>346</v>
      </c>
      <c r="J464" s="29" t="n">
        <v>21</v>
      </c>
      <c r="K464" s="30" t="n">
        <f aca="false">WORKDAY(Assumptions!$C$4,I464,Assumptions!$F$4:$F$44)</f>
        <v>46812</v>
      </c>
      <c r="L464" s="30" t="n">
        <f aca="false">IF(J464=0,K464,WORKDAY(K464,J464-1,Assumptions!$F$4:$F$44))</f>
        <v>46840</v>
      </c>
      <c r="M464" s="29" t="s">
        <v>959</v>
      </c>
      <c r="N464" s="31" t="n">
        <v>0</v>
      </c>
      <c r="O464" s="31" t="n">
        <v>0</v>
      </c>
      <c r="P464" s="31" t="n">
        <v>0</v>
      </c>
      <c r="Q464" s="31" t="n">
        <v>0</v>
      </c>
      <c r="R464" s="31" t="n">
        <v>0</v>
      </c>
      <c r="S464" s="31" t="n">
        <v>0</v>
      </c>
      <c r="T464" s="31" t="n">
        <v>0</v>
      </c>
      <c r="U464" s="31" t="n">
        <v>0</v>
      </c>
      <c r="V464" s="31" t="n">
        <v>14</v>
      </c>
      <c r="W464" s="31" t="n">
        <v>0</v>
      </c>
      <c r="X464" s="31" t="n">
        <v>0</v>
      </c>
      <c r="Y464" s="32" t="n">
        <f aca="false">SUM(N464:X464)</f>
        <v>14</v>
      </c>
      <c r="Z464" s="32" t="n">
        <f aca="false">Y464*(1+Assumptions!$C$5)</f>
        <v>16.1</v>
      </c>
      <c r="AA464" s="27" t="s">
        <v>338</v>
      </c>
      <c r="AB464" s="27" t="s">
        <v>95</v>
      </c>
      <c r="AC464" s="27"/>
      <c r="AD464" s="33" t="n">
        <v>0</v>
      </c>
      <c r="AF464" s="21" t="n">
        <f aca="false">IF($J464=0,0,MAX(0,NETWORKDAYS(MAX($K464,AF$4),MIN($L464,EOMONTH(AF$4,0)),Assumptions!$F$4:$F$44))/NETWORKDAYS($K464,$L464,Assumptions!$F$4:$F$44))</f>
        <v>0</v>
      </c>
      <c r="AG464" s="21" t="n">
        <f aca="false">IF($J464=0,0,MAX(0,NETWORKDAYS(MAX($K464,AG$4),MIN($L464,EOMONTH(AG$4,0)),Assumptions!$F$4:$F$44))/NETWORKDAYS($K464,$L464,Assumptions!$F$4:$F$44))</f>
        <v>0</v>
      </c>
      <c r="AH464" s="21" t="n">
        <f aca="false">IF($J464=0,0,MAX(0,NETWORKDAYS(MAX($K464,AH$4),MIN($L464,EOMONTH(AH$4,0)),Assumptions!$F$4:$F$44))/NETWORKDAYS($K464,$L464,Assumptions!$F$4:$F$44))</f>
        <v>0</v>
      </c>
      <c r="AI464" s="21" t="n">
        <f aca="false">IF($J464=0,0,MAX(0,NETWORKDAYS(MAX($K464,AI$4),MIN($L464,EOMONTH(AI$4,0)),Assumptions!$F$4:$F$44))/NETWORKDAYS($K464,$L464,Assumptions!$F$4:$F$44))</f>
        <v>0</v>
      </c>
      <c r="AJ464" s="21" t="n">
        <f aca="false">IF($J464=0,0,MAX(0,NETWORKDAYS(MAX($K464,AJ$4),MIN($L464,EOMONTH(AJ$4,0)),Assumptions!$F$4:$F$44))/NETWORKDAYS($K464,$L464,Assumptions!$F$4:$F$44))</f>
        <v>0</v>
      </c>
      <c r="AK464" s="21" t="n">
        <f aca="false">IF($J464=0,0,MAX(0,NETWORKDAYS(MAX($K464,AK$4),MIN($L464,EOMONTH(AK$4,0)),Assumptions!$F$4:$F$44))/NETWORKDAYS($K464,$L464,Assumptions!$F$4:$F$44))</f>
        <v>0</v>
      </c>
      <c r="AL464" s="21" t="n">
        <f aca="false">IF($J464=0,0,MAX(0,NETWORKDAYS(MAX($K464,AL$4),MIN($L464,EOMONTH(AL$4,0)),Assumptions!$F$4:$F$44))/NETWORKDAYS($K464,$L464,Assumptions!$F$4:$F$44))</f>
        <v>0</v>
      </c>
      <c r="AM464" s="21" t="n">
        <f aca="false">IF($J464=0,0,MAX(0,NETWORKDAYS(MAX($K464,AM$4),MIN($L464,EOMONTH(AM$4,0)),Assumptions!$F$4:$F$44))/NETWORKDAYS($K464,$L464,Assumptions!$F$4:$F$44))</f>
        <v>0</v>
      </c>
      <c r="AN464" s="21" t="n">
        <f aca="false">IF($J464=0,0,MAX(0,NETWORKDAYS(MAX($K464,AN$4),MIN($L464,EOMONTH(AN$4,0)),Assumptions!$F$4:$F$44))/NETWORKDAYS($K464,$L464,Assumptions!$F$4:$F$44))</f>
        <v>0</v>
      </c>
      <c r="AO464" s="21" t="n">
        <f aca="false">IF($J464=0,0,MAX(0,NETWORKDAYS(MAX($K464,AO$4),MIN($L464,EOMONTH(AO$4,0)),Assumptions!$F$4:$F$44))/NETWORKDAYS($K464,$L464,Assumptions!$F$4:$F$44))</f>
        <v>0</v>
      </c>
      <c r="AP464" s="21" t="n">
        <f aca="false">IF($J464=0,0,MAX(0,NETWORKDAYS(MAX($K464,AP$4),MIN($L464,EOMONTH(AP$4,0)),Assumptions!$F$4:$F$44))/NETWORKDAYS($K464,$L464,Assumptions!$F$4:$F$44))</f>
        <v>0</v>
      </c>
      <c r="AQ464" s="21" t="n">
        <f aca="false">IF($J464=0,0,MAX(0,NETWORKDAYS(MAX($K464,AQ$4),MIN($L464,EOMONTH(AQ$4,0)),Assumptions!$F$4:$F$44))/NETWORKDAYS($K464,$L464,Assumptions!$F$4:$F$44))</f>
        <v>0</v>
      </c>
      <c r="AR464" s="21" t="n">
        <f aca="false">IF($J464=0,0,MAX(0,NETWORKDAYS(MAX($K464,AR$4),MIN($L464,EOMONTH(AR$4,0)),Assumptions!$F$4:$F$44))/NETWORKDAYS($K464,$L464,Assumptions!$F$4:$F$44))</f>
        <v>0</v>
      </c>
      <c r="AS464" s="21" t="n">
        <f aca="false">IF($J464=0,0,MAX(0,NETWORKDAYS(MAX($K464,AS$4),MIN($L464,EOMONTH(AS$4,0)),Assumptions!$F$4:$F$44))/NETWORKDAYS($K464,$L464,Assumptions!$F$4:$F$44))</f>
        <v>0</v>
      </c>
      <c r="AT464" s="21" t="n">
        <f aca="false">IF($J464=0,0,MAX(0,NETWORKDAYS(MAX($K464,AT$4),MIN($L464,EOMONTH(AT$4,0)),Assumptions!$F$4:$F$44))/NETWORKDAYS($K464,$L464,Assumptions!$F$4:$F$44))</f>
        <v>0</v>
      </c>
      <c r="AU464" s="21" t="n">
        <f aca="false">IF($J464=0,0,MAX(0,NETWORKDAYS(MAX($K464,AU$4),MIN($L464,EOMONTH(AU$4,0)),Assumptions!$F$4:$F$44))/NETWORKDAYS($K464,$L464,Assumptions!$F$4:$F$44))</f>
        <v>0.0476190476190476</v>
      </c>
      <c r="AV464" s="21" t="n">
        <f aca="false">IF($J464=0,0,MAX(0,NETWORKDAYS(MAX($K464,AV$4),MIN($L464,EOMONTH(AV$4,0)),Assumptions!$F$4:$F$44))/NETWORKDAYS($K464,$L464,Assumptions!$F$4:$F$44))</f>
        <v>0.952380952380952</v>
      </c>
      <c r="AW464" s="21" t="n">
        <f aca="false">IF($J464=0,0,MAX(0,NETWORKDAYS(MAX($K464,AW$4),MIN($L464,EOMONTH(AW$4,0)),Assumptions!$F$4:$F$44))/NETWORKDAYS($K464,$L464,Assumptions!$F$4:$F$44))</f>
        <v>0</v>
      </c>
      <c r="AX464" s="21" t="n">
        <f aca="false">IF($J464=0,0,MAX(0,NETWORKDAYS(MAX($K464,AX$4),MIN($L464,EOMONTH(AX$4,0)),Assumptions!$F$4:$F$44))/NETWORKDAYS($K464,$L464,Assumptions!$F$4:$F$44))</f>
        <v>0</v>
      </c>
      <c r="AY464" s="21" t="n">
        <f aca="false">IF($J464=0,0,MAX(0,NETWORKDAYS(MAX($K464,AY$4),MIN($L464,EOMONTH(AY$4,0)),Assumptions!$F$4:$F$44))/NETWORKDAYS($K464,$L464,Assumptions!$F$4:$F$44))</f>
        <v>0</v>
      </c>
      <c r="AZ464" s="21" t="n">
        <f aca="false">IF($J464=0,0,MAX(0,NETWORKDAYS(MAX($K464,AZ$4),MIN($L464,EOMONTH(AZ$4,0)),Assumptions!$F$4:$F$44))/NETWORKDAYS($K464,$L464,Assumptions!$F$4:$F$44))</f>
        <v>0</v>
      </c>
      <c r="BA464" s="21" t="n">
        <f aca="false">IF($J464=0,0,MAX(0,NETWORKDAYS(MAX($K464,BA$4),MIN($L464,EOMONTH(BA$4,0)),Assumptions!$F$4:$F$44))/NETWORKDAYS($K464,$L464,Assumptions!$F$4:$F$44))</f>
        <v>0</v>
      </c>
      <c r="BB464" s="21" t="n">
        <f aca="false">IF($J464=0,0,MAX(0,NETWORKDAYS(MAX($K464,BB$4),MIN($L464,EOMONTH(BB$4,0)),Assumptions!$F$4:$F$44))/NETWORKDAYS($K464,$L464,Assumptions!$F$4:$F$44))</f>
        <v>0</v>
      </c>
      <c r="BC464" s="21" t="n">
        <f aca="false">IF($J464=0,0,MAX(0,NETWORKDAYS(MAX($K464,BC$4),MIN($L464,EOMONTH(BC$4,0)),Assumptions!$F$4:$F$44))/NETWORKDAYS($K464,$L464,Assumptions!$F$4:$F$44))</f>
        <v>0</v>
      </c>
    </row>
    <row r="465" customFormat="false" ht="15" hidden="false" customHeight="false" outlineLevel="2" collapsed="false">
      <c r="A465" s="27" t="n">
        <v>461</v>
      </c>
      <c r="B465" s="27" t="s">
        <v>960</v>
      </c>
      <c r="C465" s="27" t="n">
        <v>3</v>
      </c>
      <c r="D465" s="27" t="s">
        <v>92</v>
      </c>
      <c r="E465" s="28" t="s">
        <v>340</v>
      </c>
      <c r="F465" s="27" t="s">
        <v>846</v>
      </c>
      <c r="G465" s="27" t="s">
        <v>939</v>
      </c>
      <c r="H465" s="27" t="s">
        <v>47</v>
      </c>
      <c r="I465" s="29" t="n">
        <v>350</v>
      </c>
      <c r="J465" s="29" t="n">
        <v>26</v>
      </c>
      <c r="K465" s="30" t="n">
        <f aca="false">WORKDAY(Assumptions!$C$4,I465,Assumptions!$F$4:$F$44)</f>
        <v>46818</v>
      </c>
      <c r="L465" s="30" t="n">
        <f aca="false">IF(J465=0,K465,WORKDAY(K465,J465-1,Assumptions!$F$4:$F$44))</f>
        <v>46853</v>
      </c>
      <c r="M465" s="29" t="s">
        <v>961</v>
      </c>
      <c r="N465" s="31" t="n">
        <v>0</v>
      </c>
      <c r="O465" s="31" t="n">
        <v>0</v>
      </c>
      <c r="P465" s="31" t="n">
        <v>0</v>
      </c>
      <c r="Q465" s="31" t="n">
        <v>6</v>
      </c>
      <c r="R465" s="31" t="n">
        <v>4</v>
      </c>
      <c r="S465" s="31" t="n">
        <v>0</v>
      </c>
      <c r="T465" s="31" t="n">
        <v>0</v>
      </c>
      <c r="U465" s="31" t="n">
        <v>0</v>
      </c>
      <c r="V465" s="31" t="n">
        <v>3</v>
      </c>
      <c r="W465" s="31" t="n">
        <v>0</v>
      </c>
      <c r="X465" s="31" t="n">
        <v>0</v>
      </c>
      <c r="Y465" s="32" t="n">
        <f aca="false">SUM(N465:X465)</f>
        <v>13</v>
      </c>
      <c r="Z465" s="32" t="n">
        <f aca="false">Y465*(1+Assumptions!$C$5)</f>
        <v>14.95</v>
      </c>
      <c r="AA465" s="27" t="s">
        <v>342</v>
      </c>
      <c r="AB465" s="27" t="s">
        <v>95</v>
      </c>
      <c r="AC465" s="27"/>
      <c r="AD465" s="33" t="n">
        <v>0</v>
      </c>
      <c r="AF465" s="21" t="n">
        <f aca="false">IF($J465=0,0,MAX(0,NETWORKDAYS(MAX($K465,AF$4),MIN($L465,EOMONTH(AF$4,0)),Assumptions!$F$4:$F$44))/NETWORKDAYS($K465,$L465,Assumptions!$F$4:$F$44))</f>
        <v>0</v>
      </c>
      <c r="AG465" s="21" t="n">
        <f aca="false">IF($J465=0,0,MAX(0,NETWORKDAYS(MAX($K465,AG$4),MIN($L465,EOMONTH(AG$4,0)),Assumptions!$F$4:$F$44))/NETWORKDAYS($K465,$L465,Assumptions!$F$4:$F$44))</f>
        <v>0</v>
      </c>
      <c r="AH465" s="21" t="n">
        <f aca="false">IF($J465=0,0,MAX(0,NETWORKDAYS(MAX($K465,AH$4),MIN($L465,EOMONTH(AH$4,0)),Assumptions!$F$4:$F$44))/NETWORKDAYS($K465,$L465,Assumptions!$F$4:$F$44))</f>
        <v>0</v>
      </c>
      <c r="AI465" s="21" t="n">
        <f aca="false">IF($J465=0,0,MAX(0,NETWORKDAYS(MAX($K465,AI$4),MIN($L465,EOMONTH(AI$4,0)),Assumptions!$F$4:$F$44))/NETWORKDAYS($K465,$L465,Assumptions!$F$4:$F$44))</f>
        <v>0</v>
      </c>
      <c r="AJ465" s="21" t="n">
        <f aca="false">IF($J465=0,0,MAX(0,NETWORKDAYS(MAX($K465,AJ$4),MIN($L465,EOMONTH(AJ$4,0)),Assumptions!$F$4:$F$44))/NETWORKDAYS($K465,$L465,Assumptions!$F$4:$F$44))</f>
        <v>0</v>
      </c>
      <c r="AK465" s="21" t="n">
        <f aca="false">IF($J465=0,0,MAX(0,NETWORKDAYS(MAX($K465,AK$4),MIN($L465,EOMONTH(AK$4,0)),Assumptions!$F$4:$F$44))/NETWORKDAYS($K465,$L465,Assumptions!$F$4:$F$44))</f>
        <v>0</v>
      </c>
      <c r="AL465" s="21" t="n">
        <f aca="false">IF($J465=0,0,MAX(0,NETWORKDAYS(MAX($K465,AL$4),MIN($L465,EOMONTH(AL$4,0)),Assumptions!$F$4:$F$44))/NETWORKDAYS($K465,$L465,Assumptions!$F$4:$F$44))</f>
        <v>0</v>
      </c>
      <c r="AM465" s="21" t="n">
        <f aca="false">IF($J465=0,0,MAX(0,NETWORKDAYS(MAX($K465,AM$4),MIN($L465,EOMONTH(AM$4,0)),Assumptions!$F$4:$F$44))/NETWORKDAYS($K465,$L465,Assumptions!$F$4:$F$44))</f>
        <v>0</v>
      </c>
      <c r="AN465" s="21" t="n">
        <f aca="false">IF($J465=0,0,MAX(0,NETWORKDAYS(MAX($K465,AN$4),MIN($L465,EOMONTH(AN$4,0)),Assumptions!$F$4:$F$44))/NETWORKDAYS($K465,$L465,Assumptions!$F$4:$F$44))</f>
        <v>0</v>
      </c>
      <c r="AO465" s="21" t="n">
        <f aca="false">IF($J465=0,0,MAX(0,NETWORKDAYS(MAX($K465,AO$4),MIN($L465,EOMONTH(AO$4,0)),Assumptions!$F$4:$F$44))/NETWORKDAYS($K465,$L465,Assumptions!$F$4:$F$44))</f>
        <v>0</v>
      </c>
      <c r="AP465" s="21" t="n">
        <f aca="false">IF($J465=0,0,MAX(0,NETWORKDAYS(MAX($K465,AP$4),MIN($L465,EOMONTH(AP$4,0)),Assumptions!$F$4:$F$44))/NETWORKDAYS($K465,$L465,Assumptions!$F$4:$F$44))</f>
        <v>0</v>
      </c>
      <c r="AQ465" s="21" t="n">
        <f aca="false">IF($J465=0,0,MAX(0,NETWORKDAYS(MAX($K465,AQ$4),MIN($L465,EOMONTH(AQ$4,0)),Assumptions!$F$4:$F$44))/NETWORKDAYS($K465,$L465,Assumptions!$F$4:$F$44))</f>
        <v>0</v>
      </c>
      <c r="AR465" s="21" t="n">
        <f aca="false">IF($J465=0,0,MAX(0,NETWORKDAYS(MAX($K465,AR$4),MIN($L465,EOMONTH(AR$4,0)),Assumptions!$F$4:$F$44))/NETWORKDAYS($K465,$L465,Assumptions!$F$4:$F$44))</f>
        <v>0</v>
      </c>
      <c r="AS465" s="21" t="n">
        <f aca="false">IF($J465=0,0,MAX(0,NETWORKDAYS(MAX($K465,AS$4),MIN($L465,EOMONTH(AS$4,0)),Assumptions!$F$4:$F$44))/NETWORKDAYS($K465,$L465,Assumptions!$F$4:$F$44))</f>
        <v>0</v>
      </c>
      <c r="AT465" s="21" t="n">
        <f aca="false">IF($J465=0,0,MAX(0,NETWORKDAYS(MAX($K465,AT$4),MIN($L465,EOMONTH(AT$4,0)),Assumptions!$F$4:$F$44))/NETWORKDAYS($K465,$L465,Assumptions!$F$4:$F$44))</f>
        <v>0</v>
      </c>
      <c r="AU465" s="21" t="n">
        <f aca="false">IF($J465=0,0,MAX(0,NETWORKDAYS(MAX($K465,AU$4),MIN($L465,EOMONTH(AU$4,0)),Assumptions!$F$4:$F$44))/NETWORKDAYS($K465,$L465,Assumptions!$F$4:$F$44))</f>
        <v>0</v>
      </c>
      <c r="AV465" s="21" t="n">
        <f aca="false">IF($J465=0,0,MAX(0,NETWORKDAYS(MAX($K465,AV$4),MIN($L465,EOMONTH(AV$4,0)),Assumptions!$F$4:$F$44))/NETWORKDAYS($K465,$L465,Assumptions!$F$4:$F$44))</f>
        <v>0.769230769230769</v>
      </c>
      <c r="AW465" s="21" t="n">
        <f aca="false">IF($J465=0,0,MAX(0,NETWORKDAYS(MAX($K465,AW$4),MIN($L465,EOMONTH(AW$4,0)),Assumptions!$F$4:$F$44))/NETWORKDAYS($K465,$L465,Assumptions!$F$4:$F$44))</f>
        <v>0.230769230769231</v>
      </c>
      <c r="AX465" s="21" t="n">
        <f aca="false">IF($J465=0,0,MAX(0,NETWORKDAYS(MAX($K465,AX$4),MIN($L465,EOMONTH(AX$4,0)),Assumptions!$F$4:$F$44))/NETWORKDAYS($K465,$L465,Assumptions!$F$4:$F$44))</f>
        <v>0</v>
      </c>
      <c r="AY465" s="21" t="n">
        <f aca="false">IF($J465=0,0,MAX(0,NETWORKDAYS(MAX($K465,AY$4),MIN($L465,EOMONTH(AY$4,0)),Assumptions!$F$4:$F$44))/NETWORKDAYS($K465,$L465,Assumptions!$F$4:$F$44))</f>
        <v>0</v>
      </c>
      <c r="AZ465" s="21" t="n">
        <f aca="false">IF($J465=0,0,MAX(0,NETWORKDAYS(MAX($K465,AZ$4),MIN($L465,EOMONTH(AZ$4,0)),Assumptions!$F$4:$F$44))/NETWORKDAYS($K465,$L465,Assumptions!$F$4:$F$44))</f>
        <v>0</v>
      </c>
      <c r="BA465" s="21" t="n">
        <f aca="false">IF($J465=0,0,MAX(0,NETWORKDAYS(MAX($K465,BA$4),MIN($L465,EOMONTH(BA$4,0)),Assumptions!$F$4:$F$44))/NETWORKDAYS($K465,$L465,Assumptions!$F$4:$F$44))</f>
        <v>0</v>
      </c>
      <c r="BB465" s="21" t="n">
        <f aca="false">IF($J465=0,0,MAX(0,NETWORKDAYS(MAX($K465,BB$4),MIN($L465,EOMONTH(BB$4,0)),Assumptions!$F$4:$F$44))/NETWORKDAYS($K465,$L465,Assumptions!$F$4:$F$44))</f>
        <v>0</v>
      </c>
      <c r="BC465" s="21" t="n">
        <f aca="false">IF($J465=0,0,MAX(0,NETWORKDAYS(MAX($K465,BC$4),MIN($L465,EOMONTH(BC$4,0)),Assumptions!$F$4:$F$44))/NETWORKDAYS($K465,$L465,Assumptions!$F$4:$F$44))</f>
        <v>0</v>
      </c>
    </row>
    <row r="466" customFormat="false" ht="15" hidden="false" customHeight="false" outlineLevel="2" collapsed="false">
      <c r="A466" s="27" t="n">
        <v>462</v>
      </c>
      <c r="B466" s="27" t="s">
        <v>962</v>
      </c>
      <c r="C466" s="27" t="n">
        <v>3</v>
      </c>
      <c r="D466" s="27" t="s">
        <v>92</v>
      </c>
      <c r="E466" s="28" t="s">
        <v>344</v>
      </c>
      <c r="F466" s="27" t="s">
        <v>846</v>
      </c>
      <c r="G466" s="27" t="s">
        <v>939</v>
      </c>
      <c r="H466" s="27" t="s">
        <v>43</v>
      </c>
      <c r="I466" s="29" t="n">
        <v>367</v>
      </c>
      <c r="J466" s="29" t="n">
        <v>13</v>
      </c>
      <c r="K466" s="30" t="n">
        <f aca="false">WORKDAY(Assumptions!$C$4,I466,Assumptions!$F$4:$F$44)</f>
        <v>46841</v>
      </c>
      <c r="L466" s="30" t="n">
        <f aca="false">IF(J466=0,K466,WORKDAY(K466,J466-1,Assumptions!$F$4:$F$44))</f>
        <v>46857</v>
      </c>
      <c r="M466" s="29" t="s">
        <v>961</v>
      </c>
      <c r="N466" s="31" t="n">
        <v>0</v>
      </c>
      <c r="O466" s="31" t="n">
        <v>4</v>
      </c>
      <c r="P466" s="31" t="n">
        <v>0</v>
      </c>
      <c r="Q466" s="31" t="n">
        <v>0</v>
      </c>
      <c r="R466" s="31" t="n">
        <v>0</v>
      </c>
      <c r="S466" s="31" t="n">
        <v>0</v>
      </c>
      <c r="T466" s="31" t="n">
        <v>0</v>
      </c>
      <c r="U466" s="31" t="n">
        <v>0</v>
      </c>
      <c r="V466" s="31" t="n">
        <v>4</v>
      </c>
      <c r="W466" s="31" t="n">
        <v>0</v>
      </c>
      <c r="X466" s="31" t="n">
        <v>0</v>
      </c>
      <c r="Y466" s="32" t="n">
        <f aca="false">SUM(N466:X466)</f>
        <v>8</v>
      </c>
      <c r="Z466" s="32" t="n">
        <f aca="false">Y466*(1+Assumptions!$C$5)</f>
        <v>9.2</v>
      </c>
      <c r="AA466" s="27" t="s">
        <v>345</v>
      </c>
      <c r="AB466" s="27" t="s">
        <v>95</v>
      </c>
      <c r="AC466" s="27"/>
      <c r="AD466" s="33" t="n">
        <v>0</v>
      </c>
      <c r="AF466" s="21" t="n">
        <f aca="false">IF($J466=0,0,MAX(0,NETWORKDAYS(MAX($K466,AF$4),MIN($L466,EOMONTH(AF$4,0)),Assumptions!$F$4:$F$44))/NETWORKDAYS($K466,$L466,Assumptions!$F$4:$F$44))</f>
        <v>0</v>
      </c>
      <c r="AG466" s="21" t="n">
        <f aca="false">IF($J466=0,0,MAX(0,NETWORKDAYS(MAX($K466,AG$4),MIN($L466,EOMONTH(AG$4,0)),Assumptions!$F$4:$F$44))/NETWORKDAYS($K466,$L466,Assumptions!$F$4:$F$44))</f>
        <v>0</v>
      </c>
      <c r="AH466" s="21" t="n">
        <f aca="false">IF($J466=0,0,MAX(0,NETWORKDAYS(MAX($K466,AH$4),MIN($L466,EOMONTH(AH$4,0)),Assumptions!$F$4:$F$44))/NETWORKDAYS($K466,$L466,Assumptions!$F$4:$F$44))</f>
        <v>0</v>
      </c>
      <c r="AI466" s="21" t="n">
        <f aca="false">IF($J466=0,0,MAX(0,NETWORKDAYS(MAX($K466,AI$4),MIN($L466,EOMONTH(AI$4,0)),Assumptions!$F$4:$F$44))/NETWORKDAYS($K466,$L466,Assumptions!$F$4:$F$44))</f>
        <v>0</v>
      </c>
      <c r="AJ466" s="21" t="n">
        <f aca="false">IF($J466=0,0,MAX(0,NETWORKDAYS(MAX($K466,AJ$4),MIN($L466,EOMONTH(AJ$4,0)),Assumptions!$F$4:$F$44))/NETWORKDAYS($K466,$L466,Assumptions!$F$4:$F$44))</f>
        <v>0</v>
      </c>
      <c r="AK466" s="21" t="n">
        <f aca="false">IF($J466=0,0,MAX(0,NETWORKDAYS(MAX($K466,AK$4),MIN($L466,EOMONTH(AK$4,0)),Assumptions!$F$4:$F$44))/NETWORKDAYS($K466,$L466,Assumptions!$F$4:$F$44))</f>
        <v>0</v>
      </c>
      <c r="AL466" s="21" t="n">
        <f aca="false">IF($J466=0,0,MAX(0,NETWORKDAYS(MAX($K466,AL$4),MIN($L466,EOMONTH(AL$4,0)),Assumptions!$F$4:$F$44))/NETWORKDAYS($K466,$L466,Assumptions!$F$4:$F$44))</f>
        <v>0</v>
      </c>
      <c r="AM466" s="21" t="n">
        <f aca="false">IF($J466=0,0,MAX(0,NETWORKDAYS(MAX($K466,AM$4),MIN($L466,EOMONTH(AM$4,0)),Assumptions!$F$4:$F$44))/NETWORKDAYS($K466,$L466,Assumptions!$F$4:$F$44))</f>
        <v>0</v>
      </c>
      <c r="AN466" s="21" t="n">
        <f aca="false">IF($J466=0,0,MAX(0,NETWORKDAYS(MAX($K466,AN$4),MIN($L466,EOMONTH(AN$4,0)),Assumptions!$F$4:$F$44))/NETWORKDAYS($K466,$L466,Assumptions!$F$4:$F$44))</f>
        <v>0</v>
      </c>
      <c r="AO466" s="21" t="n">
        <f aca="false">IF($J466=0,0,MAX(0,NETWORKDAYS(MAX($K466,AO$4),MIN($L466,EOMONTH(AO$4,0)),Assumptions!$F$4:$F$44))/NETWORKDAYS($K466,$L466,Assumptions!$F$4:$F$44))</f>
        <v>0</v>
      </c>
      <c r="AP466" s="21" t="n">
        <f aca="false">IF($J466=0,0,MAX(0,NETWORKDAYS(MAX($K466,AP$4),MIN($L466,EOMONTH(AP$4,0)),Assumptions!$F$4:$F$44))/NETWORKDAYS($K466,$L466,Assumptions!$F$4:$F$44))</f>
        <v>0</v>
      </c>
      <c r="AQ466" s="21" t="n">
        <f aca="false">IF($J466=0,0,MAX(0,NETWORKDAYS(MAX($K466,AQ$4),MIN($L466,EOMONTH(AQ$4,0)),Assumptions!$F$4:$F$44))/NETWORKDAYS($K466,$L466,Assumptions!$F$4:$F$44))</f>
        <v>0</v>
      </c>
      <c r="AR466" s="21" t="n">
        <f aca="false">IF($J466=0,0,MAX(0,NETWORKDAYS(MAX($K466,AR$4),MIN($L466,EOMONTH(AR$4,0)),Assumptions!$F$4:$F$44))/NETWORKDAYS($K466,$L466,Assumptions!$F$4:$F$44))</f>
        <v>0</v>
      </c>
      <c r="AS466" s="21" t="n">
        <f aca="false">IF($J466=0,0,MAX(0,NETWORKDAYS(MAX($K466,AS$4),MIN($L466,EOMONTH(AS$4,0)),Assumptions!$F$4:$F$44))/NETWORKDAYS($K466,$L466,Assumptions!$F$4:$F$44))</f>
        <v>0</v>
      </c>
      <c r="AT466" s="21" t="n">
        <f aca="false">IF($J466=0,0,MAX(0,NETWORKDAYS(MAX($K466,AT$4),MIN($L466,EOMONTH(AT$4,0)),Assumptions!$F$4:$F$44))/NETWORKDAYS($K466,$L466,Assumptions!$F$4:$F$44))</f>
        <v>0</v>
      </c>
      <c r="AU466" s="21" t="n">
        <f aca="false">IF($J466=0,0,MAX(0,NETWORKDAYS(MAX($K466,AU$4),MIN($L466,EOMONTH(AU$4,0)),Assumptions!$F$4:$F$44))/NETWORKDAYS($K466,$L466,Assumptions!$F$4:$F$44))</f>
        <v>0</v>
      </c>
      <c r="AV466" s="21" t="n">
        <f aca="false">IF($J466=0,0,MAX(0,NETWORKDAYS(MAX($K466,AV$4),MIN($L466,EOMONTH(AV$4,0)),Assumptions!$F$4:$F$44))/NETWORKDAYS($K466,$L466,Assumptions!$F$4:$F$44))</f>
        <v>0.230769230769231</v>
      </c>
      <c r="AW466" s="21" t="n">
        <f aca="false">IF($J466=0,0,MAX(0,NETWORKDAYS(MAX($K466,AW$4),MIN($L466,EOMONTH(AW$4,0)),Assumptions!$F$4:$F$44))/NETWORKDAYS($K466,$L466,Assumptions!$F$4:$F$44))</f>
        <v>0.769230769230769</v>
      </c>
      <c r="AX466" s="21" t="n">
        <f aca="false">IF($J466=0,0,MAX(0,NETWORKDAYS(MAX($K466,AX$4),MIN($L466,EOMONTH(AX$4,0)),Assumptions!$F$4:$F$44))/NETWORKDAYS($K466,$L466,Assumptions!$F$4:$F$44))</f>
        <v>0</v>
      </c>
      <c r="AY466" s="21" t="n">
        <f aca="false">IF($J466=0,0,MAX(0,NETWORKDAYS(MAX($K466,AY$4),MIN($L466,EOMONTH(AY$4,0)),Assumptions!$F$4:$F$44))/NETWORKDAYS($K466,$L466,Assumptions!$F$4:$F$44))</f>
        <v>0</v>
      </c>
      <c r="AZ466" s="21" t="n">
        <f aca="false">IF($J466=0,0,MAX(0,NETWORKDAYS(MAX($K466,AZ$4),MIN($L466,EOMONTH(AZ$4,0)),Assumptions!$F$4:$F$44))/NETWORKDAYS($K466,$L466,Assumptions!$F$4:$F$44))</f>
        <v>0</v>
      </c>
      <c r="BA466" s="21" t="n">
        <f aca="false">IF($J466=0,0,MAX(0,NETWORKDAYS(MAX($K466,BA$4),MIN($L466,EOMONTH(BA$4,0)),Assumptions!$F$4:$F$44))/NETWORKDAYS($K466,$L466,Assumptions!$F$4:$F$44))</f>
        <v>0</v>
      </c>
      <c r="BB466" s="21" t="n">
        <f aca="false">IF($J466=0,0,MAX(0,NETWORKDAYS(MAX($K466,BB$4),MIN($L466,EOMONTH(BB$4,0)),Assumptions!$F$4:$F$44))/NETWORKDAYS($K466,$L466,Assumptions!$F$4:$F$44))</f>
        <v>0</v>
      </c>
      <c r="BC466" s="21" t="n">
        <f aca="false">IF($J466=0,0,MAX(0,NETWORKDAYS(MAX($K466,BC$4),MIN($L466,EOMONTH(BC$4,0)),Assumptions!$F$4:$F$44))/NETWORKDAYS($K466,$L466,Assumptions!$F$4:$F$44))</f>
        <v>0</v>
      </c>
    </row>
    <row r="467" customFormat="false" ht="15" hidden="false" customHeight="false" outlineLevel="2" collapsed="false">
      <c r="A467" s="27" t="n">
        <v>463</v>
      </c>
      <c r="B467" s="27" t="s">
        <v>963</v>
      </c>
      <c r="C467" s="27" t="n">
        <v>3</v>
      </c>
      <c r="D467" s="27" t="s">
        <v>92</v>
      </c>
      <c r="E467" s="28" t="s">
        <v>347</v>
      </c>
      <c r="F467" s="27" t="s">
        <v>846</v>
      </c>
      <c r="G467" s="27" t="s">
        <v>939</v>
      </c>
      <c r="H467" s="27" t="s">
        <v>61</v>
      </c>
      <c r="I467" s="29" t="n">
        <v>370</v>
      </c>
      <c r="J467" s="29" t="n">
        <v>13</v>
      </c>
      <c r="K467" s="30" t="n">
        <f aca="false">WORKDAY(Assumptions!$C$4,I467,Assumptions!$F$4:$F$44)</f>
        <v>46846</v>
      </c>
      <c r="L467" s="30" t="n">
        <f aca="false">IF(J467=0,K467,WORKDAY(K467,J467-1,Assumptions!$F$4:$F$44))</f>
        <v>46862</v>
      </c>
      <c r="M467" s="29" t="s">
        <v>964</v>
      </c>
      <c r="N467" s="31" t="n">
        <v>0</v>
      </c>
      <c r="O467" s="31" t="n">
        <v>1</v>
      </c>
      <c r="P467" s="31" t="n">
        <v>0</v>
      </c>
      <c r="Q467" s="31" t="n">
        <v>0</v>
      </c>
      <c r="R467" s="31" t="n">
        <v>0</v>
      </c>
      <c r="S467" s="31" t="n">
        <v>0</v>
      </c>
      <c r="T467" s="31" t="n">
        <v>0</v>
      </c>
      <c r="U467" s="31" t="n">
        <v>0</v>
      </c>
      <c r="V467" s="31" t="n">
        <v>0</v>
      </c>
      <c r="W467" s="31" t="n">
        <v>0</v>
      </c>
      <c r="X467" s="31" t="n">
        <v>4</v>
      </c>
      <c r="Y467" s="32" t="n">
        <f aca="false">SUM(N467:X467)</f>
        <v>5</v>
      </c>
      <c r="Z467" s="32" t="n">
        <f aca="false">Y467*(1+Assumptions!$C$5)</f>
        <v>5.75</v>
      </c>
      <c r="AA467" s="27" t="s">
        <v>349</v>
      </c>
      <c r="AB467" s="27" t="s">
        <v>95</v>
      </c>
      <c r="AC467" s="27"/>
      <c r="AD467" s="33" t="n">
        <v>0</v>
      </c>
      <c r="AF467" s="21" t="n">
        <f aca="false">IF($J467=0,0,MAX(0,NETWORKDAYS(MAX($K467,AF$4),MIN($L467,EOMONTH(AF$4,0)),Assumptions!$F$4:$F$44))/NETWORKDAYS($K467,$L467,Assumptions!$F$4:$F$44))</f>
        <v>0</v>
      </c>
      <c r="AG467" s="21" t="n">
        <f aca="false">IF($J467=0,0,MAX(0,NETWORKDAYS(MAX($K467,AG$4),MIN($L467,EOMONTH(AG$4,0)),Assumptions!$F$4:$F$44))/NETWORKDAYS($K467,$L467,Assumptions!$F$4:$F$44))</f>
        <v>0</v>
      </c>
      <c r="AH467" s="21" t="n">
        <f aca="false">IF($J467=0,0,MAX(0,NETWORKDAYS(MAX($K467,AH$4),MIN($L467,EOMONTH(AH$4,0)),Assumptions!$F$4:$F$44))/NETWORKDAYS($K467,$L467,Assumptions!$F$4:$F$44))</f>
        <v>0</v>
      </c>
      <c r="AI467" s="21" t="n">
        <f aca="false">IF($J467=0,0,MAX(0,NETWORKDAYS(MAX($K467,AI$4),MIN($L467,EOMONTH(AI$4,0)),Assumptions!$F$4:$F$44))/NETWORKDAYS($K467,$L467,Assumptions!$F$4:$F$44))</f>
        <v>0</v>
      </c>
      <c r="AJ467" s="21" t="n">
        <f aca="false">IF($J467=0,0,MAX(0,NETWORKDAYS(MAX($K467,AJ$4),MIN($L467,EOMONTH(AJ$4,0)),Assumptions!$F$4:$F$44))/NETWORKDAYS($K467,$L467,Assumptions!$F$4:$F$44))</f>
        <v>0</v>
      </c>
      <c r="AK467" s="21" t="n">
        <f aca="false">IF($J467=0,0,MAX(0,NETWORKDAYS(MAX($K467,AK$4),MIN($L467,EOMONTH(AK$4,0)),Assumptions!$F$4:$F$44))/NETWORKDAYS($K467,$L467,Assumptions!$F$4:$F$44))</f>
        <v>0</v>
      </c>
      <c r="AL467" s="21" t="n">
        <f aca="false">IF($J467=0,0,MAX(0,NETWORKDAYS(MAX($K467,AL$4),MIN($L467,EOMONTH(AL$4,0)),Assumptions!$F$4:$F$44))/NETWORKDAYS($K467,$L467,Assumptions!$F$4:$F$44))</f>
        <v>0</v>
      </c>
      <c r="AM467" s="21" t="n">
        <f aca="false">IF($J467=0,0,MAX(0,NETWORKDAYS(MAX($K467,AM$4),MIN($L467,EOMONTH(AM$4,0)),Assumptions!$F$4:$F$44))/NETWORKDAYS($K467,$L467,Assumptions!$F$4:$F$44))</f>
        <v>0</v>
      </c>
      <c r="AN467" s="21" t="n">
        <f aca="false">IF($J467=0,0,MAX(0,NETWORKDAYS(MAX($K467,AN$4),MIN($L467,EOMONTH(AN$4,0)),Assumptions!$F$4:$F$44))/NETWORKDAYS($K467,$L467,Assumptions!$F$4:$F$44))</f>
        <v>0</v>
      </c>
      <c r="AO467" s="21" t="n">
        <f aca="false">IF($J467=0,0,MAX(0,NETWORKDAYS(MAX($K467,AO$4),MIN($L467,EOMONTH(AO$4,0)),Assumptions!$F$4:$F$44))/NETWORKDAYS($K467,$L467,Assumptions!$F$4:$F$44))</f>
        <v>0</v>
      </c>
      <c r="AP467" s="21" t="n">
        <f aca="false">IF($J467=0,0,MAX(0,NETWORKDAYS(MAX($K467,AP$4),MIN($L467,EOMONTH(AP$4,0)),Assumptions!$F$4:$F$44))/NETWORKDAYS($K467,$L467,Assumptions!$F$4:$F$44))</f>
        <v>0</v>
      </c>
      <c r="AQ467" s="21" t="n">
        <f aca="false">IF($J467=0,0,MAX(0,NETWORKDAYS(MAX($K467,AQ$4),MIN($L467,EOMONTH(AQ$4,0)),Assumptions!$F$4:$F$44))/NETWORKDAYS($K467,$L467,Assumptions!$F$4:$F$44))</f>
        <v>0</v>
      </c>
      <c r="AR467" s="21" t="n">
        <f aca="false">IF($J467=0,0,MAX(0,NETWORKDAYS(MAX($K467,AR$4),MIN($L467,EOMONTH(AR$4,0)),Assumptions!$F$4:$F$44))/NETWORKDAYS($K467,$L467,Assumptions!$F$4:$F$44))</f>
        <v>0</v>
      </c>
      <c r="AS467" s="21" t="n">
        <f aca="false">IF($J467=0,0,MAX(0,NETWORKDAYS(MAX($K467,AS$4),MIN($L467,EOMONTH(AS$4,0)),Assumptions!$F$4:$F$44))/NETWORKDAYS($K467,$L467,Assumptions!$F$4:$F$44))</f>
        <v>0</v>
      </c>
      <c r="AT467" s="21" t="n">
        <f aca="false">IF($J467=0,0,MAX(0,NETWORKDAYS(MAX($K467,AT$4),MIN($L467,EOMONTH(AT$4,0)),Assumptions!$F$4:$F$44))/NETWORKDAYS($K467,$L467,Assumptions!$F$4:$F$44))</f>
        <v>0</v>
      </c>
      <c r="AU467" s="21" t="n">
        <f aca="false">IF($J467=0,0,MAX(0,NETWORKDAYS(MAX($K467,AU$4),MIN($L467,EOMONTH(AU$4,0)),Assumptions!$F$4:$F$44))/NETWORKDAYS($K467,$L467,Assumptions!$F$4:$F$44))</f>
        <v>0</v>
      </c>
      <c r="AV467" s="21" t="n">
        <f aca="false">IF($J467=0,0,MAX(0,NETWORKDAYS(MAX($K467,AV$4),MIN($L467,EOMONTH(AV$4,0)),Assumptions!$F$4:$F$44))/NETWORKDAYS($K467,$L467,Assumptions!$F$4:$F$44))</f>
        <v>0</v>
      </c>
      <c r="AW467" s="21" t="n">
        <f aca="false">IF($J467=0,0,MAX(0,NETWORKDAYS(MAX($K467,AW$4),MIN($L467,EOMONTH(AW$4,0)),Assumptions!$F$4:$F$44))/NETWORKDAYS($K467,$L467,Assumptions!$F$4:$F$44))</f>
        <v>1</v>
      </c>
      <c r="AX467" s="21" t="n">
        <f aca="false">IF($J467=0,0,MAX(0,NETWORKDAYS(MAX($K467,AX$4),MIN($L467,EOMONTH(AX$4,0)),Assumptions!$F$4:$F$44))/NETWORKDAYS($K467,$L467,Assumptions!$F$4:$F$44))</f>
        <v>0</v>
      </c>
      <c r="AY467" s="21" t="n">
        <f aca="false">IF($J467=0,0,MAX(0,NETWORKDAYS(MAX($K467,AY$4),MIN($L467,EOMONTH(AY$4,0)),Assumptions!$F$4:$F$44))/NETWORKDAYS($K467,$L467,Assumptions!$F$4:$F$44))</f>
        <v>0</v>
      </c>
      <c r="AZ467" s="21" t="n">
        <f aca="false">IF($J467=0,0,MAX(0,NETWORKDAYS(MAX($K467,AZ$4),MIN($L467,EOMONTH(AZ$4,0)),Assumptions!$F$4:$F$44))/NETWORKDAYS($K467,$L467,Assumptions!$F$4:$F$44))</f>
        <v>0</v>
      </c>
      <c r="BA467" s="21" t="n">
        <f aca="false">IF($J467=0,0,MAX(0,NETWORKDAYS(MAX($K467,BA$4),MIN($L467,EOMONTH(BA$4,0)),Assumptions!$F$4:$F$44))/NETWORKDAYS($K467,$L467,Assumptions!$F$4:$F$44))</f>
        <v>0</v>
      </c>
      <c r="BB467" s="21" t="n">
        <f aca="false">IF($J467=0,0,MAX(0,NETWORKDAYS(MAX($K467,BB$4),MIN($L467,EOMONTH(BB$4,0)),Assumptions!$F$4:$F$44))/NETWORKDAYS($K467,$L467,Assumptions!$F$4:$F$44))</f>
        <v>0</v>
      </c>
      <c r="BC467" s="21" t="n">
        <f aca="false">IF($J467=0,0,MAX(0,NETWORKDAYS(MAX($K467,BC$4),MIN($L467,EOMONTH(BC$4,0)),Assumptions!$F$4:$F$44))/NETWORKDAYS($K467,$L467,Assumptions!$F$4:$F$44))</f>
        <v>0</v>
      </c>
    </row>
    <row r="468" customFormat="false" ht="15" hidden="false" customHeight="false" outlineLevel="1" collapsed="false">
      <c r="A468" s="22" t="n">
        <v>464</v>
      </c>
      <c r="B468" s="22" t="s">
        <v>965</v>
      </c>
      <c r="C468" s="22" t="n">
        <v>2</v>
      </c>
      <c r="D468" s="22" t="s">
        <v>89</v>
      </c>
      <c r="E468" s="23" t="s">
        <v>966</v>
      </c>
      <c r="F468" s="22" t="s">
        <v>846</v>
      </c>
      <c r="G468" s="22" t="s">
        <v>467</v>
      </c>
      <c r="H468" s="22"/>
      <c r="I468" s="22"/>
      <c r="J468" s="22" t="n">
        <f aca="false">NETWORKDAYS(K468,L468,Assumptions!$F$4:$F$44)</f>
        <v>27</v>
      </c>
      <c r="K468" s="24" t="n">
        <f aca="false">MIN(K469:K474)</f>
        <v>46829</v>
      </c>
      <c r="L468" s="24" t="n">
        <f aca="false">MAX(L469:L474)</f>
        <v>46867</v>
      </c>
      <c r="M468" s="22"/>
      <c r="N468" s="25" t="n">
        <f aca="false">SUMPRODUCT(($C$469:$C$474=3)*(N469:N474))</f>
        <v>0</v>
      </c>
      <c r="O468" s="25" t="n">
        <f aca="false">SUMPRODUCT(($C$469:$C$474=3)*(O469:O474))</f>
        <v>11</v>
      </c>
      <c r="P468" s="25" t="n">
        <f aca="false">SUMPRODUCT(($C$469:$C$474=3)*(P469:P474))</f>
        <v>3</v>
      </c>
      <c r="Q468" s="25" t="n">
        <f aca="false">SUMPRODUCT(($C$469:$C$474=3)*(Q469:Q474))</f>
        <v>24</v>
      </c>
      <c r="R468" s="25" t="n">
        <f aca="false">SUMPRODUCT(($C$469:$C$474=3)*(R469:R474))</f>
        <v>0</v>
      </c>
      <c r="S468" s="25" t="n">
        <f aca="false">SUMPRODUCT(($C$469:$C$474=3)*(S469:S474))</f>
        <v>0</v>
      </c>
      <c r="T468" s="25" t="n">
        <f aca="false">SUMPRODUCT(($C$469:$C$474=3)*(T469:T474))</f>
        <v>0</v>
      </c>
      <c r="U468" s="25" t="n">
        <f aca="false">SUMPRODUCT(($C$469:$C$474=3)*(U469:U474))</f>
        <v>16</v>
      </c>
      <c r="V468" s="25" t="n">
        <f aca="false">SUMPRODUCT(($C$469:$C$474=3)*(V469:V474))</f>
        <v>35</v>
      </c>
      <c r="W468" s="25" t="n">
        <f aca="false">SUMPRODUCT(($C$469:$C$474=3)*(W469:W474))</f>
        <v>12</v>
      </c>
      <c r="X468" s="25" t="n">
        <f aca="false">SUMPRODUCT(($C$469:$C$474=3)*(X469:X474))</f>
        <v>15</v>
      </c>
      <c r="Y468" s="25" t="n">
        <f aca="false">SUM(N468:X468)</f>
        <v>116</v>
      </c>
      <c r="Z468" s="25" t="n">
        <f aca="false">Y468*(1+Assumptions!$C$5)</f>
        <v>133.4</v>
      </c>
      <c r="AA468" s="22"/>
      <c r="AB468" s="22"/>
      <c r="AC468" s="22"/>
      <c r="AD468" s="26"/>
      <c r="AF468" s="21" t="n">
        <v>0</v>
      </c>
      <c r="AG468" s="21" t="n">
        <v>0</v>
      </c>
      <c r="AH468" s="21" t="n">
        <v>0</v>
      </c>
      <c r="AI468" s="21" t="n">
        <v>0</v>
      </c>
      <c r="AJ468" s="21" t="n">
        <v>0</v>
      </c>
      <c r="AK468" s="21" t="n">
        <v>0</v>
      </c>
      <c r="AL468" s="21" t="n">
        <v>0</v>
      </c>
      <c r="AM468" s="21" t="n">
        <v>0</v>
      </c>
      <c r="AN468" s="21" t="n">
        <v>0</v>
      </c>
      <c r="AO468" s="21" t="n">
        <v>0</v>
      </c>
      <c r="AP468" s="21" t="n">
        <v>0</v>
      </c>
      <c r="AQ468" s="21" t="n">
        <v>0</v>
      </c>
      <c r="AR468" s="21" t="n">
        <v>0</v>
      </c>
      <c r="AS468" s="21" t="n">
        <v>0</v>
      </c>
      <c r="AT468" s="21" t="n">
        <v>0</v>
      </c>
      <c r="AU468" s="21" t="n">
        <v>0</v>
      </c>
      <c r="AV468" s="21" t="n">
        <v>0</v>
      </c>
      <c r="AW468" s="21" t="n">
        <v>0</v>
      </c>
      <c r="AX468" s="21" t="n">
        <v>0</v>
      </c>
      <c r="AY468" s="21" t="n">
        <v>0</v>
      </c>
      <c r="AZ468" s="21" t="n">
        <v>0</v>
      </c>
      <c r="BA468" s="21" t="n">
        <v>0</v>
      </c>
      <c r="BB468" s="21" t="n">
        <v>0</v>
      </c>
      <c r="BC468" s="21" t="n">
        <v>0</v>
      </c>
    </row>
    <row r="469" customFormat="false" ht="15" hidden="false" customHeight="false" outlineLevel="2" collapsed="false">
      <c r="A469" s="27" t="n">
        <v>465</v>
      </c>
      <c r="B469" s="27" t="s">
        <v>967</v>
      </c>
      <c r="C469" s="27" t="n">
        <v>3</v>
      </c>
      <c r="D469" s="27" t="s">
        <v>92</v>
      </c>
      <c r="E469" s="28" t="s">
        <v>469</v>
      </c>
      <c r="F469" s="27" t="s">
        <v>846</v>
      </c>
      <c r="G469" s="27" t="s">
        <v>467</v>
      </c>
      <c r="H469" s="27" t="s">
        <v>57</v>
      </c>
      <c r="I469" s="29" t="n">
        <v>359</v>
      </c>
      <c r="J469" s="29" t="n">
        <v>13</v>
      </c>
      <c r="K469" s="30" t="n">
        <f aca="false">WORKDAY(Assumptions!$C$4,I469,Assumptions!$F$4:$F$44)</f>
        <v>46829</v>
      </c>
      <c r="L469" s="30" t="n">
        <f aca="false">IF(J469=0,K469,WORKDAY(K469,J469-1,Assumptions!$F$4:$F$44))</f>
        <v>46847</v>
      </c>
      <c r="M469" s="29" t="s">
        <v>968</v>
      </c>
      <c r="N469" s="31" t="n">
        <v>0</v>
      </c>
      <c r="O469" s="31" t="n">
        <v>4</v>
      </c>
      <c r="P469" s="31" t="n">
        <v>0</v>
      </c>
      <c r="Q469" s="31" t="n">
        <v>6</v>
      </c>
      <c r="R469" s="31" t="n">
        <v>0</v>
      </c>
      <c r="S469" s="31" t="n">
        <v>0</v>
      </c>
      <c r="T469" s="31" t="n">
        <v>0</v>
      </c>
      <c r="U469" s="31" t="n">
        <v>0</v>
      </c>
      <c r="V469" s="31" t="n">
        <v>20</v>
      </c>
      <c r="W469" s="31" t="n">
        <v>0</v>
      </c>
      <c r="X469" s="31" t="n">
        <v>0</v>
      </c>
      <c r="Y469" s="32" t="n">
        <f aca="false">SUM(N469:X469)</f>
        <v>30</v>
      </c>
      <c r="Z469" s="32" t="n">
        <f aca="false">Y469*(1+Assumptions!$C$5)</f>
        <v>34.5</v>
      </c>
      <c r="AA469" s="27" t="s">
        <v>471</v>
      </c>
      <c r="AB469" s="27" t="s">
        <v>95</v>
      </c>
      <c r="AC469" s="27"/>
      <c r="AD469" s="33" t="n">
        <v>0</v>
      </c>
      <c r="AF469" s="21" t="n">
        <f aca="false">IF($J469=0,0,MAX(0,NETWORKDAYS(MAX($K469,AF$4),MIN($L469,EOMONTH(AF$4,0)),Assumptions!$F$4:$F$44))/NETWORKDAYS($K469,$L469,Assumptions!$F$4:$F$44))</f>
        <v>0</v>
      </c>
      <c r="AG469" s="21" t="n">
        <f aca="false">IF($J469=0,0,MAX(0,NETWORKDAYS(MAX($K469,AG$4),MIN($L469,EOMONTH(AG$4,0)),Assumptions!$F$4:$F$44))/NETWORKDAYS($K469,$L469,Assumptions!$F$4:$F$44))</f>
        <v>0</v>
      </c>
      <c r="AH469" s="21" t="n">
        <f aca="false">IF($J469=0,0,MAX(0,NETWORKDAYS(MAX($K469,AH$4),MIN($L469,EOMONTH(AH$4,0)),Assumptions!$F$4:$F$44))/NETWORKDAYS($K469,$L469,Assumptions!$F$4:$F$44))</f>
        <v>0</v>
      </c>
      <c r="AI469" s="21" t="n">
        <f aca="false">IF($J469=0,0,MAX(0,NETWORKDAYS(MAX($K469,AI$4),MIN($L469,EOMONTH(AI$4,0)),Assumptions!$F$4:$F$44))/NETWORKDAYS($K469,$L469,Assumptions!$F$4:$F$44))</f>
        <v>0</v>
      </c>
      <c r="AJ469" s="21" t="n">
        <f aca="false">IF($J469=0,0,MAX(0,NETWORKDAYS(MAX($K469,AJ$4),MIN($L469,EOMONTH(AJ$4,0)),Assumptions!$F$4:$F$44))/NETWORKDAYS($K469,$L469,Assumptions!$F$4:$F$44))</f>
        <v>0</v>
      </c>
      <c r="AK469" s="21" t="n">
        <f aca="false">IF($J469=0,0,MAX(0,NETWORKDAYS(MAX($K469,AK$4),MIN($L469,EOMONTH(AK$4,0)),Assumptions!$F$4:$F$44))/NETWORKDAYS($K469,$L469,Assumptions!$F$4:$F$44))</f>
        <v>0</v>
      </c>
      <c r="AL469" s="21" t="n">
        <f aca="false">IF($J469=0,0,MAX(0,NETWORKDAYS(MAX($K469,AL$4),MIN($L469,EOMONTH(AL$4,0)),Assumptions!$F$4:$F$44))/NETWORKDAYS($K469,$L469,Assumptions!$F$4:$F$44))</f>
        <v>0</v>
      </c>
      <c r="AM469" s="21" t="n">
        <f aca="false">IF($J469=0,0,MAX(0,NETWORKDAYS(MAX($K469,AM$4),MIN($L469,EOMONTH(AM$4,0)),Assumptions!$F$4:$F$44))/NETWORKDAYS($K469,$L469,Assumptions!$F$4:$F$44))</f>
        <v>0</v>
      </c>
      <c r="AN469" s="21" t="n">
        <f aca="false">IF($J469=0,0,MAX(0,NETWORKDAYS(MAX($K469,AN$4),MIN($L469,EOMONTH(AN$4,0)),Assumptions!$F$4:$F$44))/NETWORKDAYS($K469,$L469,Assumptions!$F$4:$F$44))</f>
        <v>0</v>
      </c>
      <c r="AO469" s="21" t="n">
        <f aca="false">IF($J469=0,0,MAX(0,NETWORKDAYS(MAX($K469,AO$4),MIN($L469,EOMONTH(AO$4,0)),Assumptions!$F$4:$F$44))/NETWORKDAYS($K469,$L469,Assumptions!$F$4:$F$44))</f>
        <v>0</v>
      </c>
      <c r="AP469" s="21" t="n">
        <f aca="false">IF($J469=0,0,MAX(0,NETWORKDAYS(MAX($K469,AP$4),MIN($L469,EOMONTH(AP$4,0)),Assumptions!$F$4:$F$44))/NETWORKDAYS($K469,$L469,Assumptions!$F$4:$F$44))</f>
        <v>0</v>
      </c>
      <c r="AQ469" s="21" t="n">
        <f aca="false">IF($J469=0,0,MAX(0,NETWORKDAYS(MAX($K469,AQ$4),MIN($L469,EOMONTH(AQ$4,0)),Assumptions!$F$4:$F$44))/NETWORKDAYS($K469,$L469,Assumptions!$F$4:$F$44))</f>
        <v>0</v>
      </c>
      <c r="AR469" s="21" t="n">
        <f aca="false">IF($J469=0,0,MAX(0,NETWORKDAYS(MAX($K469,AR$4),MIN($L469,EOMONTH(AR$4,0)),Assumptions!$F$4:$F$44))/NETWORKDAYS($K469,$L469,Assumptions!$F$4:$F$44))</f>
        <v>0</v>
      </c>
      <c r="AS469" s="21" t="n">
        <f aca="false">IF($J469=0,0,MAX(0,NETWORKDAYS(MAX($K469,AS$4),MIN($L469,EOMONTH(AS$4,0)),Assumptions!$F$4:$F$44))/NETWORKDAYS($K469,$L469,Assumptions!$F$4:$F$44))</f>
        <v>0</v>
      </c>
      <c r="AT469" s="21" t="n">
        <f aca="false">IF($J469=0,0,MAX(0,NETWORKDAYS(MAX($K469,AT$4),MIN($L469,EOMONTH(AT$4,0)),Assumptions!$F$4:$F$44))/NETWORKDAYS($K469,$L469,Assumptions!$F$4:$F$44))</f>
        <v>0</v>
      </c>
      <c r="AU469" s="21" t="n">
        <f aca="false">IF($J469=0,0,MAX(0,NETWORKDAYS(MAX($K469,AU$4),MIN($L469,EOMONTH(AU$4,0)),Assumptions!$F$4:$F$44))/NETWORKDAYS($K469,$L469,Assumptions!$F$4:$F$44))</f>
        <v>0</v>
      </c>
      <c r="AV469" s="21" t="n">
        <f aca="false">IF($J469=0,0,MAX(0,NETWORKDAYS(MAX($K469,AV$4),MIN($L469,EOMONTH(AV$4,0)),Assumptions!$F$4:$F$44))/NETWORKDAYS($K469,$L469,Assumptions!$F$4:$F$44))</f>
        <v>0.846153846153846</v>
      </c>
      <c r="AW469" s="21" t="n">
        <f aca="false">IF($J469=0,0,MAX(0,NETWORKDAYS(MAX($K469,AW$4),MIN($L469,EOMONTH(AW$4,0)),Assumptions!$F$4:$F$44))/NETWORKDAYS($K469,$L469,Assumptions!$F$4:$F$44))</f>
        <v>0.153846153846154</v>
      </c>
      <c r="AX469" s="21" t="n">
        <f aca="false">IF($J469=0,0,MAX(0,NETWORKDAYS(MAX($K469,AX$4),MIN($L469,EOMONTH(AX$4,0)),Assumptions!$F$4:$F$44))/NETWORKDAYS($K469,$L469,Assumptions!$F$4:$F$44))</f>
        <v>0</v>
      </c>
      <c r="AY469" s="21" t="n">
        <f aca="false">IF($J469=0,0,MAX(0,NETWORKDAYS(MAX($K469,AY$4),MIN($L469,EOMONTH(AY$4,0)),Assumptions!$F$4:$F$44))/NETWORKDAYS($K469,$L469,Assumptions!$F$4:$F$44))</f>
        <v>0</v>
      </c>
      <c r="AZ469" s="21" t="n">
        <f aca="false">IF($J469=0,0,MAX(0,NETWORKDAYS(MAX($K469,AZ$4),MIN($L469,EOMONTH(AZ$4,0)),Assumptions!$F$4:$F$44))/NETWORKDAYS($K469,$L469,Assumptions!$F$4:$F$44))</f>
        <v>0</v>
      </c>
      <c r="BA469" s="21" t="n">
        <f aca="false">IF($J469=0,0,MAX(0,NETWORKDAYS(MAX($K469,BA$4),MIN($L469,EOMONTH(BA$4,0)),Assumptions!$F$4:$F$44))/NETWORKDAYS($K469,$L469,Assumptions!$F$4:$F$44))</f>
        <v>0</v>
      </c>
      <c r="BB469" s="21" t="n">
        <f aca="false">IF($J469=0,0,MAX(0,NETWORKDAYS(MAX($K469,BB$4),MIN($L469,EOMONTH(BB$4,0)),Assumptions!$F$4:$F$44))/NETWORKDAYS($K469,$L469,Assumptions!$F$4:$F$44))</f>
        <v>0</v>
      </c>
      <c r="BC469" s="21" t="n">
        <f aca="false">IF($J469=0,0,MAX(0,NETWORKDAYS(MAX($K469,BC$4),MIN($L469,EOMONTH(BC$4,0)),Assumptions!$F$4:$F$44))/NETWORKDAYS($K469,$L469,Assumptions!$F$4:$F$44))</f>
        <v>0</v>
      </c>
    </row>
    <row r="470" customFormat="false" ht="15" hidden="false" customHeight="false" outlineLevel="2" collapsed="false">
      <c r="A470" s="27" t="n">
        <v>466</v>
      </c>
      <c r="B470" s="27" t="s">
        <v>969</v>
      </c>
      <c r="C470" s="27" t="n">
        <v>3</v>
      </c>
      <c r="D470" s="27" t="s">
        <v>92</v>
      </c>
      <c r="E470" s="28" t="s">
        <v>473</v>
      </c>
      <c r="F470" s="27" t="s">
        <v>846</v>
      </c>
      <c r="G470" s="27" t="s">
        <v>467</v>
      </c>
      <c r="H470" s="27" t="s">
        <v>57</v>
      </c>
      <c r="I470" s="29" t="n">
        <v>363</v>
      </c>
      <c r="J470" s="29" t="n">
        <v>9</v>
      </c>
      <c r="K470" s="30" t="n">
        <f aca="false">WORKDAY(Assumptions!$C$4,I470,Assumptions!$F$4:$F$44)</f>
        <v>46835</v>
      </c>
      <c r="L470" s="30" t="n">
        <f aca="false">IF(J470=0,K470,WORKDAY(K470,J470-1,Assumptions!$F$4:$F$44))</f>
        <v>46847</v>
      </c>
      <c r="M470" s="29"/>
      <c r="N470" s="31" t="n">
        <v>0</v>
      </c>
      <c r="O470" s="31" t="n">
        <v>0</v>
      </c>
      <c r="P470" s="31" t="n">
        <v>0</v>
      </c>
      <c r="Q470" s="31" t="n">
        <v>4</v>
      </c>
      <c r="R470" s="31" t="n">
        <v>0</v>
      </c>
      <c r="S470" s="31" t="n">
        <v>0</v>
      </c>
      <c r="T470" s="31" t="n">
        <v>0</v>
      </c>
      <c r="U470" s="31" t="n">
        <v>4</v>
      </c>
      <c r="V470" s="31" t="n">
        <v>8</v>
      </c>
      <c r="W470" s="31" t="n">
        <v>0</v>
      </c>
      <c r="X470" s="31" t="n">
        <v>0</v>
      </c>
      <c r="Y470" s="32" t="n">
        <f aca="false">SUM(N470:X470)</f>
        <v>16</v>
      </c>
      <c r="Z470" s="32" t="n">
        <f aca="false">Y470*(1+Assumptions!$C$5)</f>
        <v>18.4</v>
      </c>
      <c r="AA470" s="27" t="s">
        <v>474</v>
      </c>
      <c r="AB470" s="27" t="s">
        <v>95</v>
      </c>
      <c r="AC470" s="27"/>
      <c r="AD470" s="33" t="n">
        <v>0</v>
      </c>
      <c r="AF470" s="21" t="n">
        <f aca="false">IF($J470=0,0,MAX(0,NETWORKDAYS(MAX($K470,AF$4),MIN($L470,EOMONTH(AF$4,0)),Assumptions!$F$4:$F$44))/NETWORKDAYS($K470,$L470,Assumptions!$F$4:$F$44))</f>
        <v>0</v>
      </c>
      <c r="AG470" s="21" t="n">
        <f aca="false">IF($J470=0,0,MAX(0,NETWORKDAYS(MAX($K470,AG$4),MIN($L470,EOMONTH(AG$4,0)),Assumptions!$F$4:$F$44))/NETWORKDAYS($K470,$L470,Assumptions!$F$4:$F$44))</f>
        <v>0</v>
      </c>
      <c r="AH470" s="21" t="n">
        <f aca="false">IF($J470=0,0,MAX(0,NETWORKDAYS(MAX($K470,AH$4),MIN($L470,EOMONTH(AH$4,0)),Assumptions!$F$4:$F$44))/NETWORKDAYS($K470,$L470,Assumptions!$F$4:$F$44))</f>
        <v>0</v>
      </c>
      <c r="AI470" s="21" t="n">
        <f aca="false">IF($J470=0,0,MAX(0,NETWORKDAYS(MAX($K470,AI$4),MIN($L470,EOMONTH(AI$4,0)),Assumptions!$F$4:$F$44))/NETWORKDAYS($K470,$L470,Assumptions!$F$4:$F$44))</f>
        <v>0</v>
      </c>
      <c r="AJ470" s="21" t="n">
        <f aca="false">IF($J470=0,0,MAX(0,NETWORKDAYS(MAX($K470,AJ$4),MIN($L470,EOMONTH(AJ$4,0)),Assumptions!$F$4:$F$44))/NETWORKDAYS($K470,$L470,Assumptions!$F$4:$F$44))</f>
        <v>0</v>
      </c>
      <c r="AK470" s="21" t="n">
        <f aca="false">IF($J470=0,0,MAX(0,NETWORKDAYS(MAX($K470,AK$4),MIN($L470,EOMONTH(AK$4,0)),Assumptions!$F$4:$F$44))/NETWORKDAYS($K470,$L470,Assumptions!$F$4:$F$44))</f>
        <v>0</v>
      </c>
      <c r="AL470" s="21" t="n">
        <f aca="false">IF($J470=0,0,MAX(0,NETWORKDAYS(MAX($K470,AL$4),MIN($L470,EOMONTH(AL$4,0)),Assumptions!$F$4:$F$44))/NETWORKDAYS($K470,$L470,Assumptions!$F$4:$F$44))</f>
        <v>0</v>
      </c>
      <c r="AM470" s="21" t="n">
        <f aca="false">IF($J470=0,0,MAX(0,NETWORKDAYS(MAX($K470,AM$4),MIN($L470,EOMONTH(AM$4,0)),Assumptions!$F$4:$F$44))/NETWORKDAYS($K470,$L470,Assumptions!$F$4:$F$44))</f>
        <v>0</v>
      </c>
      <c r="AN470" s="21" t="n">
        <f aca="false">IF($J470=0,0,MAX(0,NETWORKDAYS(MAX($K470,AN$4),MIN($L470,EOMONTH(AN$4,0)),Assumptions!$F$4:$F$44))/NETWORKDAYS($K470,$L470,Assumptions!$F$4:$F$44))</f>
        <v>0</v>
      </c>
      <c r="AO470" s="21" t="n">
        <f aca="false">IF($J470=0,0,MAX(0,NETWORKDAYS(MAX($K470,AO$4),MIN($L470,EOMONTH(AO$4,0)),Assumptions!$F$4:$F$44))/NETWORKDAYS($K470,$L470,Assumptions!$F$4:$F$44))</f>
        <v>0</v>
      </c>
      <c r="AP470" s="21" t="n">
        <f aca="false">IF($J470=0,0,MAX(0,NETWORKDAYS(MAX($K470,AP$4),MIN($L470,EOMONTH(AP$4,0)),Assumptions!$F$4:$F$44))/NETWORKDAYS($K470,$L470,Assumptions!$F$4:$F$44))</f>
        <v>0</v>
      </c>
      <c r="AQ470" s="21" t="n">
        <f aca="false">IF($J470=0,0,MAX(0,NETWORKDAYS(MAX($K470,AQ$4),MIN($L470,EOMONTH(AQ$4,0)),Assumptions!$F$4:$F$44))/NETWORKDAYS($K470,$L470,Assumptions!$F$4:$F$44))</f>
        <v>0</v>
      </c>
      <c r="AR470" s="21" t="n">
        <f aca="false">IF($J470=0,0,MAX(0,NETWORKDAYS(MAX($K470,AR$4),MIN($L470,EOMONTH(AR$4,0)),Assumptions!$F$4:$F$44))/NETWORKDAYS($K470,$L470,Assumptions!$F$4:$F$44))</f>
        <v>0</v>
      </c>
      <c r="AS470" s="21" t="n">
        <f aca="false">IF($J470=0,0,MAX(0,NETWORKDAYS(MAX($K470,AS$4),MIN($L470,EOMONTH(AS$4,0)),Assumptions!$F$4:$F$44))/NETWORKDAYS($K470,$L470,Assumptions!$F$4:$F$44))</f>
        <v>0</v>
      </c>
      <c r="AT470" s="21" t="n">
        <f aca="false">IF($J470=0,0,MAX(0,NETWORKDAYS(MAX($K470,AT$4),MIN($L470,EOMONTH(AT$4,0)),Assumptions!$F$4:$F$44))/NETWORKDAYS($K470,$L470,Assumptions!$F$4:$F$44))</f>
        <v>0</v>
      </c>
      <c r="AU470" s="21" t="n">
        <f aca="false">IF($J470=0,0,MAX(0,NETWORKDAYS(MAX($K470,AU$4),MIN($L470,EOMONTH(AU$4,0)),Assumptions!$F$4:$F$44))/NETWORKDAYS($K470,$L470,Assumptions!$F$4:$F$44))</f>
        <v>0</v>
      </c>
      <c r="AV470" s="21" t="n">
        <f aca="false">IF($J470=0,0,MAX(0,NETWORKDAYS(MAX($K470,AV$4),MIN($L470,EOMONTH(AV$4,0)),Assumptions!$F$4:$F$44))/NETWORKDAYS($K470,$L470,Assumptions!$F$4:$F$44))</f>
        <v>0.777777777777778</v>
      </c>
      <c r="AW470" s="21" t="n">
        <f aca="false">IF($J470=0,0,MAX(0,NETWORKDAYS(MAX($K470,AW$4),MIN($L470,EOMONTH(AW$4,0)),Assumptions!$F$4:$F$44))/NETWORKDAYS($K470,$L470,Assumptions!$F$4:$F$44))</f>
        <v>0.222222222222222</v>
      </c>
      <c r="AX470" s="21" t="n">
        <f aca="false">IF($J470=0,0,MAX(0,NETWORKDAYS(MAX($K470,AX$4),MIN($L470,EOMONTH(AX$4,0)),Assumptions!$F$4:$F$44))/NETWORKDAYS($K470,$L470,Assumptions!$F$4:$F$44))</f>
        <v>0</v>
      </c>
      <c r="AY470" s="21" t="n">
        <f aca="false">IF($J470=0,0,MAX(0,NETWORKDAYS(MAX($K470,AY$4),MIN($L470,EOMONTH(AY$4,0)),Assumptions!$F$4:$F$44))/NETWORKDAYS($K470,$L470,Assumptions!$F$4:$F$44))</f>
        <v>0</v>
      </c>
      <c r="AZ470" s="21" t="n">
        <f aca="false">IF($J470=0,0,MAX(0,NETWORKDAYS(MAX($K470,AZ$4),MIN($L470,EOMONTH(AZ$4,0)),Assumptions!$F$4:$F$44))/NETWORKDAYS($K470,$L470,Assumptions!$F$4:$F$44))</f>
        <v>0</v>
      </c>
      <c r="BA470" s="21" t="n">
        <f aca="false">IF($J470=0,0,MAX(0,NETWORKDAYS(MAX($K470,BA$4),MIN($L470,EOMONTH(BA$4,0)),Assumptions!$F$4:$F$44))/NETWORKDAYS($K470,$L470,Assumptions!$F$4:$F$44))</f>
        <v>0</v>
      </c>
      <c r="BB470" s="21" t="n">
        <f aca="false">IF($J470=0,0,MAX(0,NETWORKDAYS(MAX($K470,BB$4),MIN($L470,EOMONTH(BB$4,0)),Assumptions!$F$4:$F$44))/NETWORKDAYS($K470,$L470,Assumptions!$F$4:$F$44))</f>
        <v>0</v>
      </c>
      <c r="BC470" s="21" t="n">
        <f aca="false">IF($J470=0,0,MAX(0,NETWORKDAYS(MAX($K470,BC$4),MIN($L470,EOMONTH(BC$4,0)),Assumptions!$F$4:$F$44))/NETWORKDAYS($K470,$L470,Assumptions!$F$4:$F$44))</f>
        <v>0</v>
      </c>
    </row>
    <row r="471" customFormat="false" ht="15" hidden="false" customHeight="false" outlineLevel="2" collapsed="false">
      <c r="A471" s="27" t="n">
        <v>467</v>
      </c>
      <c r="B471" s="27" t="s">
        <v>970</v>
      </c>
      <c r="C471" s="27" t="n">
        <v>3</v>
      </c>
      <c r="D471" s="27" t="s">
        <v>92</v>
      </c>
      <c r="E471" s="28" t="s">
        <v>476</v>
      </c>
      <c r="F471" s="27" t="s">
        <v>846</v>
      </c>
      <c r="G471" s="27" t="s">
        <v>467</v>
      </c>
      <c r="H471" s="27" t="s">
        <v>57</v>
      </c>
      <c r="I471" s="29" t="n">
        <v>367</v>
      </c>
      <c r="J471" s="29" t="n">
        <v>13</v>
      </c>
      <c r="K471" s="30" t="n">
        <f aca="false">WORKDAY(Assumptions!$C$4,I471,Assumptions!$F$4:$F$44)</f>
        <v>46841</v>
      </c>
      <c r="L471" s="30" t="n">
        <f aca="false">IF(J471=0,K471,WORKDAY(K471,J471-1,Assumptions!$F$4:$F$44))</f>
        <v>46857</v>
      </c>
      <c r="M471" s="29"/>
      <c r="N471" s="31" t="n">
        <v>0</v>
      </c>
      <c r="O471" s="31" t="n">
        <v>0</v>
      </c>
      <c r="P471" s="31" t="n">
        <v>3</v>
      </c>
      <c r="Q471" s="31" t="n">
        <v>10</v>
      </c>
      <c r="R471" s="31" t="n">
        <v>0</v>
      </c>
      <c r="S471" s="31" t="n">
        <v>0</v>
      </c>
      <c r="T471" s="31" t="n">
        <v>0</v>
      </c>
      <c r="U471" s="31" t="n">
        <v>4</v>
      </c>
      <c r="V471" s="31" t="n">
        <v>4</v>
      </c>
      <c r="W471" s="31" t="n">
        <v>0</v>
      </c>
      <c r="X471" s="31" t="n">
        <v>0</v>
      </c>
      <c r="Y471" s="32" t="n">
        <f aca="false">SUM(N471:X471)</f>
        <v>21</v>
      </c>
      <c r="Z471" s="32" t="n">
        <f aca="false">Y471*(1+Assumptions!$C$5)</f>
        <v>24.15</v>
      </c>
      <c r="AA471" s="27" t="s">
        <v>477</v>
      </c>
      <c r="AB471" s="27" t="s">
        <v>95</v>
      </c>
      <c r="AC471" s="27"/>
      <c r="AD471" s="33" t="n">
        <v>0</v>
      </c>
      <c r="AF471" s="21" t="n">
        <f aca="false">IF($J471=0,0,MAX(0,NETWORKDAYS(MAX($K471,AF$4),MIN($L471,EOMONTH(AF$4,0)),Assumptions!$F$4:$F$44))/NETWORKDAYS($K471,$L471,Assumptions!$F$4:$F$44))</f>
        <v>0</v>
      </c>
      <c r="AG471" s="21" t="n">
        <f aca="false">IF($J471=0,0,MAX(0,NETWORKDAYS(MAX($K471,AG$4),MIN($L471,EOMONTH(AG$4,0)),Assumptions!$F$4:$F$44))/NETWORKDAYS($K471,$L471,Assumptions!$F$4:$F$44))</f>
        <v>0</v>
      </c>
      <c r="AH471" s="21" t="n">
        <f aca="false">IF($J471=0,0,MAX(0,NETWORKDAYS(MAX($K471,AH$4),MIN($L471,EOMONTH(AH$4,0)),Assumptions!$F$4:$F$44))/NETWORKDAYS($K471,$L471,Assumptions!$F$4:$F$44))</f>
        <v>0</v>
      </c>
      <c r="AI471" s="21" t="n">
        <f aca="false">IF($J471=0,0,MAX(0,NETWORKDAYS(MAX($K471,AI$4),MIN($L471,EOMONTH(AI$4,0)),Assumptions!$F$4:$F$44))/NETWORKDAYS($K471,$L471,Assumptions!$F$4:$F$44))</f>
        <v>0</v>
      </c>
      <c r="AJ471" s="21" t="n">
        <f aca="false">IF($J471=0,0,MAX(0,NETWORKDAYS(MAX($K471,AJ$4),MIN($L471,EOMONTH(AJ$4,0)),Assumptions!$F$4:$F$44))/NETWORKDAYS($K471,$L471,Assumptions!$F$4:$F$44))</f>
        <v>0</v>
      </c>
      <c r="AK471" s="21" t="n">
        <f aca="false">IF($J471=0,0,MAX(0,NETWORKDAYS(MAX($K471,AK$4),MIN($L471,EOMONTH(AK$4,0)),Assumptions!$F$4:$F$44))/NETWORKDAYS($K471,$L471,Assumptions!$F$4:$F$44))</f>
        <v>0</v>
      </c>
      <c r="AL471" s="21" t="n">
        <f aca="false">IF($J471=0,0,MAX(0,NETWORKDAYS(MAX($K471,AL$4),MIN($L471,EOMONTH(AL$4,0)),Assumptions!$F$4:$F$44))/NETWORKDAYS($K471,$L471,Assumptions!$F$4:$F$44))</f>
        <v>0</v>
      </c>
      <c r="AM471" s="21" t="n">
        <f aca="false">IF($J471=0,0,MAX(0,NETWORKDAYS(MAX($K471,AM$4),MIN($L471,EOMONTH(AM$4,0)),Assumptions!$F$4:$F$44))/NETWORKDAYS($K471,$L471,Assumptions!$F$4:$F$44))</f>
        <v>0</v>
      </c>
      <c r="AN471" s="21" t="n">
        <f aca="false">IF($J471=0,0,MAX(0,NETWORKDAYS(MAX($K471,AN$4),MIN($L471,EOMONTH(AN$4,0)),Assumptions!$F$4:$F$44))/NETWORKDAYS($K471,$L471,Assumptions!$F$4:$F$44))</f>
        <v>0</v>
      </c>
      <c r="AO471" s="21" t="n">
        <f aca="false">IF($J471=0,0,MAX(0,NETWORKDAYS(MAX($K471,AO$4),MIN($L471,EOMONTH(AO$4,0)),Assumptions!$F$4:$F$44))/NETWORKDAYS($K471,$L471,Assumptions!$F$4:$F$44))</f>
        <v>0</v>
      </c>
      <c r="AP471" s="21" t="n">
        <f aca="false">IF($J471=0,0,MAX(0,NETWORKDAYS(MAX($K471,AP$4),MIN($L471,EOMONTH(AP$4,0)),Assumptions!$F$4:$F$44))/NETWORKDAYS($K471,$L471,Assumptions!$F$4:$F$44))</f>
        <v>0</v>
      </c>
      <c r="AQ471" s="21" t="n">
        <f aca="false">IF($J471=0,0,MAX(0,NETWORKDAYS(MAX($K471,AQ$4),MIN($L471,EOMONTH(AQ$4,0)),Assumptions!$F$4:$F$44))/NETWORKDAYS($K471,$L471,Assumptions!$F$4:$F$44))</f>
        <v>0</v>
      </c>
      <c r="AR471" s="21" t="n">
        <f aca="false">IF($J471=0,0,MAX(0,NETWORKDAYS(MAX($K471,AR$4),MIN($L471,EOMONTH(AR$4,0)),Assumptions!$F$4:$F$44))/NETWORKDAYS($K471,$L471,Assumptions!$F$4:$F$44))</f>
        <v>0</v>
      </c>
      <c r="AS471" s="21" t="n">
        <f aca="false">IF($J471=0,0,MAX(0,NETWORKDAYS(MAX($K471,AS$4),MIN($L471,EOMONTH(AS$4,0)),Assumptions!$F$4:$F$44))/NETWORKDAYS($K471,$L471,Assumptions!$F$4:$F$44))</f>
        <v>0</v>
      </c>
      <c r="AT471" s="21" t="n">
        <f aca="false">IF($J471=0,0,MAX(0,NETWORKDAYS(MAX($K471,AT$4),MIN($L471,EOMONTH(AT$4,0)),Assumptions!$F$4:$F$44))/NETWORKDAYS($K471,$L471,Assumptions!$F$4:$F$44))</f>
        <v>0</v>
      </c>
      <c r="AU471" s="21" t="n">
        <f aca="false">IF($J471=0,0,MAX(0,NETWORKDAYS(MAX($K471,AU$4),MIN($L471,EOMONTH(AU$4,0)),Assumptions!$F$4:$F$44))/NETWORKDAYS($K471,$L471,Assumptions!$F$4:$F$44))</f>
        <v>0</v>
      </c>
      <c r="AV471" s="21" t="n">
        <f aca="false">IF($J471=0,0,MAX(0,NETWORKDAYS(MAX($K471,AV$4),MIN($L471,EOMONTH(AV$4,0)),Assumptions!$F$4:$F$44))/NETWORKDAYS($K471,$L471,Assumptions!$F$4:$F$44))</f>
        <v>0.230769230769231</v>
      </c>
      <c r="AW471" s="21" t="n">
        <f aca="false">IF($J471=0,0,MAX(0,NETWORKDAYS(MAX($K471,AW$4),MIN($L471,EOMONTH(AW$4,0)),Assumptions!$F$4:$F$44))/NETWORKDAYS($K471,$L471,Assumptions!$F$4:$F$44))</f>
        <v>0.769230769230769</v>
      </c>
      <c r="AX471" s="21" t="n">
        <f aca="false">IF($J471=0,0,MAX(0,NETWORKDAYS(MAX($K471,AX$4),MIN($L471,EOMONTH(AX$4,0)),Assumptions!$F$4:$F$44))/NETWORKDAYS($K471,$L471,Assumptions!$F$4:$F$44))</f>
        <v>0</v>
      </c>
      <c r="AY471" s="21" t="n">
        <f aca="false">IF($J471=0,0,MAX(0,NETWORKDAYS(MAX($K471,AY$4),MIN($L471,EOMONTH(AY$4,0)),Assumptions!$F$4:$F$44))/NETWORKDAYS($K471,$L471,Assumptions!$F$4:$F$44))</f>
        <v>0</v>
      </c>
      <c r="AZ471" s="21" t="n">
        <f aca="false">IF($J471=0,0,MAX(0,NETWORKDAYS(MAX($K471,AZ$4),MIN($L471,EOMONTH(AZ$4,0)),Assumptions!$F$4:$F$44))/NETWORKDAYS($K471,$L471,Assumptions!$F$4:$F$44))</f>
        <v>0</v>
      </c>
      <c r="BA471" s="21" t="n">
        <f aca="false">IF($J471=0,0,MAX(0,NETWORKDAYS(MAX($K471,BA$4),MIN($L471,EOMONTH(BA$4,0)),Assumptions!$F$4:$F$44))/NETWORKDAYS($K471,$L471,Assumptions!$F$4:$F$44))</f>
        <v>0</v>
      </c>
      <c r="BB471" s="21" t="n">
        <f aca="false">IF($J471=0,0,MAX(0,NETWORKDAYS(MAX($K471,BB$4),MIN($L471,EOMONTH(BB$4,0)),Assumptions!$F$4:$F$44))/NETWORKDAYS($K471,$L471,Assumptions!$F$4:$F$44))</f>
        <v>0</v>
      </c>
      <c r="BC471" s="21" t="n">
        <f aca="false">IF($J471=0,0,MAX(0,NETWORKDAYS(MAX($K471,BC$4),MIN($L471,EOMONTH(BC$4,0)),Assumptions!$F$4:$F$44))/NETWORKDAYS($K471,$L471,Assumptions!$F$4:$F$44))</f>
        <v>0</v>
      </c>
    </row>
    <row r="472" customFormat="false" ht="15" hidden="false" customHeight="false" outlineLevel="2" collapsed="false">
      <c r="A472" s="27" t="n">
        <v>468</v>
      </c>
      <c r="B472" s="27" t="s">
        <v>971</v>
      </c>
      <c r="C472" s="27" t="n">
        <v>3</v>
      </c>
      <c r="D472" s="27" t="s">
        <v>92</v>
      </c>
      <c r="E472" s="28" t="s">
        <v>479</v>
      </c>
      <c r="F472" s="27" t="s">
        <v>846</v>
      </c>
      <c r="G472" s="27" t="s">
        <v>467</v>
      </c>
      <c r="H472" s="27" t="s">
        <v>61</v>
      </c>
      <c r="I472" s="29" t="n">
        <v>372</v>
      </c>
      <c r="J472" s="29" t="n">
        <v>13</v>
      </c>
      <c r="K472" s="30" t="n">
        <f aca="false">WORKDAY(Assumptions!$C$4,I472,Assumptions!$F$4:$F$44)</f>
        <v>46848</v>
      </c>
      <c r="L472" s="30" t="n">
        <f aca="false">IF(J472=0,K472,WORKDAY(K472,J472-1,Assumptions!$F$4:$F$44))</f>
        <v>46864</v>
      </c>
      <c r="M472" s="29"/>
      <c r="N472" s="31" t="n">
        <v>0</v>
      </c>
      <c r="O472" s="31" t="n">
        <v>5</v>
      </c>
      <c r="P472" s="31" t="n">
        <v>0</v>
      </c>
      <c r="Q472" s="31" t="n">
        <v>0</v>
      </c>
      <c r="R472" s="31" t="n">
        <v>0</v>
      </c>
      <c r="S472" s="31" t="n">
        <v>0</v>
      </c>
      <c r="T472" s="31" t="n">
        <v>0</v>
      </c>
      <c r="U472" s="31" t="n">
        <v>0</v>
      </c>
      <c r="V472" s="31" t="n">
        <v>0</v>
      </c>
      <c r="W472" s="31" t="n">
        <v>0</v>
      </c>
      <c r="X472" s="31" t="n">
        <v>15</v>
      </c>
      <c r="Y472" s="32" t="n">
        <f aca="false">SUM(N472:X472)</f>
        <v>20</v>
      </c>
      <c r="Z472" s="32" t="n">
        <f aca="false">Y472*(1+Assumptions!$C$5)</f>
        <v>23</v>
      </c>
      <c r="AA472" s="27" t="s">
        <v>480</v>
      </c>
      <c r="AB472" s="27" t="s">
        <v>95</v>
      </c>
      <c r="AC472" s="27"/>
      <c r="AD472" s="33" t="n">
        <v>0</v>
      </c>
      <c r="AF472" s="21" t="n">
        <f aca="false">IF($J472=0,0,MAX(0,NETWORKDAYS(MAX($K472,AF$4),MIN($L472,EOMONTH(AF$4,0)),Assumptions!$F$4:$F$44))/NETWORKDAYS($K472,$L472,Assumptions!$F$4:$F$44))</f>
        <v>0</v>
      </c>
      <c r="AG472" s="21" t="n">
        <f aca="false">IF($J472=0,0,MAX(0,NETWORKDAYS(MAX($K472,AG$4),MIN($L472,EOMONTH(AG$4,0)),Assumptions!$F$4:$F$44))/NETWORKDAYS($K472,$L472,Assumptions!$F$4:$F$44))</f>
        <v>0</v>
      </c>
      <c r="AH472" s="21" t="n">
        <f aca="false">IF($J472=0,0,MAX(0,NETWORKDAYS(MAX($K472,AH$4),MIN($L472,EOMONTH(AH$4,0)),Assumptions!$F$4:$F$44))/NETWORKDAYS($K472,$L472,Assumptions!$F$4:$F$44))</f>
        <v>0</v>
      </c>
      <c r="AI472" s="21" t="n">
        <f aca="false">IF($J472=0,0,MAX(0,NETWORKDAYS(MAX($K472,AI$4),MIN($L472,EOMONTH(AI$4,0)),Assumptions!$F$4:$F$44))/NETWORKDAYS($K472,$L472,Assumptions!$F$4:$F$44))</f>
        <v>0</v>
      </c>
      <c r="AJ472" s="21" t="n">
        <f aca="false">IF($J472=0,0,MAX(0,NETWORKDAYS(MAX($K472,AJ$4),MIN($L472,EOMONTH(AJ$4,0)),Assumptions!$F$4:$F$44))/NETWORKDAYS($K472,$L472,Assumptions!$F$4:$F$44))</f>
        <v>0</v>
      </c>
      <c r="AK472" s="21" t="n">
        <f aca="false">IF($J472=0,0,MAX(0,NETWORKDAYS(MAX($K472,AK$4),MIN($L472,EOMONTH(AK$4,0)),Assumptions!$F$4:$F$44))/NETWORKDAYS($K472,$L472,Assumptions!$F$4:$F$44))</f>
        <v>0</v>
      </c>
      <c r="AL472" s="21" t="n">
        <f aca="false">IF($J472=0,0,MAX(0,NETWORKDAYS(MAX($K472,AL$4),MIN($L472,EOMONTH(AL$4,0)),Assumptions!$F$4:$F$44))/NETWORKDAYS($K472,$L472,Assumptions!$F$4:$F$44))</f>
        <v>0</v>
      </c>
      <c r="AM472" s="21" t="n">
        <f aca="false">IF($J472=0,0,MAX(0,NETWORKDAYS(MAX($K472,AM$4),MIN($L472,EOMONTH(AM$4,0)),Assumptions!$F$4:$F$44))/NETWORKDAYS($K472,$L472,Assumptions!$F$4:$F$44))</f>
        <v>0</v>
      </c>
      <c r="AN472" s="21" t="n">
        <f aca="false">IF($J472=0,0,MAX(0,NETWORKDAYS(MAX($K472,AN$4),MIN($L472,EOMONTH(AN$4,0)),Assumptions!$F$4:$F$44))/NETWORKDAYS($K472,$L472,Assumptions!$F$4:$F$44))</f>
        <v>0</v>
      </c>
      <c r="AO472" s="21" t="n">
        <f aca="false">IF($J472=0,0,MAX(0,NETWORKDAYS(MAX($K472,AO$4),MIN($L472,EOMONTH(AO$4,0)),Assumptions!$F$4:$F$44))/NETWORKDAYS($K472,$L472,Assumptions!$F$4:$F$44))</f>
        <v>0</v>
      </c>
      <c r="AP472" s="21" t="n">
        <f aca="false">IF($J472=0,0,MAX(0,NETWORKDAYS(MAX($K472,AP$4),MIN($L472,EOMONTH(AP$4,0)),Assumptions!$F$4:$F$44))/NETWORKDAYS($K472,$L472,Assumptions!$F$4:$F$44))</f>
        <v>0</v>
      </c>
      <c r="AQ472" s="21" t="n">
        <f aca="false">IF($J472=0,0,MAX(0,NETWORKDAYS(MAX($K472,AQ$4),MIN($L472,EOMONTH(AQ$4,0)),Assumptions!$F$4:$F$44))/NETWORKDAYS($K472,$L472,Assumptions!$F$4:$F$44))</f>
        <v>0</v>
      </c>
      <c r="AR472" s="21" t="n">
        <f aca="false">IF($J472=0,0,MAX(0,NETWORKDAYS(MAX($K472,AR$4),MIN($L472,EOMONTH(AR$4,0)),Assumptions!$F$4:$F$44))/NETWORKDAYS($K472,$L472,Assumptions!$F$4:$F$44))</f>
        <v>0</v>
      </c>
      <c r="AS472" s="21" t="n">
        <f aca="false">IF($J472=0,0,MAX(0,NETWORKDAYS(MAX($K472,AS$4),MIN($L472,EOMONTH(AS$4,0)),Assumptions!$F$4:$F$44))/NETWORKDAYS($K472,$L472,Assumptions!$F$4:$F$44))</f>
        <v>0</v>
      </c>
      <c r="AT472" s="21" t="n">
        <f aca="false">IF($J472=0,0,MAX(0,NETWORKDAYS(MAX($K472,AT$4),MIN($L472,EOMONTH(AT$4,0)),Assumptions!$F$4:$F$44))/NETWORKDAYS($K472,$L472,Assumptions!$F$4:$F$44))</f>
        <v>0</v>
      </c>
      <c r="AU472" s="21" t="n">
        <f aca="false">IF($J472=0,0,MAX(0,NETWORKDAYS(MAX($K472,AU$4),MIN($L472,EOMONTH(AU$4,0)),Assumptions!$F$4:$F$44))/NETWORKDAYS($K472,$L472,Assumptions!$F$4:$F$44))</f>
        <v>0</v>
      </c>
      <c r="AV472" s="21" t="n">
        <f aca="false">IF($J472=0,0,MAX(0,NETWORKDAYS(MAX($K472,AV$4),MIN($L472,EOMONTH(AV$4,0)),Assumptions!$F$4:$F$44))/NETWORKDAYS($K472,$L472,Assumptions!$F$4:$F$44))</f>
        <v>0</v>
      </c>
      <c r="AW472" s="21" t="n">
        <f aca="false">IF($J472=0,0,MAX(0,NETWORKDAYS(MAX($K472,AW$4),MIN($L472,EOMONTH(AW$4,0)),Assumptions!$F$4:$F$44))/NETWORKDAYS($K472,$L472,Assumptions!$F$4:$F$44))</f>
        <v>1</v>
      </c>
      <c r="AX472" s="21" t="n">
        <f aca="false">IF($J472=0,0,MAX(0,NETWORKDAYS(MAX($K472,AX$4),MIN($L472,EOMONTH(AX$4,0)),Assumptions!$F$4:$F$44))/NETWORKDAYS($K472,$L472,Assumptions!$F$4:$F$44))</f>
        <v>0</v>
      </c>
      <c r="AY472" s="21" t="n">
        <f aca="false">IF($J472=0,0,MAX(0,NETWORKDAYS(MAX($K472,AY$4),MIN($L472,EOMONTH(AY$4,0)),Assumptions!$F$4:$F$44))/NETWORKDAYS($K472,$L472,Assumptions!$F$4:$F$44))</f>
        <v>0</v>
      </c>
      <c r="AZ472" s="21" t="n">
        <f aca="false">IF($J472=0,0,MAX(0,NETWORKDAYS(MAX($K472,AZ$4),MIN($L472,EOMONTH(AZ$4,0)),Assumptions!$F$4:$F$44))/NETWORKDAYS($K472,$L472,Assumptions!$F$4:$F$44))</f>
        <v>0</v>
      </c>
      <c r="BA472" s="21" t="n">
        <f aca="false">IF($J472=0,0,MAX(0,NETWORKDAYS(MAX($K472,BA$4),MIN($L472,EOMONTH(BA$4,0)),Assumptions!$F$4:$F$44))/NETWORKDAYS($K472,$L472,Assumptions!$F$4:$F$44))</f>
        <v>0</v>
      </c>
      <c r="BB472" s="21" t="n">
        <f aca="false">IF($J472=0,0,MAX(0,NETWORKDAYS(MAX($K472,BB$4),MIN($L472,EOMONTH(BB$4,0)),Assumptions!$F$4:$F$44))/NETWORKDAYS($K472,$L472,Assumptions!$F$4:$F$44))</f>
        <v>0</v>
      </c>
      <c r="BC472" s="21" t="n">
        <f aca="false">IF($J472=0,0,MAX(0,NETWORKDAYS(MAX($K472,BC$4),MIN($L472,EOMONTH(BC$4,0)),Assumptions!$F$4:$F$44))/NETWORKDAYS($K472,$L472,Assumptions!$F$4:$F$44))</f>
        <v>0</v>
      </c>
    </row>
    <row r="473" customFormat="false" ht="15" hidden="false" customHeight="false" outlineLevel="2" collapsed="false">
      <c r="A473" s="27" t="n">
        <v>469</v>
      </c>
      <c r="B473" s="27" t="s">
        <v>972</v>
      </c>
      <c r="C473" s="27" t="n">
        <v>3</v>
      </c>
      <c r="D473" s="27" t="s">
        <v>92</v>
      </c>
      <c r="E473" s="28" t="s">
        <v>482</v>
      </c>
      <c r="F473" s="27" t="s">
        <v>846</v>
      </c>
      <c r="G473" s="27" t="s">
        <v>467</v>
      </c>
      <c r="H473" s="27" t="s">
        <v>59</v>
      </c>
      <c r="I473" s="29" t="n">
        <v>375</v>
      </c>
      <c r="J473" s="29" t="n">
        <v>8</v>
      </c>
      <c r="K473" s="30" t="n">
        <f aca="false">WORKDAY(Assumptions!$C$4,I473,Assumptions!$F$4:$F$44)</f>
        <v>46853</v>
      </c>
      <c r="L473" s="30" t="n">
        <f aca="false">IF(J473=0,K473,WORKDAY(K473,J473-1,Assumptions!$F$4:$F$44))</f>
        <v>46862</v>
      </c>
      <c r="M473" s="29"/>
      <c r="N473" s="31" t="n">
        <v>0</v>
      </c>
      <c r="O473" s="31" t="n">
        <v>2</v>
      </c>
      <c r="P473" s="31" t="n">
        <v>0</v>
      </c>
      <c r="Q473" s="31" t="n">
        <v>0</v>
      </c>
      <c r="R473" s="31" t="n">
        <v>0</v>
      </c>
      <c r="S473" s="31" t="n">
        <v>0</v>
      </c>
      <c r="T473" s="31" t="n">
        <v>0</v>
      </c>
      <c r="U473" s="31" t="n">
        <v>3</v>
      </c>
      <c r="V473" s="31" t="n">
        <v>0</v>
      </c>
      <c r="W473" s="31" t="n">
        <v>8</v>
      </c>
      <c r="X473" s="31" t="n">
        <v>0</v>
      </c>
      <c r="Y473" s="32" t="n">
        <f aca="false">SUM(N473:X473)</f>
        <v>13</v>
      </c>
      <c r="Z473" s="32" t="n">
        <f aca="false">Y473*(1+Assumptions!$C$5)</f>
        <v>14.95</v>
      </c>
      <c r="AA473" s="27" t="s">
        <v>483</v>
      </c>
      <c r="AB473" s="27" t="s">
        <v>95</v>
      </c>
      <c r="AC473" s="27"/>
      <c r="AD473" s="33" t="n">
        <v>0</v>
      </c>
      <c r="AF473" s="21" t="n">
        <f aca="false">IF($J473=0,0,MAX(0,NETWORKDAYS(MAX($K473,AF$4),MIN($L473,EOMONTH(AF$4,0)),Assumptions!$F$4:$F$44))/NETWORKDAYS($K473,$L473,Assumptions!$F$4:$F$44))</f>
        <v>0</v>
      </c>
      <c r="AG473" s="21" t="n">
        <f aca="false">IF($J473=0,0,MAX(0,NETWORKDAYS(MAX($K473,AG$4),MIN($L473,EOMONTH(AG$4,0)),Assumptions!$F$4:$F$44))/NETWORKDAYS($K473,$L473,Assumptions!$F$4:$F$44))</f>
        <v>0</v>
      </c>
      <c r="AH473" s="21" t="n">
        <f aca="false">IF($J473=0,0,MAX(0,NETWORKDAYS(MAX($K473,AH$4),MIN($L473,EOMONTH(AH$4,0)),Assumptions!$F$4:$F$44))/NETWORKDAYS($K473,$L473,Assumptions!$F$4:$F$44))</f>
        <v>0</v>
      </c>
      <c r="AI473" s="21" t="n">
        <f aca="false">IF($J473=0,0,MAX(0,NETWORKDAYS(MAX($K473,AI$4),MIN($L473,EOMONTH(AI$4,0)),Assumptions!$F$4:$F$44))/NETWORKDAYS($K473,$L473,Assumptions!$F$4:$F$44))</f>
        <v>0</v>
      </c>
      <c r="AJ473" s="21" t="n">
        <f aca="false">IF($J473=0,0,MAX(0,NETWORKDAYS(MAX($K473,AJ$4),MIN($L473,EOMONTH(AJ$4,0)),Assumptions!$F$4:$F$44))/NETWORKDAYS($K473,$L473,Assumptions!$F$4:$F$44))</f>
        <v>0</v>
      </c>
      <c r="AK473" s="21" t="n">
        <f aca="false">IF($J473=0,0,MAX(0,NETWORKDAYS(MAX($K473,AK$4),MIN($L473,EOMONTH(AK$4,0)),Assumptions!$F$4:$F$44))/NETWORKDAYS($K473,$L473,Assumptions!$F$4:$F$44))</f>
        <v>0</v>
      </c>
      <c r="AL473" s="21" t="n">
        <f aca="false">IF($J473=0,0,MAX(0,NETWORKDAYS(MAX($K473,AL$4),MIN($L473,EOMONTH(AL$4,0)),Assumptions!$F$4:$F$44))/NETWORKDAYS($K473,$L473,Assumptions!$F$4:$F$44))</f>
        <v>0</v>
      </c>
      <c r="AM473" s="21" t="n">
        <f aca="false">IF($J473=0,0,MAX(0,NETWORKDAYS(MAX($K473,AM$4),MIN($L473,EOMONTH(AM$4,0)),Assumptions!$F$4:$F$44))/NETWORKDAYS($K473,$L473,Assumptions!$F$4:$F$44))</f>
        <v>0</v>
      </c>
      <c r="AN473" s="21" t="n">
        <f aca="false">IF($J473=0,0,MAX(0,NETWORKDAYS(MAX($K473,AN$4),MIN($L473,EOMONTH(AN$4,0)),Assumptions!$F$4:$F$44))/NETWORKDAYS($K473,$L473,Assumptions!$F$4:$F$44))</f>
        <v>0</v>
      </c>
      <c r="AO473" s="21" t="n">
        <f aca="false">IF($J473=0,0,MAX(0,NETWORKDAYS(MAX($K473,AO$4),MIN($L473,EOMONTH(AO$4,0)),Assumptions!$F$4:$F$44))/NETWORKDAYS($K473,$L473,Assumptions!$F$4:$F$44))</f>
        <v>0</v>
      </c>
      <c r="AP473" s="21" t="n">
        <f aca="false">IF($J473=0,0,MAX(0,NETWORKDAYS(MAX($K473,AP$4),MIN($L473,EOMONTH(AP$4,0)),Assumptions!$F$4:$F$44))/NETWORKDAYS($K473,$L473,Assumptions!$F$4:$F$44))</f>
        <v>0</v>
      </c>
      <c r="AQ473" s="21" t="n">
        <f aca="false">IF($J473=0,0,MAX(0,NETWORKDAYS(MAX($K473,AQ$4),MIN($L473,EOMONTH(AQ$4,0)),Assumptions!$F$4:$F$44))/NETWORKDAYS($K473,$L473,Assumptions!$F$4:$F$44))</f>
        <v>0</v>
      </c>
      <c r="AR473" s="21" t="n">
        <f aca="false">IF($J473=0,0,MAX(0,NETWORKDAYS(MAX($K473,AR$4),MIN($L473,EOMONTH(AR$4,0)),Assumptions!$F$4:$F$44))/NETWORKDAYS($K473,$L473,Assumptions!$F$4:$F$44))</f>
        <v>0</v>
      </c>
      <c r="AS473" s="21" t="n">
        <f aca="false">IF($J473=0,0,MAX(0,NETWORKDAYS(MAX($K473,AS$4),MIN($L473,EOMONTH(AS$4,0)),Assumptions!$F$4:$F$44))/NETWORKDAYS($K473,$L473,Assumptions!$F$4:$F$44))</f>
        <v>0</v>
      </c>
      <c r="AT473" s="21" t="n">
        <f aca="false">IF($J473=0,0,MAX(0,NETWORKDAYS(MAX($K473,AT$4),MIN($L473,EOMONTH(AT$4,0)),Assumptions!$F$4:$F$44))/NETWORKDAYS($K473,$L473,Assumptions!$F$4:$F$44))</f>
        <v>0</v>
      </c>
      <c r="AU473" s="21" t="n">
        <f aca="false">IF($J473=0,0,MAX(0,NETWORKDAYS(MAX($K473,AU$4),MIN($L473,EOMONTH(AU$4,0)),Assumptions!$F$4:$F$44))/NETWORKDAYS($K473,$L473,Assumptions!$F$4:$F$44))</f>
        <v>0</v>
      </c>
      <c r="AV473" s="21" t="n">
        <f aca="false">IF($J473=0,0,MAX(0,NETWORKDAYS(MAX($K473,AV$4),MIN($L473,EOMONTH(AV$4,0)),Assumptions!$F$4:$F$44))/NETWORKDAYS($K473,$L473,Assumptions!$F$4:$F$44))</f>
        <v>0</v>
      </c>
      <c r="AW473" s="21" t="n">
        <f aca="false">IF($J473=0,0,MAX(0,NETWORKDAYS(MAX($K473,AW$4),MIN($L473,EOMONTH(AW$4,0)),Assumptions!$F$4:$F$44))/NETWORKDAYS($K473,$L473,Assumptions!$F$4:$F$44))</f>
        <v>1</v>
      </c>
      <c r="AX473" s="21" t="n">
        <f aca="false">IF($J473=0,0,MAX(0,NETWORKDAYS(MAX($K473,AX$4),MIN($L473,EOMONTH(AX$4,0)),Assumptions!$F$4:$F$44))/NETWORKDAYS($K473,$L473,Assumptions!$F$4:$F$44))</f>
        <v>0</v>
      </c>
      <c r="AY473" s="21" t="n">
        <f aca="false">IF($J473=0,0,MAX(0,NETWORKDAYS(MAX($K473,AY$4),MIN($L473,EOMONTH(AY$4,0)),Assumptions!$F$4:$F$44))/NETWORKDAYS($K473,$L473,Assumptions!$F$4:$F$44))</f>
        <v>0</v>
      </c>
      <c r="AZ473" s="21" t="n">
        <f aca="false">IF($J473=0,0,MAX(0,NETWORKDAYS(MAX($K473,AZ$4),MIN($L473,EOMONTH(AZ$4,0)),Assumptions!$F$4:$F$44))/NETWORKDAYS($K473,$L473,Assumptions!$F$4:$F$44))</f>
        <v>0</v>
      </c>
      <c r="BA473" s="21" t="n">
        <f aca="false">IF($J473=0,0,MAX(0,NETWORKDAYS(MAX($K473,BA$4),MIN($L473,EOMONTH(BA$4,0)),Assumptions!$F$4:$F$44))/NETWORKDAYS($K473,$L473,Assumptions!$F$4:$F$44))</f>
        <v>0</v>
      </c>
      <c r="BB473" s="21" t="n">
        <f aca="false">IF($J473=0,0,MAX(0,NETWORKDAYS(MAX($K473,BB$4),MIN($L473,EOMONTH(BB$4,0)),Assumptions!$F$4:$F$44))/NETWORKDAYS($K473,$L473,Assumptions!$F$4:$F$44))</f>
        <v>0</v>
      </c>
      <c r="BC473" s="21" t="n">
        <f aca="false">IF($J473=0,0,MAX(0,NETWORKDAYS(MAX($K473,BC$4),MIN($L473,EOMONTH(BC$4,0)),Assumptions!$F$4:$F$44))/NETWORKDAYS($K473,$L473,Assumptions!$F$4:$F$44))</f>
        <v>0</v>
      </c>
    </row>
    <row r="474" customFormat="false" ht="15" hidden="false" customHeight="false" outlineLevel="2" collapsed="false">
      <c r="A474" s="27" t="n">
        <v>470</v>
      </c>
      <c r="B474" s="27" t="s">
        <v>973</v>
      </c>
      <c r="C474" s="27" t="n">
        <v>3</v>
      </c>
      <c r="D474" s="27" t="s">
        <v>92</v>
      </c>
      <c r="E474" s="28" t="s">
        <v>485</v>
      </c>
      <c r="F474" s="27" t="s">
        <v>846</v>
      </c>
      <c r="G474" s="27" t="s">
        <v>467</v>
      </c>
      <c r="H474" s="27" t="s">
        <v>55</v>
      </c>
      <c r="I474" s="29" t="n">
        <v>383</v>
      </c>
      <c r="J474" s="29" t="n">
        <v>3</v>
      </c>
      <c r="K474" s="30" t="n">
        <f aca="false">WORKDAY(Assumptions!$C$4,I474,Assumptions!$F$4:$F$44)</f>
        <v>46863</v>
      </c>
      <c r="L474" s="30" t="n">
        <f aca="false">IF(J474=0,K474,WORKDAY(K474,J474-1,Assumptions!$F$4:$F$44))</f>
        <v>46867</v>
      </c>
      <c r="M474" s="29" t="s">
        <v>974</v>
      </c>
      <c r="N474" s="31" t="n">
        <v>0</v>
      </c>
      <c r="O474" s="31" t="n">
        <v>0</v>
      </c>
      <c r="P474" s="31" t="n">
        <v>0</v>
      </c>
      <c r="Q474" s="31" t="n">
        <v>4</v>
      </c>
      <c r="R474" s="31" t="n">
        <v>0</v>
      </c>
      <c r="S474" s="31" t="n">
        <v>0</v>
      </c>
      <c r="T474" s="31" t="n">
        <v>0</v>
      </c>
      <c r="U474" s="31" t="n">
        <v>5</v>
      </c>
      <c r="V474" s="31" t="n">
        <v>3</v>
      </c>
      <c r="W474" s="31" t="n">
        <v>4</v>
      </c>
      <c r="X474" s="31" t="n">
        <v>0</v>
      </c>
      <c r="Y474" s="32" t="n">
        <f aca="false">SUM(N474:X474)</f>
        <v>16</v>
      </c>
      <c r="Z474" s="32" t="n">
        <f aca="false">Y474*(1+Assumptions!$C$5)</f>
        <v>18.4</v>
      </c>
      <c r="AA474" s="27" t="s">
        <v>487</v>
      </c>
      <c r="AB474" s="27" t="s">
        <v>95</v>
      </c>
      <c r="AC474" s="27"/>
      <c r="AD474" s="33" t="n">
        <v>0</v>
      </c>
      <c r="AF474" s="21" t="n">
        <f aca="false">IF($J474=0,0,MAX(0,NETWORKDAYS(MAX($K474,AF$4),MIN($L474,EOMONTH(AF$4,0)),Assumptions!$F$4:$F$44))/NETWORKDAYS($K474,$L474,Assumptions!$F$4:$F$44))</f>
        <v>0</v>
      </c>
      <c r="AG474" s="21" t="n">
        <f aca="false">IF($J474=0,0,MAX(0,NETWORKDAYS(MAX($K474,AG$4),MIN($L474,EOMONTH(AG$4,0)),Assumptions!$F$4:$F$44))/NETWORKDAYS($K474,$L474,Assumptions!$F$4:$F$44))</f>
        <v>0</v>
      </c>
      <c r="AH474" s="21" t="n">
        <f aca="false">IF($J474=0,0,MAX(0,NETWORKDAYS(MAX($K474,AH$4),MIN($L474,EOMONTH(AH$4,0)),Assumptions!$F$4:$F$44))/NETWORKDAYS($K474,$L474,Assumptions!$F$4:$F$44))</f>
        <v>0</v>
      </c>
      <c r="AI474" s="21" t="n">
        <f aca="false">IF($J474=0,0,MAX(0,NETWORKDAYS(MAX($K474,AI$4),MIN($L474,EOMONTH(AI$4,0)),Assumptions!$F$4:$F$44))/NETWORKDAYS($K474,$L474,Assumptions!$F$4:$F$44))</f>
        <v>0</v>
      </c>
      <c r="AJ474" s="21" t="n">
        <f aca="false">IF($J474=0,0,MAX(0,NETWORKDAYS(MAX($K474,AJ$4),MIN($L474,EOMONTH(AJ$4,0)),Assumptions!$F$4:$F$44))/NETWORKDAYS($K474,$L474,Assumptions!$F$4:$F$44))</f>
        <v>0</v>
      </c>
      <c r="AK474" s="21" t="n">
        <f aca="false">IF($J474=0,0,MAX(0,NETWORKDAYS(MAX($K474,AK$4),MIN($L474,EOMONTH(AK$4,0)),Assumptions!$F$4:$F$44))/NETWORKDAYS($K474,$L474,Assumptions!$F$4:$F$44))</f>
        <v>0</v>
      </c>
      <c r="AL474" s="21" t="n">
        <f aca="false">IF($J474=0,0,MAX(0,NETWORKDAYS(MAX($K474,AL$4),MIN($L474,EOMONTH(AL$4,0)),Assumptions!$F$4:$F$44))/NETWORKDAYS($K474,$L474,Assumptions!$F$4:$F$44))</f>
        <v>0</v>
      </c>
      <c r="AM474" s="21" t="n">
        <f aca="false">IF($J474=0,0,MAX(0,NETWORKDAYS(MAX($K474,AM$4),MIN($L474,EOMONTH(AM$4,0)),Assumptions!$F$4:$F$44))/NETWORKDAYS($K474,$L474,Assumptions!$F$4:$F$44))</f>
        <v>0</v>
      </c>
      <c r="AN474" s="21" t="n">
        <f aca="false">IF($J474=0,0,MAX(0,NETWORKDAYS(MAX($K474,AN$4),MIN($L474,EOMONTH(AN$4,0)),Assumptions!$F$4:$F$44))/NETWORKDAYS($K474,$L474,Assumptions!$F$4:$F$44))</f>
        <v>0</v>
      </c>
      <c r="AO474" s="21" t="n">
        <f aca="false">IF($J474=0,0,MAX(0,NETWORKDAYS(MAX($K474,AO$4),MIN($L474,EOMONTH(AO$4,0)),Assumptions!$F$4:$F$44))/NETWORKDAYS($K474,$L474,Assumptions!$F$4:$F$44))</f>
        <v>0</v>
      </c>
      <c r="AP474" s="21" t="n">
        <f aca="false">IF($J474=0,0,MAX(0,NETWORKDAYS(MAX($K474,AP$4),MIN($L474,EOMONTH(AP$4,0)),Assumptions!$F$4:$F$44))/NETWORKDAYS($K474,$L474,Assumptions!$F$4:$F$44))</f>
        <v>0</v>
      </c>
      <c r="AQ474" s="21" t="n">
        <f aca="false">IF($J474=0,0,MAX(0,NETWORKDAYS(MAX($K474,AQ$4),MIN($L474,EOMONTH(AQ$4,0)),Assumptions!$F$4:$F$44))/NETWORKDAYS($K474,$L474,Assumptions!$F$4:$F$44))</f>
        <v>0</v>
      </c>
      <c r="AR474" s="21" t="n">
        <f aca="false">IF($J474=0,0,MAX(0,NETWORKDAYS(MAX($K474,AR$4),MIN($L474,EOMONTH(AR$4,0)),Assumptions!$F$4:$F$44))/NETWORKDAYS($K474,$L474,Assumptions!$F$4:$F$44))</f>
        <v>0</v>
      </c>
      <c r="AS474" s="21" t="n">
        <f aca="false">IF($J474=0,0,MAX(0,NETWORKDAYS(MAX($K474,AS$4),MIN($L474,EOMONTH(AS$4,0)),Assumptions!$F$4:$F$44))/NETWORKDAYS($K474,$L474,Assumptions!$F$4:$F$44))</f>
        <v>0</v>
      </c>
      <c r="AT474" s="21" t="n">
        <f aca="false">IF($J474=0,0,MAX(0,NETWORKDAYS(MAX($K474,AT$4),MIN($L474,EOMONTH(AT$4,0)),Assumptions!$F$4:$F$44))/NETWORKDAYS($K474,$L474,Assumptions!$F$4:$F$44))</f>
        <v>0</v>
      </c>
      <c r="AU474" s="21" t="n">
        <f aca="false">IF($J474=0,0,MAX(0,NETWORKDAYS(MAX($K474,AU$4),MIN($L474,EOMONTH(AU$4,0)),Assumptions!$F$4:$F$44))/NETWORKDAYS($K474,$L474,Assumptions!$F$4:$F$44))</f>
        <v>0</v>
      </c>
      <c r="AV474" s="21" t="n">
        <f aca="false">IF($J474=0,0,MAX(0,NETWORKDAYS(MAX($K474,AV$4),MIN($L474,EOMONTH(AV$4,0)),Assumptions!$F$4:$F$44))/NETWORKDAYS($K474,$L474,Assumptions!$F$4:$F$44))</f>
        <v>0</v>
      </c>
      <c r="AW474" s="21" t="n">
        <f aca="false">IF($J474=0,0,MAX(0,NETWORKDAYS(MAX($K474,AW$4),MIN($L474,EOMONTH(AW$4,0)),Assumptions!$F$4:$F$44))/NETWORKDAYS($K474,$L474,Assumptions!$F$4:$F$44))</f>
        <v>1</v>
      </c>
      <c r="AX474" s="21" t="n">
        <f aca="false">IF($J474=0,0,MAX(0,NETWORKDAYS(MAX($K474,AX$4),MIN($L474,EOMONTH(AX$4,0)),Assumptions!$F$4:$F$44))/NETWORKDAYS($K474,$L474,Assumptions!$F$4:$F$44))</f>
        <v>0</v>
      </c>
      <c r="AY474" s="21" t="n">
        <f aca="false">IF($J474=0,0,MAX(0,NETWORKDAYS(MAX($K474,AY$4),MIN($L474,EOMONTH(AY$4,0)),Assumptions!$F$4:$F$44))/NETWORKDAYS($K474,$L474,Assumptions!$F$4:$F$44))</f>
        <v>0</v>
      </c>
      <c r="AZ474" s="21" t="n">
        <f aca="false">IF($J474=0,0,MAX(0,NETWORKDAYS(MAX($K474,AZ$4),MIN($L474,EOMONTH(AZ$4,0)),Assumptions!$F$4:$F$44))/NETWORKDAYS($K474,$L474,Assumptions!$F$4:$F$44))</f>
        <v>0</v>
      </c>
      <c r="BA474" s="21" t="n">
        <f aca="false">IF($J474=0,0,MAX(0,NETWORKDAYS(MAX($K474,BA$4),MIN($L474,EOMONTH(BA$4,0)),Assumptions!$F$4:$F$44))/NETWORKDAYS($K474,$L474,Assumptions!$F$4:$F$44))</f>
        <v>0</v>
      </c>
      <c r="BB474" s="21" t="n">
        <f aca="false">IF($J474=0,0,MAX(0,NETWORKDAYS(MAX($K474,BB$4),MIN($L474,EOMONTH(BB$4,0)),Assumptions!$F$4:$F$44))/NETWORKDAYS($K474,$L474,Assumptions!$F$4:$F$44))</f>
        <v>0</v>
      </c>
      <c r="BC474" s="21" t="n">
        <f aca="false">IF($J474=0,0,MAX(0,NETWORKDAYS(MAX($K474,BC$4),MIN($L474,EOMONTH(BC$4,0)),Assumptions!$F$4:$F$44))/NETWORKDAYS($K474,$L474,Assumptions!$F$4:$F$44))</f>
        <v>0</v>
      </c>
    </row>
    <row r="475" customFormat="false" ht="15" hidden="false" customHeight="false" outlineLevel="1" collapsed="false">
      <c r="A475" s="34" t="n">
        <v>471</v>
      </c>
      <c r="B475" s="34" t="s">
        <v>975</v>
      </c>
      <c r="C475" s="34" t="n">
        <v>2</v>
      </c>
      <c r="D475" s="34" t="s">
        <v>149</v>
      </c>
      <c r="E475" s="35" t="s">
        <v>976</v>
      </c>
      <c r="F475" s="34" t="s">
        <v>846</v>
      </c>
      <c r="G475" s="34"/>
      <c r="H475" s="34"/>
      <c r="I475" s="36" t="n">
        <v>385</v>
      </c>
      <c r="J475" s="36" t="n">
        <v>0</v>
      </c>
      <c r="K475" s="37" t="n">
        <f aca="false">WORKDAY(Assumptions!$C$4,I475,Assumptions!$F$4:$F$44)</f>
        <v>46867</v>
      </c>
      <c r="L475" s="37" t="n">
        <f aca="false">IF(J475=0,K475,WORKDAY(K475,J475-1,Assumptions!$F$4:$F$44))</f>
        <v>46867</v>
      </c>
      <c r="M475" s="36" t="s">
        <v>977</v>
      </c>
      <c r="N475" s="38" t="n">
        <v>0</v>
      </c>
      <c r="O475" s="38" t="n">
        <v>0</v>
      </c>
      <c r="P475" s="38" t="n">
        <v>0</v>
      </c>
      <c r="Q475" s="38" t="n">
        <v>0</v>
      </c>
      <c r="R475" s="38" t="n">
        <v>0</v>
      </c>
      <c r="S475" s="38" t="n">
        <v>0</v>
      </c>
      <c r="T475" s="38" t="n">
        <v>0</v>
      </c>
      <c r="U475" s="38" t="n">
        <v>0</v>
      </c>
      <c r="V475" s="38" t="n">
        <v>0</v>
      </c>
      <c r="W475" s="38" t="n">
        <v>0</v>
      </c>
      <c r="X475" s="38" t="n">
        <v>0</v>
      </c>
      <c r="Y475" s="38" t="n">
        <f aca="false">SUM(N475:X475)</f>
        <v>0</v>
      </c>
      <c r="Z475" s="38" t="n">
        <f aca="false">Y475*(1+Assumptions!$C$5)</f>
        <v>0</v>
      </c>
      <c r="AA475" s="34"/>
      <c r="AB475" s="34" t="s">
        <v>95</v>
      </c>
      <c r="AC475" s="34"/>
      <c r="AD475" s="39" t="n">
        <v>0</v>
      </c>
      <c r="AF475" s="21" t="n">
        <v>0</v>
      </c>
      <c r="AG475" s="21" t="n">
        <v>0</v>
      </c>
      <c r="AH475" s="21" t="n">
        <v>0</v>
      </c>
      <c r="AI475" s="21" t="n">
        <v>0</v>
      </c>
      <c r="AJ475" s="21" t="n">
        <v>0</v>
      </c>
      <c r="AK475" s="21" t="n">
        <v>0</v>
      </c>
      <c r="AL475" s="21" t="n">
        <v>0</v>
      </c>
      <c r="AM475" s="21" t="n">
        <v>0</v>
      </c>
      <c r="AN475" s="21" t="n">
        <v>0</v>
      </c>
      <c r="AO475" s="21" t="n">
        <v>0</v>
      </c>
      <c r="AP475" s="21" t="n">
        <v>0</v>
      </c>
      <c r="AQ475" s="21" t="n">
        <v>0</v>
      </c>
      <c r="AR475" s="21" t="n">
        <v>0</v>
      </c>
      <c r="AS475" s="21" t="n">
        <v>0</v>
      </c>
      <c r="AT475" s="21" t="n">
        <v>0</v>
      </c>
      <c r="AU475" s="21" t="n">
        <v>0</v>
      </c>
      <c r="AV475" s="21" t="n">
        <v>0</v>
      </c>
      <c r="AW475" s="21" t="n">
        <v>0</v>
      </c>
      <c r="AX475" s="21" t="n">
        <v>0</v>
      </c>
      <c r="AY475" s="21" t="n">
        <v>0</v>
      </c>
      <c r="AZ475" s="21" t="n">
        <v>0</v>
      </c>
      <c r="BA475" s="21" t="n">
        <v>0</v>
      </c>
      <c r="BB475" s="21" t="n">
        <v>0</v>
      </c>
      <c r="BC475" s="21" t="n">
        <v>0</v>
      </c>
    </row>
    <row r="476" customFormat="false" ht="15" hidden="false" customHeight="false" outlineLevel="2" collapsed="false">
      <c r="A476" s="27" t="n">
        <v>472</v>
      </c>
      <c r="B476" s="27" t="s">
        <v>978</v>
      </c>
      <c r="C476" s="27" t="n">
        <v>3</v>
      </c>
      <c r="D476" s="27" t="s">
        <v>92</v>
      </c>
      <c r="E476" s="28" t="s">
        <v>492</v>
      </c>
      <c r="F476" s="27" t="s">
        <v>846</v>
      </c>
      <c r="G476" s="27" t="s">
        <v>467</v>
      </c>
      <c r="H476" s="27" t="s">
        <v>47</v>
      </c>
      <c r="I476" s="29" t="n">
        <v>385</v>
      </c>
      <c r="J476" s="29" t="n">
        <v>20</v>
      </c>
      <c r="K476" s="30" t="n">
        <f aca="false">WORKDAY(Assumptions!$C$4,I476,Assumptions!$F$4:$F$44)</f>
        <v>46867</v>
      </c>
      <c r="L476" s="30" t="n">
        <f aca="false">IF(J476=0,K476,WORKDAY(K476,J476-1,Assumptions!$F$4:$F$44))</f>
        <v>46892</v>
      </c>
      <c r="M476" s="29" t="s">
        <v>979</v>
      </c>
      <c r="N476" s="31" t="n">
        <v>0</v>
      </c>
      <c r="O476" s="31" t="n">
        <v>5</v>
      </c>
      <c r="P476" s="31" t="n">
        <v>0</v>
      </c>
      <c r="Q476" s="31" t="n">
        <v>12</v>
      </c>
      <c r="R476" s="31" t="n">
        <v>4</v>
      </c>
      <c r="S476" s="31" t="n">
        <v>0</v>
      </c>
      <c r="T476" s="31" t="n">
        <v>0</v>
      </c>
      <c r="U476" s="31" t="n">
        <v>4</v>
      </c>
      <c r="V476" s="31" t="n">
        <v>4</v>
      </c>
      <c r="W476" s="31" t="n">
        <v>0</v>
      </c>
      <c r="X476" s="31" t="n">
        <v>0</v>
      </c>
      <c r="Y476" s="32" t="n">
        <f aca="false">SUM(N476:X476)</f>
        <v>29</v>
      </c>
      <c r="Z476" s="32" t="n">
        <f aca="false">Y476*(1+Assumptions!$C$5)</f>
        <v>33.35</v>
      </c>
      <c r="AA476" s="27" t="s">
        <v>494</v>
      </c>
      <c r="AB476" s="27" t="s">
        <v>95</v>
      </c>
      <c r="AC476" s="27"/>
      <c r="AD476" s="33" t="n">
        <v>0</v>
      </c>
      <c r="AF476" s="21" t="n">
        <f aca="false">IF($J476=0,0,MAX(0,NETWORKDAYS(MAX($K476,AF$4),MIN($L476,EOMONTH(AF$4,0)),Assumptions!$F$4:$F$44))/NETWORKDAYS($K476,$L476,Assumptions!$F$4:$F$44))</f>
        <v>0</v>
      </c>
      <c r="AG476" s="21" t="n">
        <f aca="false">IF($J476=0,0,MAX(0,NETWORKDAYS(MAX($K476,AG$4),MIN($L476,EOMONTH(AG$4,0)),Assumptions!$F$4:$F$44))/NETWORKDAYS($K476,$L476,Assumptions!$F$4:$F$44))</f>
        <v>0</v>
      </c>
      <c r="AH476" s="21" t="n">
        <f aca="false">IF($J476=0,0,MAX(0,NETWORKDAYS(MAX($K476,AH$4),MIN($L476,EOMONTH(AH$4,0)),Assumptions!$F$4:$F$44))/NETWORKDAYS($K476,$L476,Assumptions!$F$4:$F$44))</f>
        <v>0</v>
      </c>
      <c r="AI476" s="21" t="n">
        <f aca="false">IF($J476=0,0,MAX(0,NETWORKDAYS(MAX($K476,AI$4),MIN($L476,EOMONTH(AI$4,0)),Assumptions!$F$4:$F$44))/NETWORKDAYS($K476,$L476,Assumptions!$F$4:$F$44))</f>
        <v>0</v>
      </c>
      <c r="AJ476" s="21" t="n">
        <f aca="false">IF($J476=0,0,MAX(0,NETWORKDAYS(MAX($K476,AJ$4),MIN($L476,EOMONTH(AJ$4,0)),Assumptions!$F$4:$F$44))/NETWORKDAYS($K476,$L476,Assumptions!$F$4:$F$44))</f>
        <v>0</v>
      </c>
      <c r="AK476" s="21" t="n">
        <f aca="false">IF($J476=0,0,MAX(0,NETWORKDAYS(MAX($K476,AK$4),MIN($L476,EOMONTH(AK$4,0)),Assumptions!$F$4:$F$44))/NETWORKDAYS($K476,$L476,Assumptions!$F$4:$F$44))</f>
        <v>0</v>
      </c>
      <c r="AL476" s="21" t="n">
        <f aca="false">IF($J476=0,0,MAX(0,NETWORKDAYS(MAX($K476,AL$4),MIN($L476,EOMONTH(AL$4,0)),Assumptions!$F$4:$F$44))/NETWORKDAYS($K476,$L476,Assumptions!$F$4:$F$44))</f>
        <v>0</v>
      </c>
      <c r="AM476" s="21" t="n">
        <f aca="false">IF($J476=0,0,MAX(0,NETWORKDAYS(MAX($K476,AM$4),MIN($L476,EOMONTH(AM$4,0)),Assumptions!$F$4:$F$44))/NETWORKDAYS($K476,$L476,Assumptions!$F$4:$F$44))</f>
        <v>0</v>
      </c>
      <c r="AN476" s="21" t="n">
        <f aca="false">IF($J476=0,0,MAX(0,NETWORKDAYS(MAX($K476,AN$4),MIN($L476,EOMONTH(AN$4,0)),Assumptions!$F$4:$F$44))/NETWORKDAYS($K476,$L476,Assumptions!$F$4:$F$44))</f>
        <v>0</v>
      </c>
      <c r="AO476" s="21" t="n">
        <f aca="false">IF($J476=0,0,MAX(0,NETWORKDAYS(MAX($K476,AO$4),MIN($L476,EOMONTH(AO$4,0)),Assumptions!$F$4:$F$44))/NETWORKDAYS($K476,$L476,Assumptions!$F$4:$F$44))</f>
        <v>0</v>
      </c>
      <c r="AP476" s="21" t="n">
        <f aca="false">IF($J476=0,0,MAX(0,NETWORKDAYS(MAX($K476,AP$4),MIN($L476,EOMONTH(AP$4,0)),Assumptions!$F$4:$F$44))/NETWORKDAYS($K476,$L476,Assumptions!$F$4:$F$44))</f>
        <v>0</v>
      </c>
      <c r="AQ476" s="21" t="n">
        <f aca="false">IF($J476=0,0,MAX(0,NETWORKDAYS(MAX($K476,AQ$4),MIN($L476,EOMONTH(AQ$4,0)),Assumptions!$F$4:$F$44))/NETWORKDAYS($K476,$L476,Assumptions!$F$4:$F$44))</f>
        <v>0</v>
      </c>
      <c r="AR476" s="21" t="n">
        <f aca="false">IF($J476=0,0,MAX(0,NETWORKDAYS(MAX($K476,AR$4),MIN($L476,EOMONTH(AR$4,0)),Assumptions!$F$4:$F$44))/NETWORKDAYS($K476,$L476,Assumptions!$F$4:$F$44))</f>
        <v>0</v>
      </c>
      <c r="AS476" s="21" t="n">
        <f aca="false">IF($J476=0,0,MAX(0,NETWORKDAYS(MAX($K476,AS$4),MIN($L476,EOMONTH(AS$4,0)),Assumptions!$F$4:$F$44))/NETWORKDAYS($K476,$L476,Assumptions!$F$4:$F$44))</f>
        <v>0</v>
      </c>
      <c r="AT476" s="21" t="n">
        <f aca="false">IF($J476=0,0,MAX(0,NETWORKDAYS(MAX($K476,AT$4),MIN($L476,EOMONTH(AT$4,0)),Assumptions!$F$4:$F$44))/NETWORKDAYS($K476,$L476,Assumptions!$F$4:$F$44))</f>
        <v>0</v>
      </c>
      <c r="AU476" s="21" t="n">
        <f aca="false">IF($J476=0,0,MAX(0,NETWORKDAYS(MAX($K476,AU$4),MIN($L476,EOMONTH(AU$4,0)),Assumptions!$F$4:$F$44))/NETWORKDAYS($K476,$L476,Assumptions!$F$4:$F$44))</f>
        <v>0</v>
      </c>
      <c r="AV476" s="21" t="n">
        <f aca="false">IF($J476=0,0,MAX(0,NETWORKDAYS(MAX($K476,AV$4),MIN($L476,EOMONTH(AV$4,0)),Assumptions!$F$4:$F$44))/NETWORKDAYS($K476,$L476,Assumptions!$F$4:$F$44))</f>
        <v>0</v>
      </c>
      <c r="AW476" s="21" t="n">
        <f aca="false">IF($J476=0,0,MAX(0,NETWORKDAYS(MAX($K476,AW$4),MIN($L476,EOMONTH(AW$4,0)),Assumptions!$F$4:$F$44))/NETWORKDAYS($K476,$L476,Assumptions!$F$4:$F$44))</f>
        <v>0.25</v>
      </c>
      <c r="AX476" s="21" t="n">
        <f aca="false">IF($J476=0,0,MAX(0,NETWORKDAYS(MAX($K476,AX$4),MIN($L476,EOMONTH(AX$4,0)),Assumptions!$F$4:$F$44))/NETWORKDAYS($K476,$L476,Assumptions!$F$4:$F$44))</f>
        <v>0.75</v>
      </c>
      <c r="AY476" s="21" t="n">
        <f aca="false">IF($J476=0,0,MAX(0,NETWORKDAYS(MAX($K476,AY$4),MIN($L476,EOMONTH(AY$4,0)),Assumptions!$F$4:$F$44))/NETWORKDAYS($K476,$L476,Assumptions!$F$4:$F$44))</f>
        <v>0</v>
      </c>
      <c r="AZ476" s="21" t="n">
        <f aca="false">IF($J476=0,0,MAX(0,NETWORKDAYS(MAX($K476,AZ$4),MIN($L476,EOMONTH(AZ$4,0)),Assumptions!$F$4:$F$44))/NETWORKDAYS($K476,$L476,Assumptions!$F$4:$F$44))</f>
        <v>0</v>
      </c>
      <c r="BA476" s="21" t="n">
        <f aca="false">IF($J476=0,0,MAX(0,NETWORKDAYS(MAX($K476,BA$4),MIN($L476,EOMONTH(BA$4,0)),Assumptions!$F$4:$F$44))/NETWORKDAYS($K476,$L476,Assumptions!$F$4:$F$44))</f>
        <v>0</v>
      </c>
      <c r="BB476" s="21" t="n">
        <f aca="false">IF($J476=0,0,MAX(0,NETWORKDAYS(MAX($K476,BB$4),MIN($L476,EOMONTH(BB$4,0)),Assumptions!$F$4:$F$44))/NETWORKDAYS($K476,$L476,Assumptions!$F$4:$F$44))</f>
        <v>0</v>
      </c>
      <c r="BC476" s="21" t="n">
        <f aca="false">IF($J476=0,0,MAX(0,NETWORKDAYS(MAX($K476,BC$4),MIN($L476,EOMONTH(BC$4,0)),Assumptions!$F$4:$F$44))/NETWORKDAYS($K476,$L476,Assumptions!$F$4:$F$44))</f>
        <v>0</v>
      </c>
    </row>
    <row r="477" customFormat="false" ht="15" hidden="false" customHeight="false" outlineLevel="1" collapsed="false">
      <c r="A477" s="34" t="n">
        <v>473</v>
      </c>
      <c r="B477" s="34" t="s">
        <v>980</v>
      </c>
      <c r="C477" s="34" t="n">
        <v>2</v>
      </c>
      <c r="D477" s="34" t="s">
        <v>149</v>
      </c>
      <c r="E477" s="35" t="s">
        <v>981</v>
      </c>
      <c r="F477" s="34" t="s">
        <v>846</v>
      </c>
      <c r="G477" s="34"/>
      <c r="H477" s="34"/>
      <c r="I477" s="36" t="n">
        <v>405</v>
      </c>
      <c r="J477" s="36" t="n">
        <v>0</v>
      </c>
      <c r="K477" s="37" t="n">
        <f aca="false">WORKDAY(Assumptions!$C$4,I477,Assumptions!$F$4:$F$44)</f>
        <v>46895</v>
      </c>
      <c r="L477" s="37" t="n">
        <f aca="false">IF(J477=0,K477,WORKDAY(K477,J477-1,Assumptions!$F$4:$F$44))</f>
        <v>46895</v>
      </c>
      <c r="M477" s="36" t="s">
        <v>982</v>
      </c>
      <c r="N477" s="38" t="n">
        <v>0</v>
      </c>
      <c r="O477" s="38" t="n">
        <v>0</v>
      </c>
      <c r="P477" s="38" t="n">
        <v>0</v>
      </c>
      <c r="Q477" s="38" t="n">
        <v>0</v>
      </c>
      <c r="R477" s="38" t="n">
        <v>0</v>
      </c>
      <c r="S477" s="38" t="n">
        <v>0</v>
      </c>
      <c r="T477" s="38" t="n">
        <v>0</v>
      </c>
      <c r="U477" s="38" t="n">
        <v>0</v>
      </c>
      <c r="V477" s="38" t="n">
        <v>0</v>
      </c>
      <c r="W477" s="38" t="n">
        <v>0</v>
      </c>
      <c r="X477" s="38" t="n">
        <v>0</v>
      </c>
      <c r="Y477" s="38" t="n">
        <f aca="false">SUM(N477:X477)</f>
        <v>0</v>
      </c>
      <c r="Z477" s="38" t="n">
        <f aca="false">Y477*(1+Assumptions!$C$5)</f>
        <v>0</v>
      </c>
      <c r="AA477" s="34"/>
      <c r="AB477" s="34" t="s">
        <v>95</v>
      </c>
      <c r="AC477" s="34"/>
      <c r="AD477" s="39" t="n">
        <v>0</v>
      </c>
      <c r="AF477" s="21" t="n">
        <v>0</v>
      </c>
      <c r="AG477" s="21" t="n">
        <v>0</v>
      </c>
      <c r="AH477" s="21" t="n">
        <v>0</v>
      </c>
      <c r="AI477" s="21" t="n">
        <v>0</v>
      </c>
      <c r="AJ477" s="21" t="n">
        <v>0</v>
      </c>
      <c r="AK477" s="21" t="n">
        <v>0</v>
      </c>
      <c r="AL477" s="21" t="n">
        <v>0</v>
      </c>
      <c r="AM477" s="21" t="n">
        <v>0</v>
      </c>
      <c r="AN477" s="21" t="n">
        <v>0</v>
      </c>
      <c r="AO477" s="21" t="n">
        <v>0</v>
      </c>
      <c r="AP477" s="21" t="n">
        <v>0</v>
      </c>
      <c r="AQ477" s="21" t="n">
        <v>0</v>
      </c>
      <c r="AR477" s="21" t="n">
        <v>0</v>
      </c>
      <c r="AS477" s="21" t="n">
        <v>0</v>
      </c>
      <c r="AT477" s="21" t="n">
        <v>0</v>
      </c>
      <c r="AU477" s="21" t="n">
        <v>0</v>
      </c>
      <c r="AV477" s="21" t="n">
        <v>0</v>
      </c>
      <c r="AW477" s="21" t="n">
        <v>0</v>
      </c>
      <c r="AX477" s="21" t="n">
        <v>0</v>
      </c>
      <c r="AY477" s="21" t="n">
        <v>0</v>
      </c>
      <c r="AZ477" s="21" t="n">
        <v>0</v>
      </c>
      <c r="BA477" s="21" t="n">
        <v>0</v>
      </c>
      <c r="BB477" s="21" t="n">
        <v>0</v>
      </c>
      <c r="BC477" s="21" t="n">
        <v>0</v>
      </c>
    </row>
    <row r="478" customFormat="false" ht="15" hidden="false" customHeight="false" outlineLevel="1" collapsed="false">
      <c r="A478" s="34" t="n">
        <v>474</v>
      </c>
      <c r="B478" s="34" t="s">
        <v>983</v>
      </c>
      <c r="C478" s="34" t="n">
        <v>2</v>
      </c>
      <c r="D478" s="34" t="s">
        <v>149</v>
      </c>
      <c r="E478" s="35" t="s">
        <v>984</v>
      </c>
      <c r="F478" s="34" t="s">
        <v>846</v>
      </c>
      <c r="G478" s="34"/>
      <c r="H478" s="34"/>
      <c r="I478" s="36" t="n">
        <v>330</v>
      </c>
      <c r="J478" s="36" t="n">
        <v>0</v>
      </c>
      <c r="K478" s="37" t="n">
        <f aca="false">WORKDAY(Assumptions!$C$4,I478,Assumptions!$F$4:$F$44)</f>
        <v>46790</v>
      </c>
      <c r="L478" s="37" t="n">
        <f aca="false">IF(J478=0,K478,WORKDAY(K478,J478-1,Assumptions!$F$4:$F$44))</f>
        <v>46790</v>
      </c>
      <c r="M478" s="36"/>
      <c r="N478" s="38" t="n">
        <v>0</v>
      </c>
      <c r="O478" s="38" t="n">
        <v>0</v>
      </c>
      <c r="P478" s="38" t="n">
        <v>0</v>
      </c>
      <c r="Q478" s="38" t="n">
        <v>0</v>
      </c>
      <c r="R478" s="38" t="n">
        <v>0</v>
      </c>
      <c r="S478" s="38" t="n">
        <v>0</v>
      </c>
      <c r="T478" s="38" t="n">
        <v>0</v>
      </c>
      <c r="U478" s="38" t="n">
        <v>0</v>
      </c>
      <c r="V478" s="38" t="n">
        <v>0</v>
      </c>
      <c r="W478" s="38" t="n">
        <v>0</v>
      </c>
      <c r="X478" s="38" t="n">
        <v>0</v>
      </c>
      <c r="Y478" s="38" t="n">
        <f aca="false">SUM(N478:X478)</f>
        <v>0</v>
      </c>
      <c r="Z478" s="38" t="n">
        <f aca="false">Y478*(1+Assumptions!$C$5)</f>
        <v>0</v>
      </c>
      <c r="AA478" s="34"/>
      <c r="AB478" s="34" t="s">
        <v>95</v>
      </c>
      <c r="AC478" s="34"/>
      <c r="AD478" s="39" t="n">
        <v>0</v>
      </c>
      <c r="AF478" s="21" t="n">
        <v>0</v>
      </c>
      <c r="AG478" s="21" t="n">
        <v>0</v>
      </c>
      <c r="AH478" s="21" t="n">
        <v>0</v>
      </c>
      <c r="AI478" s="21" t="n">
        <v>0</v>
      </c>
      <c r="AJ478" s="21" t="n">
        <v>0</v>
      </c>
      <c r="AK478" s="21" t="n">
        <v>0</v>
      </c>
      <c r="AL478" s="21" t="n">
        <v>0</v>
      </c>
      <c r="AM478" s="21" t="n">
        <v>0</v>
      </c>
      <c r="AN478" s="21" t="n">
        <v>0</v>
      </c>
      <c r="AO478" s="21" t="n">
        <v>0</v>
      </c>
      <c r="AP478" s="21" t="n">
        <v>0</v>
      </c>
      <c r="AQ478" s="21" t="n">
        <v>0</v>
      </c>
      <c r="AR478" s="21" t="n">
        <v>0</v>
      </c>
      <c r="AS478" s="21" t="n">
        <v>0</v>
      </c>
      <c r="AT478" s="21" t="n">
        <v>0</v>
      </c>
      <c r="AU478" s="21" t="n">
        <v>0</v>
      </c>
      <c r="AV478" s="21" t="n">
        <v>0</v>
      </c>
      <c r="AW478" s="21" t="n">
        <v>0</v>
      </c>
      <c r="AX478" s="21" t="n">
        <v>0</v>
      </c>
      <c r="AY478" s="21" t="n">
        <v>0</v>
      </c>
      <c r="AZ478" s="21" t="n">
        <v>0</v>
      </c>
      <c r="BA478" s="21" t="n">
        <v>0</v>
      </c>
      <c r="BB478" s="21" t="n">
        <v>0</v>
      </c>
      <c r="BC478" s="21" t="n">
        <v>0</v>
      </c>
    </row>
    <row r="479" customFormat="false" ht="15" hidden="false" customHeight="false" outlineLevel="0" collapsed="false">
      <c r="A479" s="17" t="n">
        <v>475</v>
      </c>
      <c r="B479" s="17" t="s">
        <v>985</v>
      </c>
      <c r="C479" s="17" t="n">
        <v>1</v>
      </c>
      <c r="D479" s="17" t="s">
        <v>71</v>
      </c>
      <c r="E479" s="17" t="s">
        <v>986</v>
      </c>
      <c r="F479" s="17" t="s">
        <v>987</v>
      </c>
      <c r="G479" s="17"/>
      <c r="H479" s="17"/>
      <c r="I479" s="17"/>
      <c r="J479" s="17" t="n">
        <f aca="false">NETWORKDAYS(K479,L479,Assumptions!$F$4:$F$44)</f>
        <v>1</v>
      </c>
      <c r="K479" s="18" t="n">
        <f aca="false">MIN(K480:K480)</f>
        <v>46944</v>
      </c>
      <c r="L479" s="18" t="n">
        <f aca="false">MAX(L480:L480)</f>
        <v>46944</v>
      </c>
      <c r="M479" s="17"/>
      <c r="N479" s="19" t="n">
        <f aca="false">SUMPRODUCT(($C$480:$C$480=3)*(N480:N480))</f>
        <v>0</v>
      </c>
      <c r="O479" s="19" t="n">
        <f aca="false">SUMPRODUCT(($C$480:$C$480=3)*(O480:O480))</f>
        <v>0</v>
      </c>
      <c r="P479" s="19" t="n">
        <f aca="false">SUMPRODUCT(($C$480:$C$480=3)*(P480:P480))</f>
        <v>0</v>
      </c>
      <c r="Q479" s="19" t="n">
        <f aca="false">SUMPRODUCT(($C$480:$C$480=3)*(Q480:Q480))</f>
        <v>0</v>
      </c>
      <c r="R479" s="19" t="n">
        <f aca="false">SUMPRODUCT(($C$480:$C$480=3)*(R480:R480))</f>
        <v>0</v>
      </c>
      <c r="S479" s="19" t="n">
        <f aca="false">SUMPRODUCT(($C$480:$C$480=3)*(S480:S480))</f>
        <v>0</v>
      </c>
      <c r="T479" s="19" t="n">
        <f aca="false">SUMPRODUCT(($C$480:$C$480=3)*(T480:T480))</f>
        <v>0</v>
      </c>
      <c r="U479" s="19" t="n">
        <f aca="false">SUMPRODUCT(($C$480:$C$480=3)*(U480:U480))</f>
        <v>0</v>
      </c>
      <c r="V479" s="19" t="n">
        <f aca="false">SUMPRODUCT(($C$480:$C$480=3)*(V480:V480))</f>
        <v>0</v>
      </c>
      <c r="W479" s="19" t="n">
        <f aca="false">SUMPRODUCT(($C$480:$C$480=3)*(W480:W480))</f>
        <v>0</v>
      </c>
      <c r="X479" s="19" t="n">
        <f aca="false">SUMPRODUCT(($C$480:$C$480=3)*(X480:X480))</f>
        <v>0</v>
      </c>
      <c r="Y479" s="19" t="n">
        <f aca="false">SUM(N479:X479)</f>
        <v>0</v>
      </c>
      <c r="Z479" s="19" t="n">
        <f aca="false">Y479*(1+Assumptions!$C$5)</f>
        <v>0</v>
      </c>
      <c r="AA479" s="17"/>
      <c r="AB479" s="17"/>
      <c r="AC479" s="17"/>
      <c r="AD479" s="20"/>
      <c r="AF479" s="21" t="n">
        <v>0</v>
      </c>
      <c r="AG479" s="21" t="n">
        <v>0</v>
      </c>
      <c r="AH479" s="21" t="n">
        <v>0</v>
      </c>
      <c r="AI479" s="21" t="n">
        <v>0</v>
      </c>
      <c r="AJ479" s="21" t="n">
        <v>0</v>
      </c>
      <c r="AK479" s="21" t="n">
        <v>0</v>
      </c>
      <c r="AL479" s="21" t="n">
        <v>0</v>
      </c>
      <c r="AM479" s="21" t="n">
        <v>0</v>
      </c>
      <c r="AN479" s="21" t="n">
        <v>0</v>
      </c>
      <c r="AO479" s="21" t="n">
        <v>0</v>
      </c>
      <c r="AP479" s="21" t="n">
        <v>0</v>
      </c>
      <c r="AQ479" s="21" t="n">
        <v>0</v>
      </c>
      <c r="AR479" s="21" t="n">
        <v>0</v>
      </c>
      <c r="AS479" s="21" t="n">
        <v>0</v>
      </c>
      <c r="AT479" s="21" t="n">
        <v>0</v>
      </c>
      <c r="AU479" s="21" t="n">
        <v>0</v>
      </c>
      <c r="AV479" s="21" t="n">
        <v>0</v>
      </c>
      <c r="AW479" s="21" t="n">
        <v>0</v>
      </c>
      <c r="AX479" s="21" t="n">
        <v>0</v>
      </c>
      <c r="AY479" s="21" t="n">
        <v>0</v>
      </c>
      <c r="AZ479" s="21" t="n">
        <v>0</v>
      </c>
      <c r="BA479" s="21" t="n">
        <v>0</v>
      </c>
      <c r="BB479" s="21" t="n">
        <v>0</v>
      </c>
      <c r="BC479" s="21" t="n">
        <v>0</v>
      </c>
    </row>
    <row r="480" customFormat="false" ht="15" hidden="false" customHeight="false" outlineLevel="1" collapsed="false">
      <c r="A480" s="34" t="n">
        <v>476</v>
      </c>
      <c r="B480" s="34" t="s">
        <v>988</v>
      </c>
      <c r="C480" s="34" t="n">
        <v>2</v>
      </c>
      <c r="D480" s="34" t="s">
        <v>149</v>
      </c>
      <c r="E480" s="35" t="s">
        <v>989</v>
      </c>
      <c r="F480" s="34" t="s">
        <v>987</v>
      </c>
      <c r="G480" s="34"/>
      <c r="H480" s="34"/>
      <c r="I480" s="36" t="n">
        <v>440</v>
      </c>
      <c r="J480" s="36" t="n">
        <v>0</v>
      </c>
      <c r="K480" s="37" t="n">
        <f aca="false">WORKDAY(Assumptions!$C$4,I480,Assumptions!$F$4:$F$44)</f>
        <v>46944</v>
      </c>
      <c r="L480" s="37" t="n">
        <f aca="false">IF(J480=0,K480,WORKDAY(K480,J480-1,Assumptions!$F$4:$F$44))</f>
        <v>46944</v>
      </c>
      <c r="M480" s="36" t="s">
        <v>990</v>
      </c>
      <c r="N480" s="38" t="n">
        <v>0</v>
      </c>
      <c r="O480" s="38" t="n">
        <v>0</v>
      </c>
      <c r="P480" s="38" t="n">
        <v>0</v>
      </c>
      <c r="Q480" s="38" t="n">
        <v>0</v>
      </c>
      <c r="R480" s="38" t="n">
        <v>0</v>
      </c>
      <c r="S480" s="38" t="n">
        <v>0</v>
      </c>
      <c r="T480" s="38" t="n">
        <v>0</v>
      </c>
      <c r="U480" s="38" t="n">
        <v>0</v>
      </c>
      <c r="V480" s="38" t="n">
        <v>0</v>
      </c>
      <c r="W480" s="38" t="n">
        <v>0</v>
      </c>
      <c r="X480" s="38" t="n">
        <v>0</v>
      </c>
      <c r="Y480" s="38" t="n">
        <f aca="false">SUM(N480:X480)</f>
        <v>0</v>
      </c>
      <c r="Z480" s="38" t="n">
        <f aca="false">Y480*(1+Assumptions!$C$5)</f>
        <v>0</v>
      </c>
      <c r="AA480" s="34"/>
      <c r="AB480" s="34" t="s">
        <v>95</v>
      </c>
      <c r="AC480" s="34"/>
      <c r="AD480" s="39" t="n">
        <v>0</v>
      </c>
      <c r="AF480" s="21" t="n">
        <v>0</v>
      </c>
      <c r="AG480" s="21" t="n">
        <v>0</v>
      </c>
      <c r="AH480" s="21" t="n">
        <v>0</v>
      </c>
      <c r="AI480" s="21" t="n">
        <v>0</v>
      </c>
      <c r="AJ480" s="21" t="n">
        <v>0</v>
      </c>
      <c r="AK480" s="21" t="n">
        <v>0</v>
      </c>
      <c r="AL480" s="21" t="n">
        <v>0</v>
      </c>
      <c r="AM480" s="21" t="n">
        <v>0</v>
      </c>
      <c r="AN480" s="21" t="n">
        <v>0</v>
      </c>
      <c r="AO480" s="21" t="n">
        <v>0</v>
      </c>
      <c r="AP480" s="21" t="n">
        <v>0</v>
      </c>
      <c r="AQ480" s="21" t="n">
        <v>0</v>
      </c>
      <c r="AR480" s="21" t="n">
        <v>0</v>
      </c>
      <c r="AS480" s="21" t="n">
        <v>0</v>
      </c>
      <c r="AT480" s="21" t="n">
        <v>0</v>
      </c>
      <c r="AU480" s="21" t="n">
        <v>0</v>
      </c>
      <c r="AV480" s="21" t="n">
        <v>0</v>
      </c>
      <c r="AW480" s="21" t="n">
        <v>0</v>
      </c>
      <c r="AX480" s="21" t="n">
        <v>0</v>
      </c>
      <c r="AY480" s="21" t="n">
        <v>0</v>
      </c>
      <c r="AZ480" s="21" t="n">
        <v>0</v>
      </c>
      <c r="BA480" s="21" t="n">
        <v>0</v>
      </c>
      <c r="BB480" s="21" t="n">
        <v>0</v>
      </c>
      <c r="BC480" s="21" t="n">
        <v>0</v>
      </c>
    </row>
  </sheetData>
  <autoFilter ref="A4:AD480"/>
  <conditionalFormatting sqref="AF5:BC480">
    <cfRule type="expression" priority="2" aboveAverage="0" equalAverage="0" bottom="0" percent="0" rank="0" text="" dxfId="7">
      <formula>AF5&gt;0.5</formula>
    </cfRule>
    <cfRule type="expression" priority="3" aboveAverage="0" equalAverage="0" bottom="0" percent="0" rank="0" text="" dxfId="8">
      <formula>AF5&gt;0</formula>
    </cfRule>
    <cfRule type="expression" priority="4" aboveAverage="0" equalAverage="0" bottom="0" percent="0" rank="0" text="" dxfId="9">
      <formula>AND($D5="Milestone",$K5&gt;=AF$4,$K5&lt;=EOMONTH(AF$4,0))</formula>
    </cfRule>
  </conditionalFormatting>
  <dataValidations count="1">
    <dataValidation allowBlank="true" errorStyle="stop" operator="between" showDropDown="false" showErrorMessage="false" showInputMessage="false" sqref="AB5:AB480" type="list">
      <formula1>"Not started,In progress,Blocked,Done"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5" min="2" style="0" width="10"/>
  </cols>
  <sheetData>
    <row r="1" customFormat="false" ht="16.15" hidden="false" customHeight="false" outlineLevel="0" collapsed="false">
      <c r="A1" s="4" t="s">
        <v>991</v>
      </c>
    </row>
    <row r="2" customFormat="false" ht="15" hidden="false" customHeight="false" outlineLevel="0" collapsed="false">
      <c r="A2" s="8" t="s">
        <v>992</v>
      </c>
    </row>
    <row r="4" customFormat="false" ht="15" hidden="false" customHeight="false" outlineLevel="0" collapsed="false">
      <c r="A4" s="13" t="s">
        <v>993</v>
      </c>
    </row>
    <row r="5" customFormat="false" ht="15" hidden="false" customHeight="false" outlineLevel="0" collapsed="false">
      <c r="A5" s="40" t="s">
        <v>994</v>
      </c>
      <c r="B5" s="40" t="s">
        <v>41</v>
      </c>
      <c r="C5" s="40" t="s">
        <v>43</v>
      </c>
      <c r="D5" s="40" t="s">
        <v>45</v>
      </c>
      <c r="E5" s="40" t="s">
        <v>47</v>
      </c>
      <c r="F5" s="40" t="s">
        <v>49</v>
      </c>
      <c r="G5" s="40" t="s">
        <v>51</v>
      </c>
      <c r="H5" s="40" t="s">
        <v>53</v>
      </c>
      <c r="I5" s="40" t="s">
        <v>55</v>
      </c>
      <c r="J5" s="40" t="s">
        <v>57</v>
      </c>
      <c r="K5" s="40" t="s">
        <v>59</v>
      </c>
      <c r="L5" s="40" t="s">
        <v>61</v>
      </c>
      <c r="M5" s="40" t="s">
        <v>995</v>
      </c>
      <c r="N5" s="40" t="s">
        <v>996</v>
      </c>
      <c r="O5" s="40" t="s">
        <v>997</v>
      </c>
    </row>
    <row r="6" customFormat="false" ht="15" hidden="false" customHeight="false" outlineLevel="0" collapsed="false">
      <c r="A6" s="6" t="s">
        <v>87</v>
      </c>
      <c r="B6" s="32" t="n">
        <f aca="false">SUMPRODUCT(('Project Plan'!$C$5:$C$480=3)*('Project Plan'!$F$5:$F$480=$A6)*('Project Plan'!$N$5:$N$480))</f>
        <v>345</v>
      </c>
      <c r="C6" s="32" t="n">
        <f aca="false">SUMPRODUCT(('Project Plan'!$C$5:$C$480=3)*('Project Plan'!$F$5:$F$480=$A6)*('Project Plan'!$O$5:$O$480))</f>
        <v>30</v>
      </c>
      <c r="D6" s="32" t="n">
        <f aca="false">SUMPRODUCT(('Project Plan'!$C$5:$C$480=3)*('Project Plan'!$F$5:$F$480=$A6)*('Project Plan'!$P$5:$P$480))</f>
        <v>89</v>
      </c>
      <c r="E6" s="32" t="n">
        <f aca="false">SUMPRODUCT(('Project Plan'!$C$5:$C$480=3)*('Project Plan'!$F$5:$F$480=$A6)*('Project Plan'!$Q$5:$Q$480))</f>
        <v>30</v>
      </c>
      <c r="F6" s="32" t="n">
        <f aca="false">SUMPRODUCT(('Project Plan'!$C$5:$C$480=3)*('Project Plan'!$F$5:$F$480=$A6)*('Project Plan'!$R$5:$R$480))</f>
        <v>0</v>
      </c>
      <c r="G6" s="32" t="n">
        <f aca="false">SUMPRODUCT(('Project Plan'!$C$5:$C$480=3)*('Project Plan'!$F$5:$F$480=$A6)*('Project Plan'!$S$5:$S$480))</f>
        <v>0</v>
      </c>
      <c r="H6" s="32" t="n">
        <f aca="false">SUMPRODUCT(('Project Plan'!$C$5:$C$480=3)*('Project Plan'!$F$5:$F$480=$A6)*('Project Plan'!$T$5:$T$480))</f>
        <v>0</v>
      </c>
      <c r="I6" s="32" t="n">
        <f aca="false">SUMPRODUCT(('Project Plan'!$C$5:$C$480=3)*('Project Plan'!$F$5:$F$480=$A6)*('Project Plan'!$U$5:$U$480))</f>
        <v>15</v>
      </c>
      <c r="J6" s="32" t="n">
        <f aca="false">SUMPRODUCT(('Project Plan'!$C$5:$C$480=3)*('Project Plan'!$F$5:$F$480=$A6)*('Project Plan'!$V$5:$V$480))</f>
        <v>8</v>
      </c>
      <c r="K6" s="32" t="n">
        <f aca="false">SUMPRODUCT(('Project Plan'!$C$5:$C$480=3)*('Project Plan'!$F$5:$F$480=$A6)*('Project Plan'!$W$5:$W$480))</f>
        <v>0</v>
      </c>
      <c r="L6" s="32" t="n">
        <f aca="false">SUMPRODUCT(('Project Plan'!$C$5:$C$480=3)*('Project Plan'!$F$5:$F$480=$A6)*('Project Plan'!$X$5:$X$480))</f>
        <v>10</v>
      </c>
      <c r="M6" s="41" t="n">
        <f aca="false">SUM(B6:L6)</f>
        <v>527</v>
      </c>
      <c r="N6" s="41" t="n">
        <f aca="false">M6*(1+Assumptions!$C$5)</f>
        <v>606.05</v>
      </c>
      <c r="O6" s="42" t="n">
        <f aca="false">(B6*Assumptions!$C$12+C6*Assumptions!$C$13+D6*Assumptions!$C$14+E6*Assumptions!$C$15+F6*Assumptions!$C$16+G6*Assumptions!$C$17+H6*Assumptions!$C$18+I6*Assumptions!$C$19+J6*Assumptions!$C$20+K6*Assumptions!$C$21+L6*Assumptions!$C$22)*(1+Assumptions!$C$5)</f>
        <v>0</v>
      </c>
    </row>
    <row r="7" customFormat="false" ht="15" hidden="false" customHeight="false" outlineLevel="0" collapsed="false">
      <c r="A7" s="6" t="s">
        <v>115</v>
      </c>
      <c r="B7" s="32" t="n">
        <f aca="false">SUMPRODUCT(('Project Plan'!$C$5:$C$480=3)*('Project Plan'!$F$5:$F$480=$A7)*('Project Plan'!$N$5:$N$480))</f>
        <v>18</v>
      </c>
      <c r="C7" s="32" t="n">
        <f aca="false">SUMPRODUCT(('Project Plan'!$C$5:$C$480=3)*('Project Plan'!$F$5:$F$480=$A7)*('Project Plan'!$O$5:$O$480))</f>
        <v>50</v>
      </c>
      <c r="D7" s="32" t="n">
        <f aca="false">SUMPRODUCT(('Project Plan'!$C$5:$C$480=3)*('Project Plan'!$F$5:$F$480=$A7)*('Project Plan'!$P$5:$P$480))</f>
        <v>30</v>
      </c>
      <c r="E7" s="32" t="n">
        <f aca="false">SUMPRODUCT(('Project Plan'!$C$5:$C$480=3)*('Project Plan'!$F$5:$F$480=$A7)*('Project Plan'!$Q$5:$Q$480))</f>
        <v>3</v>
      </c>
      <c r="F7" s="32" t="n">
        <f aca="false">SUMPRODUCT(('Project Plan'!$C$5:$C$480=3)*('Project Plan'!$F$5:$F$480=$A7)*('Project Plan'!$R$5:$R$480))</f>
        <v>15</v>
      </c>
      <c r="G7" s="32" t="n">
        <f aca="false">SUMPRODUCT(('Project Plan'!$C$5:$C$480=3)*('Project Plan'!$F$5:$F$480=$A7)*('Project Plan'!$S$5:$S$480))</f>
        <v>0</v>
      </c>
      <c r="H7" s="32" t="n">
        <f aca="false">SUMPRODUCT(('Project Plan'!$C$5:$C$480=3)*('Project Plan'!$F$5:$F$480=$A7)*('Project Plan'!$T$5:$T$480))</f>
        <v>0</v>
      </c>
      <c r="I7" s="32" t="n">
        <f aca="false">SUMPRODUCT(('Project Plan'!$C$5:$C$480=3)*('Project Plan'!$F$5:$F$480=$A7)*('Project Plan'!$U$5:$U$480))</f>
        <v>34</v>
      </c>
      <c r="J7" s="32" t="n">
        <f aca="false">SUMPRODUCT(('Project Plan'!$C$5:$C$480=3)*('Project Plan'!$F$5:$F$480=$A7)*('Project Plan'!$V$5:$V$480))</f>
        <v>0</v>
      </c>
      <c r="K7" s="32" t="n">
        <f aca="false">SUMPRODUCT(('Project Plan'!$C$5:$C$480=3)*('Project Plan'!$F$5:$F$480=$A7)*('Project Plan'!$W$5:$W$480))</f>
        <v>10</v>
      </c>
      <c r="L7" s="32" t="n">
        <f aca="false">SUMPRODUCT(('Project Plan'!$C$5:$C$480=3)*('Project Plan'!$F$5:$F$480=$A7)*('Project Plan'!$X$5:$X$480))</f>
        <v>0</v>
      </c>
      <c r="M7" s="41" t="n">
        <f aca="false">SUM(B7:L7)</f>
        <v>160</v>
      </c>
      <c r="N7" s="41" t="n">
        <f aca="false">M7*(1+Assumptions!$C$5)</f>
        <v>184</v>
      </c>
      <c r="O7" s="42" t="n">
        <f aca="false">(B7*Assumptions!$C$12+C7*Assumptions!$C$13+D7*Assumptions!$C$14+E7*Assumptions!$C$15+F7*Assumptions!$C$16+G7*Assumptions!$C$17+H7*Assumptions!$C$18+I7*Assumptions!$C$19+J7*Assumptions!$C$20+K7*Assumptions!$C$21+L7*Assumptions!$C$22)*(1+Assumptions!$C$5)</f>
        <v>0</v>
      </c>
    </row>
    <row r="8" customFormat="false" ht="15" hidden="false" customHeight="false" outlineLevel="0" collapsed="false">
      <c r="A8" s="6" t="s">
        <v>154</v>
      </c>
      <c r="B8" s="32" t="n">
        <f aca="false">SUMPRODUCT(('Project Plan'!$C$5:$C$480=3)*('Project Plan'!$F$5:$F$480=$A8)*('Project Plan'!$N$5:$N$480))</f>
        <v>5</v>
      </c>
      <c r="C8" s="32" t="n">
        <f aca="false">SUMPRODUCT(('Project Plan'!$C$5:$C$480=3)*('Project Plan'!$F$5:$F$480=$A8)*('Project Plan'!$O$5:$O$480))</f>
        <v>228</v>
      </c>
      <c r="D8" s="32" t="n">
        <f aca="false">SUMPRODUCT(('Project Plan'!$C$5:$C$480=3)*('Project Plan'!$F$5:$F$480=$A8)*('Project Plan'!$P$5:$P$480))</f>
        <v>116</v>
      </c>
      <c r="E8" s="32" t="n">
        <f aca="false">SUMPRODUCT(('Project Plan'!$C$5:$C$480=3)*('Project Plan'!$F$5:$F$480=$A8)*('Project Plan'!$Q$5:$Q$480))</f>
        <v>1013</v>
      </c>
      <c r="F8" s="32" t="n">
        <f aca="false">SUMPRODUCT(('Project Plan'!$C$5:$C$480=3)*('Project Plan'!$F$5:$F$480=$A8)*('Project Plan'!$R$5:$R$480))</f>
        <v>499</v>
      </c>
      <c r="G8" s="32" t="n">
        <f aca="false">SUMPRODUCT(('Project Plan'!$C$5:$C$480=3)*('Project Plan'!$F$5:$F$480=$A8)*('Project Plan'!$S$5:$S$480))</f>
        <v>129</v>
      </c>
      <c r="H8" s="32" t="n">
        <f aca="false">SUMPRODUCT(('Project Plan'!$C$5:$C$480=3)*('Project Plan'!$F$5:$F$480=$A8)*('Project Plan'!$T$5:$T$480))</f>
        <v>82</v>
      </c>
      <c r="I8" s="32" t="n">
        <f aca="false">SUMPRODUCT(('Project Plan'!$C$5:$C$480=3)*('Project Plan'!$F$5:$F$480=$A8)*('Project Plan'!$U$5:$U$480))</f>
        <v>115</v>
      </c>
      <c r="J8" s="32" t="n">
        <f aca="false">SUMPRODUCT(('Project Plan'!$C$5:$C$480=3)*('Project Plan'!$F$5:$F$480=$A8)*('Project Plan'!$V$5:$V$480))</f>
        <v>409</v>
      </c>
      <c r="K8" s="32" t="n">
        <f aca="false">SUMPRODUCT(('Project Plan'!$C$5:$C$480=3)*('Project Plan'!$F$5:$F$480=$A8)*('Project Plan'!$W$5:$W$480))</f>
        <v>98</v>
      </c>
      <c r="L8" s="32" t="n">
        <f aca="false">SUMPRODUCT(('Project Plan'!$C$5:$C$480=3)*('Project Plan'!$F$5:$F$480=$A8)*('Project Plan'!$X$5:$X$480))</f>
        <v>63</v>
      </c>
      <c r="M8" s="41" t="n">
        <f aca="false">SUM(B8:L8)</f>
        <v>2757</v>
      </c>
      <c r="N8" s="41" t="n">
        <f aca="false">M8*(1+Assumptions!$C$5)</f>
        <v>3170.55</v>
      </c>
      <c r="O8" s="42" t="n">
        <f aca="false">(B8*Assumptions!$C$12+C8*Assumptions!$C$13+D8*Assumptions!$C$14+E8*Assumptions!$C$15+F8*Assumptions!$C$16+G8*Assumptions!$C$17+H8*Assumptions!$C$18+I8*Assumptions!$C$19+J8*Assumptions!$C$20+K8*Assumptions!$C$21+L8*Assumptions!$C$22)*(1+Assumptions!$C$5)</f>
        <v>0</v>
      </c>
    </row>
    <row r="9" customFormat="false" ht="15" hidden="false" customHeight="false" outlineLevel="0" collapsed="false">
      <c r="A9" s="6" t="s">
        <v>502</v>
      </c>
      <c r="B9" s="32" t="n">
        <f aca="false">SUMPRODUCT(('Project Plan'!$C$5:$C$480=3)*('Project Plan'!$F$5:$F$480=$A9)*('Project Plan'!$N$5:$N$480))</f>
        <v>5</v>
      </c>
      <c r="C9" s="32" t="n">
        <f aca="false">SUMPRODUCT(('Project Plan'!$C$5:$C$480=3)*('Project Plan'!$F$5:$F$480=$A9)*('Project Plan'!$O$5:$O$480))</f>
        <v>153</v>
      </c>
      <c r="D9" s="32" t="n">
        <f aca="false">SUMPRODUCT(('Project Plan'!$C$5:$C$480=3)*('Project Plan'!$F$5:$F$480=$A9)*('Project Plan'!$P$5:$P$480))</f>
        <v>42</v>
      </c>
      <c r="E9" s="32" t="n">
        <f aca="false">SUMPRODUCT(('Project Plan'!$C$5:$C$480=3)*('Project Plan'!$F$5:$F$480=$A9)*('Project Plan'!$Q$5:$Q$480))</f>
        <v>558</v>
      </c>
      <c r="F9" s="32" t="n">
        <f aca="false">SUMPRODUCT(('Project Plan'!$C$5:$C$480=3)*('Project Plan'!$F$5:$F$480=$A9)*('Project Plan'!$R$5:$R$480))</f>
        <v>303</v>
      </c>
      <c r="G9" s="32" t="n">
        <f aca="false">SUMPRODUCT(('Project Plan'!$C$5:$C$480=3)*('Project Plan'!$F$5:$F$480=$A9)*('Project Plan'!$S$5:$S$480))</f>
        <v>102</v>
      </c>
      <c r="H9" s="32" t="n">
        <f aca="false">SUMPRODUCT(('Project Plan'!$C$5:$C$480=3)*('Project Plan'!$F$5:$F$480=$A9)*('Project Plan'!$T$5:$T$480))</f>
        <v>88</v>
      </c>
      <c r="I9" s="32" t="n">
        <f aca="false">SUMPRODUCT(('Project Plan'!$C$5:$C$480=3)*('Project Plan'!$F$5:$F$480=$A9)*('Project Plan'!$U$5:$U$480))</f>
        <v>20</v>
      </c>
      <c r="J9" s="32" t="n">
        <f aca="false">SUMPRODUCT(('Project Plan'!$C$5:$C$480=3)*('Project Plan'!$F$5:$F$480=$A9)*('Project Plan'!$V$5:$V$480))</f>
        <v>229</v>
      </c>
      <c r="K9" s="32" t="n">
        <f aca="false">SUMPRODUCT(('Project Plan'!$C$5:$C$480=3)*('Project Plan'!$F$5:$F$480=$A9)*('Project Plan'!$W$5:$W$480))</f>
        <v>73</v>
      </c>
      <c r="L9" s="32" t="n">
        <f aca="false">SUMPRODUCT(('Project Plan'!$C$5:$C$480=3)*('Project Plan'!$F$5:$F$480=$A9)*('Project Plan'!$X$5:$X$480))</f>
        <v>49</v>
      </c>
      <c r="M9" s="41" t="n">
        <f aca="false">SUM(B9:L9)</f>
        <v>1622</v>
      </c>
      <c r="N9" s="41" t="n">
        <f aca="false">M9*(1+Assumptions!$C$5)</f>
        <v>1865.3</v>
      </c>
      <c r="O9" s="42" t="n">
        <f aca="false">(B9*Assumptions!$C$12+C9*Assumptions!$C$13+D9*Assumptions!$C$14+E9*Assumptions!$C$15+F9*Assumptions!$C$16+G9*Assumptions!$C$17+H9*Assumptions!$C$18+I9*Assumptions!$C$19+J9*Assumptions!$C$20+K9*Assumptions!$C$21+L9*Assumptions!$C$22)*(1+Assumptions!$C$5)</f>
        <v>0</v>
      </c>
    </row>
    <row r="10" customFormat="false" ht="15" hidden="false" customHeight="false" outlineLevel="0" collapsed="false">
      <c r="A10" s="6" t="s">
        <v>681</v>
      </c>
      <c r="B10" s="32" t="n">
        <f aca="false">SUMPRODUCT(('Project Plan'!$C$5:$C$480=3)*('Project Plan'!$F$5:$F$480=$A10)*('Project Plan'!$N$5:$N$480))</f>
        <v>5</v>
      </c>
      <c r="C10" s="32" t="n">
        <f aca="false">SUMPRODUCT(('Project Plan'!$C$5:$C$480=3)*('Project Plan'!$F$5:$F$480=$A10)*('Project Plan'!$O$5:$O$480))</f>
        <v>114</v>
      </c>
      <c r="D10" s="32" t="n">
        <f aca="false">SUMPRODUCT(('Project Plan'!$C$5:$C$480=3)*('Project Plan'!$F$5:$F$480=$A10)*('Project Plan'!$P$5:$P$480))</f>
        <v>32</v>
      </c>
      <c r="E10" s="32" t="n">
        <f aca="false">SUMPRODUCT(('Project Plan'!$C$5:$C$480=3)*('Project Plan'!$F$5:$F$480=$A10)*('Project Plan'!$Q$5:$Q$480))</f>
        <v>399</v>
      </c>
      <c r="F10" s="32" t="n">
        <f aca="false">SUMPRODUCT(('Project Plan'!$C$5:$C$480=3)*('Project Plan'!$F$5:$F$480=$A10)*('Project Plan'!$R$5:$R$480))</f>
        <v>184</v>
      </c>
      <c r="G10" s="32" t="n">
        <f aca="false">SUMPRODUCT(('Project Plan'!$C$5:$C$480=3)*('Project Plan'!$F$5:$F$480=$A10)*('Project Plan'!$S$5:$S$480))</f>
        <v>57</v>
      </c>
      <c r="H10" s="32" t="n">
        <f aca="false">SUMPRODUCT(('Project Plan'!$C$5:$C$480=3)*('Project Plan'!$F$5:$F$480=$A10)*('Project Plan'!$T$5:$T$480))</f>
        <v>39</v>
      </c>
      <c r="I10" s="32" t="n">
        <f aca="false">SUMPRODUCT(('Project Plan'!$C$5:$C$480=3)*('Project Plan'!$F$5:$F$480=$A10)*('Project Plan'!$U$5:$U$480))</f>
        <v>24</v>
      </c>
      <c r="J10" s="32" t="n">
        <f aca="false">SUMPRODUCT(('Project Plan'!$C$5:$C$480=3)*('Project Plan'!$F$5:$F$480=$A10)*('Project Plan'!$V$5:$V$480))</f>
        <v>179</v>
      </c>
      <c r="K10" s="32" t="n">
        <f aca="false">SUMPRODUCT(('Project Plan'!$C$5:$C$480=3)*('Project Plan'!$F$5:$F$480=$A10)*('Project Plan'!$W$5:$W$480))</f>
        <v>15</v>
      </c>
      <c r="L10" s="32" t="n">
        <f aca="false">SUMPRODUCT(('Project Plan'!$C$5:$C$480=3)*('Project Plan'!$F$5:$F$480=$A10)*('Project Plan'!$X$5:$X$480))</f>
        <v>40</v>
      </c>
      <c r="M10" s="41" t="n">
        <f aca="false">SUM(B10:L10)</f>
        <v>1088</v>
      </c>
      <c r="N10" s="41" t="n">
        <f aca="false">M10*(1+Assumptions!$C$5)</f>
        <v>1251.2</v>
      </c>
      <c r="O10" s="42" t="n">
        <f aca="false">(B10*Assumptions!$C$12+C10*Assumptions!$C$13+D10*Assumptions!$C$14+E10*Assumptions!$C$15+F10*Assumptions!$C$16+G10*Assumptions!$C$17+H10*Assumptions!$C$18+I10*Assumptions!$C$19+J10*Assumptions!$C$20+K10*Assumptions!$C$21+L10*Assumptions!$C$22)*(1+Assumptions!$C$5)</f>
        <v>0</v>
      </c>
    </row>
    <row r="11" customFormat="false" ht="15" hidden="false" customHeight="false" outlineLevel="0" collapsed="false">
      <c r="A11" s="6" t="s">
        <v>846</v>
      </c>
      <c r="B11" s="32" t="n">
        <f aca="false">SUMPRODUCT(('Project Plan'!$C$5:$C$480=3)*('Project Plan'!$F$5:$F$480=$A11)*('Project Plan'!$N$5:$N$480))</f>
        <v>4</v>
      </c>
      <c r="C11" s="32" t="n">
        <f aca="false">SUMPRODUCT(('Project Plan'!$C$5:$C$480=3)*('Project Plan'!$F$5:$F$480=$A11)*('Project Plan'!$O$5:$O$480))</f>
        <v>101</v>
      </c>
      <c r="D11" s="32" t="n">
        <f aca="false">SUMPRODUCT(('Project Plan'!$C$5:$C$480=3)*('Project Plan'!$F$5:$F$480=$A11)*('Project Plan'!$P$5:$P$480))</f>
        <v>27</v>
      </c>
      <c r="E11" s="32" t="n">
        <f aca="false">SUMPRODUCT(('Project Plan'!$C$5:$C$480=3)*('Project Plan'!$F$5:$F$480=$A11)*('Project Plan'!$Q$5:$Q$480))</f>
        <v>306</v>
      </c>
      <c r="F11" s="32" t="n">
        <f aca="false">SUMPRODUCT(('Project Plan'!$C$5:$C$480=3)*('Project Plan'!$F$5:$F$480=$A11)*('Project Plan'!$R$5:$R$480))</f>
        <v>151</v>
      </c>
      <c r="G11" s="32" t="n">
        <f aca="false">SUMPRODUCT(('Project Plan'!$C$5:$C$480=3)*('Project Plan'!$F$5:$F$480=$A11)*('Project Plan'!$S$5:$S$480))</f>
        <v>32</v>
      </c>
      <c r="H11" s="32" t="n">
        <f aca="false">SUMPRODUCT(('Project Plan'!$C$5:$C$480=3)*('Project Plan'!$F$5:$F$480=$A11)*('Project Plan'!$T$5:$T$480))</f>
        <v>8</v>
      </c>
      <c r="I11" s="32" t="n">
        <f aca="false">SUMPRODUCT(('Project Plan'!$C$5:$C$480=3)*('Project Plan'!$F$5:$F$480=$A11)*('Project Plan'!$U$5:$U$480))</f>
        <v>20</v>
      </c>
      <c r="J11" s="32" t="n">
        <f aca="false">SUMPRODUCT(('Project Plan'!$C$5:$C$480=3)*('Project Plan'!$F$5:$F$480=$A11)*('Project Plan'!$V$5:$V$480))</f>
        <v>147</v>
      </c>
      <c r="K11" s="32" t="n">
        <f aca="false">SUMPRODUCT(('Project Plan'!$C$5:$C$480=3)*('Project Plan'!$F$5:$F$480=$A11)*('Project Plan'!$W$5:$W$480))</f>
        <v>66</v>
      </c>
      <c r="L11" s="32" t="n">
        <f aca="false">SUMPRODUCT(('Project Plan'!$C$5:$C$480=3)*('Project Plan'!$F$5:$F$480=$A11)*('Project Plan'!$X$5:$X$480))</f>
        <v>34</v>
      </c>
      <c r="M11" s="41" t="n">
        <f aca="false">SUM(B11:L11)</f>
        <v>896</v>
      </c>
      <c r="N11" s="41" t="n">
        <f aca="false">M11*(1+Assumptions!$C$5)</f>
        <v>1030.4</v>
      </c>
      <c r="O11" s="42" t="n">
        <f aca="false">(B11*Assumptions!$C$12+C11*Assumptions!$C$13+D11*Assumptions!$C$14+E11*Assumptions!$C$15+F11*Assumptions!$C$16+G11*Assumptions!$C$17+H11*Assumptions!$C$18+I11*Assumptions!$C$19+J11*Assumptions!$C$20+K11*Assumptions!$C$21+L11*Assumptions!$C$22)*(1+Assumptions!$C$5)</f>
        <v>0</v>
      </c>
    </row>
    <row r="12" customFormat="false" ht="15" hidden="false" customHeight="false" outlineLevel="0" collapsed="false">
      <c r="A12" s="13" t="s">
        <v>995</v>
      </c>
      <c r="B12" s="43" t="n">
        <f aca="false">SUM(B6:B11)</f>
        <v>382</v>
      </c>
      <c r="C12" s="43" t="n">
        <f aca="false">SUM(C6:C11)</f>
        <v>676</v>
      </c>
      <c r="D12" s="43" t="n">
        <f aca="false">SUM(D6:D11)</f>
        <v>336</v>
      </c>
      <c r="E12" s="43" t="n">
        <f aca="false">SUM(E6:E11)</f>
        <v>2309</v>
      </c>
      <c r="F12" s="43" t="n">
        <f aca="false">SUM(F6:F11)</f>
        <v>1152</v>
      </c>
      <c r="G12" s="43" t="n">
        <f aca="false">SUM(G6:G11)</f>
        <v>320</v>
      </c>
      <c r="H12" s="43" t="n">
        <f aca="false">SUM(H6:H11)</f>
        <v>217</v>
      </c>
      <c r="I12" s="43" t="n">
        <f aca="false">SUM(I6:I11)</f>
        <v>228</v>
      </c>
      <c r="J12" s="43" t="n">
        <f aca="false">SUM(J6:J11)</f>
        <v>972</v>
      </c>
      <c r="K12" s="43" t="n">
        <f aca="false">SUM(K6:K11)</f>
        <v>262</v>
      </c>
      <c r="L12" s="43" t="n">
        <f aca="false">SUM(L6:L11)</f>
        <v>196</v>
      </c>
      <c r="M12" s="43" t="n">
        <f aca="false">SUM(M6:M11)</f>
        <v>7050</v>
      </c>
      <c r="N12" s="43" t="n">
        <f aca="false">SUM(N6:N11)</f>
        <v>8107.5</v>
      </c>
      <c r="O12" s="43" t="n">
        <f aca="false">SUM(O6:O11)</f>
        <v>0</v>
      </c>
    </row>
    <row r="15" customFormat="false" ht="15" hidden="false" customHeight="false" outlineLevel="0" collapsed="false">
      <c r="A15" s="13" t="s">
        <v>998</v>
      </c>
    </row>
    <row r="16" customFormat="false" ht="15" hidden="false" customHeight="false" outlineLevel="0" collapsed="false">
      <c r="A16" s="40" t="s">
        <v>994</v>
      </c>
      <c r="B16" s="40" t="s">
        <v>41</v>
      </c>
      <c r="C16" s="40" t="s">
        <v>43</v>
      </c>
      <c r="D16" s="40" t="s">
        <v>45</v>
      </c>
      <c r="E16" s="40" t="s">
        <v>47</v>
      </c>
      <c r="F16" s="40" t="s">
        <v>49</v>
      </c>
      <c r="G16" s="40" t="s">
        <v>51</v>
      </c>
      <c r="H16" s="40" t="s">
        <v>53</v>
      </c>
      <c r="I16" s="40" t="s">
        <v>55</v>
      </c>
      <c r="J16" s="40" t="s">
        <v>57</v>
      </c>
      <c r="K16" s="40" t="s">
        <v>59</v>
      </c>
      <c r="L16" s="40" t="s">
        <v>61</v>
      </c>
      <c r="M16" s="40" t="s">
        <v>995</v>
      </c>
      <c r="N16" s="40" t="s">
        <v>996</v>
      </c>
      <c r="O16" s="40" t="s">
        <v>997</v>
      </c>
    </row>
    <row r="17" customFormat="false" ht="15" hidden="false" customHeight="false" outlineLevel="0" collapsed="false">
      <c r="A17" s="6" t="s">
        <v>157</v>
      </c>
      <c r="B17" s="32" t="n">
        <f aca="false">SUMPRODUCT(('Project Plan'!$C$5:$C$480=3)*('Project Plan'!$G$5:$G$480=$A17)*('Project Plan'!$N$5:$N$480))</f>
        <v>0</v>
      </c>
      <c r="C17" s="32" t="n">
        <f aca="false">SUMPRODUCT(('Project Plan'!$C$5:$C$480=3)*('Project Plan'!$G$5:$G$480=$A17)*('Project Plan'!$O$5:$O$480))</f>
        <v>15</v>
      </c>
      <c r="D17" s="32" t="n">
        <f aca="false">SUMPRODUCT(('Project Plan'!$C$5:$C$480=3)*('Project Plan'!$G$5:$G$480=$A17)*('Project Plan'!$P$5:$P$480))</f>
        <v>56</v>
      </c>
      <c r="E17" s="32" t="n">
        <f aca="false">SUMPRODUCT(('Project Plan'!$C$5:$C$480=3)*('Project Plan'!$G$5:$G$480=$A17)*('Project Plan'!$Q$5:$Q$480))</f>
        <v>371</v>
      </c>
      <c r="F17" s="32" t="n">
        <f aca="false">SUMPRODUCT(('Project Plan'!$C$5:$C$480=3)*('Project Plan'!$G$5:$G$480=$A17)*('Project Plan'!$R$5:$R$480))</f>
        <v>111</v>
      </c>
      <c r="G17" s="32" t="n">
        <f aca="false">SUMPRODUCT(('Project Plan'!$C$5:$C$480=3)*('Project Plan'!$G$5:$G$480=$A17)*('Project Plan'!$S$5:$S$480))</f>
        <v>59</v>
      </c>
      <c r="H17" s="32" t="n">
        <f aca="false">SUMPRODUCT(('Project Plan'!$C$5:$C$480=3)*('Project Plan'!$G$5:$G$480=$A17)*('Project Plan'!$T$5:$T$480))</f>
        <v>68</v>
      </c>
      <c r="I17" s="32" t="n">
        <f aca="false">SUMPRODUCT(('Project Plan'!$C$5:$C$480=3)*('Project Plan'!$G$5:$G$480=$A17)*('Project Plan'!$U$5:$U$480))</f>
        <v>99</v>
      </c>
      <c r="J17" s="32" t="n">
        <f aca="false">SUMPRODUCT(('Project Plan'!$C$5:$C$480=3)*('Project Plan'!$G$5:$G$480=$A17)*('Project Plan'!$V$5:$V$480))</f>
        <v>134</v>
      </c>
      <c r="K17" s="32" t="n">
        <f aca="false">SUMPRODUCT(('Project Plan'!$C$5:$C$480=3)*('Project Plan'!$G$5:$G$480=$A17)*('Project Plan'!$W$5:$W$480))</f>
        <v>31</v>
      </c>
      <c r="L17" s="32" t="n">
        <f aca="false">SUMPRODUCT(('Project Plan'!$C$5:$C$480=3)*('Project Plan'!$G$5:$G$480=$A17)*('Project Plan'!$X$5:$X$480))</f>
        <v>0</v>
      </c>
      <c r="M17" s="41" t="n">
        <f aca="false">SUM(B17:L17)</f>
        <v>944</v>
      </c>
      <c r="N17" s="41" t="n">
        <f aca="false">M17*(1+Assumptions!$C$5)</f>
        <v>1085.6</v>
      </c>
      <c r="O17" s="42" t="n">
        <f aca="false">(B17*Assumptions!$C$12+C17*Assumptions!$C$13+D17*Assumptions!$C$14+E17*Assumptions!$C$15+F17*Assumptions!$C$16+G17*Assumptions!$C$17+H17*Assumptions!$C$18+I17*Assumptions!$C$19+J17*Assumptions!$C$20+K17*Assumptions!$C$21+L17*Assumptions!$C$22)*(1+Assumptions!$C$5)</f>
        <v>0</v>
      </c>
    </row>
    <row r="18" customFormat="false" ht="15" hidden="false" customHeight="false" outlineLevel="0" collapsed="false">
      <c r="A18" s="6" t="s">
        <v>289</v>
      </c>
      <c r="B18" s="32" t="n">
        <f aca="false">SUMPRODUCT(('Project Plan'!$C$5:$C$480=3)*('Project Plan'!$G$5:$G$480=$A18)*('Project Plan'!$N$5:$N$480))</f>
        <v>1</v>
      </c>
      <c r="C18" s="32" t="n">
        <f aca="false">SUMPRODUCT(('Project Plan'!$C$5:$C$480=3)*('Project Plan'!$G$5:$G$480=$A18)*('Project Plan'!$O$5:$O$480))</f>
        <v>46</v>
      </c>
      <c r="D18" s="32" t="n">
        <f aca="false">SUMPRODUCT(('Project Plan'!$C$5:$C$480=3)*('Project Plan'!$G$5:$G$480=$A18)*('Project Plan'!$P$5:$P$480))</f>
        <v>13</v>
      </c>
      <c r="E18" s="32" t="n">
        <f aca="false">SUMPRODUCT(('Project Plan'!$C$5:$C$480=3)*('Project Plan'!$G$5:$G$480=$A18)*('Project Plan'!$Q$5:$Q$480))</f>
        <v>160</v>
      </c>
      <c r="F18" s="32" t="n">
        <f aca="false">SUMPRODUCT(('Project Plan'!$C$5:$C$480=3)*('Project Plan'!$G$5:$G$480=$A18)*('Project Plan'!$R$5:$R$480))</f>
        <v>92</v>
      </c>
      <c r="G18" s="32" t="n">
        <f aca="false">SUMPRODUCT(('Project Plan'!$C$5:$C$480=3)*('Project Plan'!$G$5:$G$480=$A18)*('Project Plan'!$S$5:$S$480))</f>
        <v>32</v>
      </c>
      <c r="H18" s="32" t="n">
        <f aca="false">SUMPRODUCT(('Project Plan'!$C$5:$C$480=3)*('Project Plan'!$G$5:$G$480=$A18)*('Project Plan'!$T$5:$T$480))</f>
        <v>18</v>
      </c>
      <c r="I18" s="32" t="n">
        <f aca="false">SUMPRODUCT(('Project Plan'!$C$5:$C$480=3)*('Project Plan'!$G$5:$G$480=$A18)*('Project Plan'!$U$5:$U$480))</f>
        <v>0</v>
      </c>
      <c r="J18" s="32" t="n">
        <f aca="false">SUMPRODUCT(('Project Plan'!$C$5:$C$480=3)*('Project Plan'!$G$5:$G$480=$A18)*('Project Plan'!$V$5:$V$480))</f>
        <v>59</v>
      </c>
      <c r="K18" s="32" t="n">
        <f aca="false">SUMPRODUCT(('Project Plan'!$C$5:$C$480=3)*('Project Plan'!$G$5:$G$480=$A18)*('Project Plan'!$W$5:$W$480))</f>
        <v>21</v>
      </c>
      <c r="L18" s="32" t="n">
        <f aca="false">SUMPRODUCT(('Project Plan'!$C$5:$C$480=3)*('Project Plan'!$G$5:$G$480=$A18)*('Project Plan'!$X$5:$X$480))</f>
        <v>11</v>
      </c>
      <c r="M18" s="41" t="n">
        <f aca="false">SUM(B18:L18)</f>
        <v>453</v>
      </c>
      <c r="N18" s="41" t="n">
        <f aca="false">M18*(1+Assumptions!$C$5)</f>
        <v>520.95</v>
      </c>
      <c r="O18" s="42" t="n">
        <f aca="false">(B18*Assumptions!$C$12+C18*Assumptions!$C$13+D18*Assumptions!$C$14+E18*Assumptions!$C$15+F18*Assumptions!$C$16+G18*Assumptions!$C$17+H18*Assumptions!$C$18+I18*Assumptions!$C$19+J18*Assumptions!$C$20+K18*Assumptions!$C$21+L18*Assumptions!$C$22)*(1+Assumptions!$C$5)</f>
        <v>0</v>
      </c>
    </row>
    <row r="19" customFormat="false" ht="15" hidden="false" customHeight="false" outlineLevel="0" collapsed="false">
      <c r="A19" s="6" t="s">
        <v>352</v>
      </c>
      <c r="B19" s="32" t="n">
        <f aca="false">SUMPRODUCT(('Project Plan'!$C$5:$C$480=3)*('Project Plan'!$G$5:$G$480=$A19)*('Project Plan'!$N$5:$N$480))</f>
        <v>1</v>
      </c>
      <c r="C19" s="32" t="n">
        <f aca="false">SUMPRODUCT(('Project Plan'!$C$5:$C$480=3)*('Project Plan'!$G$5:$G$480=$A19)*('Project Plan'!$O$5:$O$480))</f>
        <v>40</v>
      </c>
      <c r="D19" s="32" t="n">
        <f aca="false">SUMPRODUCT(('Project Plan'!$C$5:$C$480=3)*('Project Plan'!$G$5:$G$480=$A19)*('Project Plan'!$P$5:$P$480))</f>
        <v>11</v>
      </c>
      <c r="E19" s="32" t="n">
        <f aca="false">SUMPRODUCT(('Project Plan'!$C$5:$C$480=3)*('Project Plan'!$G$5:$G$480=$A19)*('Project Plan'!$Q$5:$Q$480))</f>
        <v>131</v>
      </c>
      <c r="F19" s="32" t="n">
        <f aca="false">SUMPRODUCT(('Project Plan'!$C$5:$C$480=3)*('Project Plan'!$G$5:$G$480=$A19)*('Project Plan'!$R$5:$R$480))</f>
        <v>87</v>
      </c>
      <c r="G19" s="32" t="n">
        <f aca="false">SUMPRODUCT(('Project Plan'!$C$5:$C$480=3)*('Project Plan'!$G$5:$G$480=$A19)*('Project Plan'!$S$5:$S$480))</f>
        <v>30</v>
      </c>
      <c r="H19" s="32" t="n">
        <f aca="false">SUMPRODUCT(('Project Plan'!$C$5:$C$480=3)*('Project Plan'!$G$5:$G$480=$A19)*('Project Plan'!$T$5:$T$480))</f>
        <v>17</v>
      </c>
      <c r="I19" s="32" t="n">
        <f aca="false">SUMPRODUCT(('Project Plan'!$C$5:$C$480=3)*('Project Plan'!$G$5:$G$480=$A19)*('Project Plan'!$U$5:$U$480))</f>
        <v>0</v>
      </c>
      <c r="J19" s="32" t="n">
        <f aca="false">SUMPRODUCT(('Project Plan'!$C$5:$C$480=3)*('Project Plan'!$G$5:$G$480=$A19)*('Project Plan'!$V$5:$V$480))</f>
        <v>51</v>
      </c>
      <c r="K19" s="32" t="n">
        <f aca="false">SUMPRODUCT(('Project Plan'!$C$5:$C$480=3)*('Project Plan'!$G$5:$G$480=$A19)*('Project Plan'!$W$5:$W$480))</f>
        <v>20</v>
      </c>
      <c r="L19" s="32" t="n">
        <f aca="false">SUMPRODUCT(('Project Plan'!$C$5:$C$480=3)*('Project Plan'!$G$5:$G$480=$A19)*('Project Plan'!$X$5:$X$480))</f>
        <v>10</v>
      </c>
      <c r="M19" s="41" t="n">
        <f aca="false">SUM(B19:L19)</f>
        <v>398</v>
      </c>
      <c r="N19" s="41" t="n">
        <f aca="false">M19*(1+Assumptions!$C$5)</f>
        <v>457.7</v>
      </c>
      <c r="O19" s="42" t="n">
        <f aca="false">(B19*Assumptions!$C$12+C19*Assumptions!$C$13+D19*Assumptions!$C$14+E19*Assumptions!$C$15+F19*Assumptions!$C$16+G19*Assumptions!$C$17+H19*Assumptions!$C$18+I19*Assumptions!$C$19+J19*Assumptions!$C$20+K19*Assumptions!$C$21+L19*Assumptions!$C$22)*(1+Assumptions!$C$5)</f>
        <v>0</v>
      </c>
    </row>
    <row r="20" customFormat="false" ht="15" hidden="false" customHeight="false" outlineLevel="0" collapsed="false">
      <c r="A20" s="6" t="s">
        <v>383</v>
      </c>
      <c r="B20" s="32" t="n">
        <f aca="false">SUMPRODUCT(('Project Plan'!$C$5:$C$480=3)*('Project Plan'!$G$5:$G$480=$A20)*('Project Plan'!$N$5:$N$480))</f>
        <v>1</v>
      </c>
      <c r="C20" s="32" t="n">
        <f aca="false">SUMPRODUCT(('Project Plan'!$C$5:$C$480=3)*('Project Plan'!$G$5:$G$480=$A20)*('Project Plan'!$O$5:$O$480))</f>
        <v>35</v>
      </c>
      <c r="D20" s="32" t="n">
        <f aca="false">SUMPRODUCT(('Project Plan'!$C$5:$C$480=3)*('Project Plan'!$G$5:$G$480=$A20)*('Project Plan'!$P$5:$P$480))</f>
        <v>11</v>
      </c>
      <c r="E20" s="32" t="n">
        <f aca="false">SUMPRODUCT(('Project Plan'!$C$5:$C$480=3)*('Project Plan'!$G$5:$G$480=$A20)*('Project Plan'!$Q$5:$Q$480))</f>
        <v>124</v>
      </c>
      <c r="F20" s="32" t="n">
        <f aca="false">SUMPRODUCT(('Project Plan'!$C$5:$C$480=3)*('Project Plan'!$G$5:$G$480=$A20)*('Project Plan'!$R$5:$R$480))</f>
        <v>79</v>
      </c>
      <c r="G20" s="32" t="n">
        <f aca="false">SUMPRODUCT(('Project Plan'!$C$5:$C$480=3)*('Project Plan'!$G$5:$G$480=$A20)*('Project Plan'!$S$5:$S$480))</f>
        <v>9</v>
      </c>
      <c r="H20" s="32" t="n">
        <f aca="false">SUMPRODUCT(('Project Plan'!$C$5:$C$480=3)*('Project Plan'!$G$5:$G$480=$A20)*('Project Plan'!$T$5:$T$480))</f>
        <v>15</v>
      </c>
      <c r="I20" s="32" t="n">
        <f aca="false">SUMPRODUCT(('Project Plan'!$C$5:$C$480=3)*('Project Plan'!$G$5:$G$480=$A20)*('Project Plan'!$U$5:$U$480))</f>
        <v>0</v>
      </c>
      <c r="J20" s="32" t="n">
        <f aca="false">SUMPRODUCT(('Project Plan'!$C$5:$C$480=3)*('Project Plan'!$G$5:$G$480=$A20)*('Project Plan'!$V$5:$V$480))</f>
        <v>50</v>
      </c>
      <c r="K20" s="32" t="n">
        <f aca="false">SUMPRODUCT(('Project Plan'!$C$5:$C$480=3)*('Project Plan'!$G$5:$G$480=$A20)*('Project Plan'!$W$5:$W$480))</f>
        <v>0</v>
      </c>
      <c r="L20" s="32" t="n">
        <f aca="false">SUMPRODUCT(('Project Plan'!$C$5:$C$480=3)*('Project Plan'!$G$5:$G$480=$A20)*('Project Plan'!$X$5:$X$480))</f>
        <v>9</v>
      </c>
      <c r="M20" s="41" t="n">
        <f aca="false">SUM(B20:L20)</f>
        <v>333</v>
      </c>
      <c r="N20" s="41" t="n">
        <f aca="false">M20*(1+Assumptions!$C$5)</f>
        <v>382.95</v>
      </c>
      <c r="O20" s="42" t="n">
        <f aca="false">(B20*Assumptions!$C$12+C20*Assumptions!$C$13+D20*Assumptions!$C$14+E20*Assumptions!$C$15+F20*Assumptions!$C$16+G20*Assumptions!$C$17+H20*Assumptions!$C$18+I20*Assumptions!$C$19+J20*Assumptions!$C$20+K20*Assumptions!$C$21+L20*Assumptions!$C$22)*(1+Assumptions!$C$5)</f>
        <v>0</v>
      </c>
    </row>
    <row r="21" customFormat="false" ht="15" hidden="false" customHeight="false" outlineLevel="0" collapsed="false">
      <c r="A21" s="6" t="s">
        <v>411</v>
      </c>
      <c r="B21" s="32" t="n">
        <f aca="false">SUMPRODUCT(('Project Plan'!$C$5:$C$480=3)*('Project Plan'!$G$5:$G$480=$A21)*('Project Plan'!$N$5:$N$480))</f>
        <v>1</v>
      </c>
      <c r="C21" s="32" t="n">
        <f aca="false">SUMPRODUCT(('Project Plan'!$C$5:$C$480=3)*('Project Plan'!$G$5:$G$480=$A21)*('Project Plan'!$O$5:$O$480))</f>
        <v>38</v>
      </c>
      <c r="D21" s="32" t="n">
        <f aca="false">SUMPRODUCT(('Project Plan'!$C$5:$C$480=3)*('Project Plan'!$G$5:$G$480=$A21)*('Project Plan'!$P$5:$P$480))</f>
        <v>11</v>
      </c>
      <c r="E21" s="32" t="n">
        <f aca="false">SUMPRODUCT(('Project Plan'!$C$5:$C$480=3)*('Project Plan'!$G$5:$G$480=$A21)*('Project Plan'!$Q$5:$Q$480))</f>
        <v>126</v>
      </c>
      <c r="F21" s="32" t="n">
        <f aca="false">SUMPRODUCT(('Project Plan'!$C$5:$C$480=3)*('Project Plan'!$G$5:$G$480=$A21)*('Project Plan'!$R$5:$R$480))</f>
        <v>61</v>
      </c>
      <c r="G21" s="32" t="n">
        <f aca="false">SUMPRODUCT(('Project Plan'!$C$5:$C$480=3)*('Project Plan'!$G$5:$G$480=$A21)*('Project Plan'!$S$5:$S$480))</f>
        <v>0</v>
      </c>
      <c r="H21" s="32" t="n">
        <f aca="false">SUMPRODUCT(('Project Plan'!$C$5:$C$480=3)*('Project Plan'!$G$5:$G$480=$A21)*('Project Plan'!$T$5:$T$480))</f>
        <v>0</v>
      </c>
      <c r="I21" s="32" t="n">
        <f aca="false">SUMPRODUCT(('Project Plan'!$C$5:$C$480=3)*('Project Plan'!$G$5:$G$480=$A21)*('Project Plan'!$U$5:$U$480))</f>
        <v>0</v>
      </c>
      <c r="J21" s="32" t="n">
        <f aca="false">SUMPRODUCT(('Project Plan'!$C$5:$C$480=3)*('Project Plan'!$G$5:$G$480=$A21)*('Project Plan'!$V$5:$V$480))</f>
        <v>49</v>
      </c>
      <c r="K21" s="32" t="n">
        <f aca="false">SUMPRODUCT(('Project Plan'!$C$5:$C$480=3)*('Project Plan'!$G$5:$G$480=$A21)*('Project Plan'!$W$5:$W$480))</f>
        <v>18</v>
      </c>
      <c r="L21" s="32" t="n">
        <f aca="false">SUMPRODUCT(('Project Plan'!$C$5:$C$480=3)*('Project Plan'!$G$5:$G$480=$A21)*('Project Plan'!$X$5:$X$480))</f>
        <v>9</v>
      </c>
      <c r="M21" s="41" t="n">
        <f aca="false">SUM(B21:L21)</f>
        <v>313</v>
      </c>
      <c r="N21" s="41" t="n">
        <f aca="false">M21*(1+Assumptions!$C$5)</f>
        <v>359.95</v>
      </c>
      <c r="O21" s="42" t="n">
        <f aca="false">(B21*Assumptions!$C$12+C21*Assumptions!$C$13+D21*Assumptions!$C$14+E21*Assumptions!$C$15+F21*Assumptions!$C$16+G21*Assumptions!$C$17+H21*Assumptions!$C$18+I21*Assumptions!$C$19+J21*Assumptions!$C$20+K21*Assumptions!$C$21+L21*Assumptions!$C$22)*(1+Assumptions!$C$5)</f>
        <v>0</v>
      </c>
    </row>
    <row r="22" customFormat="false" ht="15" hidden="false" customHeight="false" outlineLevel="0" collapsed="false">
      <c r="A22" s="6" t="s">
        <v>439</v>
      </c>
      <c r="B22" s="32" t="n">
        <f aca="false">SUMPRODUCT(('Project Plan'!$C$5:$C$480=3)*('Project Plan'!$G$5:$G$480=$A22)*('Project Plan'!$N$5:$N$480))</f>
        <v>1</v>
      </c>
      <c r="C22" s="32" t="n">
        <f aca="false">SUMPRODUCT(('Project Plan'!$C$5:$C$480=3)*('Project Plan'!$G$5:$G$480=$A22)*('Project Plan'!$O$5:$O$480))</f>
        <v>38</v>
      </c>
      <c r="D22" s="32" t="n">
        <f aca="false">SUMPRODUCT(('Project Plan'!$C$5:$C$480=3)*('Project Plan'!$G$5:$G$480=$A22)*('Project Plan'!$P$5:$P$480))</f>
        <v>11</v>
      </c>
      <c r="E22" s="32" t="n">
        <f aca="false">SUMPRODUCT(('Project Plan'!$C$5:$C$480=3)*('Project Plan'!$G$5:$G$480=$A22)*('Project Plan'!$Q$5:$Q$480))</f>
        <v>116</v>
      </c>
      <c r="F22" s="32" t="n">
        <f aca="false">SUMPRODUCT(('Project Plan'!$C$5:$C$480=3)*('Project Plan'!$G$5:$G$480=$A22)*('Project Plan'!$R$5:$R$480))</f>
        <v>79</v>
      </c>
      <c r="G22" s="32" t="n">
        <f aca="false">SUMPRODUCT(('Project Plan'!$C$5:$C$480=3)*('Project Plan'!$G$5:$G$480=$A22)*('Project Plan'!$S$5:$S$480))</f>
        <v>9</v>
      </c>
      <c r="H22" s="32" t="n">
        <f aca="false">SUMPRODUCT(('Project Plan'!$C$5:$C$480=3)*('Project Plan'!$G$5:$G$480=$A22)*('Project Plan'!$T$5:$T$480))</f>
        <v>0</v>
      </c>
      <c r="I22" s="32" t="n">
        <f aca="false">SUMPRODUCT(('Project Plan'!$C$5:$C$480=3)*('Project Plan'!$G$5:$G$480=$A22)*('Project Plan'!$U$5:$U$480))</f>
        <v>0</v>
      </c>
      <c r="J22" s="32" t="n">
        <f aca="false">SUMPRODUCT(('Project Plan'!$C$5:$C$480=3)*('Project Plan'!$G$5:$G$480=$A22)*('Project Plan'!$V$5:$V$480))</f>
        <v>49</v>
      </c>
      <c r="K22" s="32" t="n">
        <f aca="false">SUMPRODUCT(('Project Plan'!$C$5:$C$480=3)*('Project Plan'!$G$5:$G$480=$A22)*('Project Plan'!$W$5:$W$480))</f>
        <v>18</v>
      </c>
      <c r="L22" s="32" t="n">
        <f aca="false">SUMPRODUCT(('Project Plan'!$C$5:$C$480=3)*('Project Plan'!$G$5:$G$480=$A22)*('Project Plan'!$X$5:$X$480))</f>
        <v>9</v>
      </c>
      <c r="M22" s="41" t="n">
        <f aca="false">SUM(B22:L22)</f>
        <v>330</v>
      </c>
      <c r="N22" s="41" t="n">
        <f aca="false">M22*(1+Assumptions!$C$5)</f>
        <v>379.5</v>
      </c>
      <c r="O22" s="42" t="n">
        <f aca="false">(B22*Assumptions!$C$12+C22*Assumptions!$C$13+D22*Assumptions!$C$14+E22*Assumptions!$C$15+F22*Assumptions!$C$16+G22*Assumptions!$C$17+H22*Assumptions!$C$18+I22*Assumptions!$C$19+J22*Assumptions!$C$20+K22*Assumptions!$C$21+L22*Assumptions!$C$22)*(1+Assumptions!$C$5)</f>
        <v>0</v>
      </c>
    </row>
    <row r="23" customFormat="false" ht="15" hidden="false" customHeight="false" outlineLevel="0" collapsed="false">
      <c r="A23" s="6" t="s">
        <v>512</v>
      </c>
      <c r="B23" s="32" t="n">
        <f aca="false">SUMPRODUCT(('Project Plan'!$C$5:$C$480=3)*('Project Plan'!$G$5:$G$480=$A23)*('Project Plan'!$N$5:$N$480))</f>
        <v>1</v>
      </c>
      <c r="C23" s="32" t="n">
        <f aca="false">SUMPRODUCT(('Project Plan'!$C$5:$C$480=3)*('Project Plan'!$G$5:$G$480=$A23)*('Project Plan'!$O$5:$O$480))</f>
        <v>33</v>
      </c>
      <c r="D23" s="32" t="n">
        <f aca="false">SUMPRODUCT(('Project Plan'!$C$5:$C$480=3)*('Project Plan'!$G$5:$G$480=$A23)*('Project Plan'!$P$5:$P$480))</f>
        <v>9</v>
      </c>
      <c r="E23" s="32" t="n">
        <f aca="false">SUMPRODUCT(('Project Plan'!$C$5:$C$480=3)*('Project Plan'!$G$5:$G$480=$A23)*('Project Plan'!$Q$5:$Q$480))</f>
        <v>103</v>
      </c>
      <c r="F23" s="32" t="n">
        <f aca="false">SUMPRODUCT(('Project Plan'!$C$5:$C$480=3)*('Project Plan'!$G$5:$G$480=$A23)*('Project Plan'!$R$5:$R$480))</f>
        <v>67</v>
      </c>
      <c r="G23" s="32" t="n">
        <f aca="false">SUMPRODUCT(('Project Plan'!$C$5:$C$480=3)*('Project Plan'!$G$5:$G$480=$A23)*('Project Plan'!$S$5:$S$480))</f>
        <v>24</v>
      </c>
      <c r="H23" s="32" t="n">
        <f aca="false">SUMPRODUCT(('Project Plan'!$C$5:$C$480=3)*('Project Plan'!$G$5:$G$480=$A23)*('Project Plan'!$T$5:$T$480))</f>
        <v>13</v>
      </c>
      <c r="I23" s="32" t="n">
        <f aca="false">SUMPRODUCT(('Project Plan'!$C$5:$C$480=3)*('Project Plan'!$G$5:$G$480=$A23)*('Project Plan'!$U$5:$U$480))</f>
        <v>0</v>
      </c>
      <c r="J23" s="32" t="n">
        <f aca="false">SUMPRODUCT(('Project Plan'!$C$5:$C$480=3)*('Project Plan'!$G$5:$G$480=$A23)*('Project Plan'!$V$5:$V$480))</f>
        <v>40</v>
      </c>
      <c r="K23" s="32" t="n">
        <f aca="false">SUMPRODUCT(('Project Plan'!$C$5:$C$480=3)*('Project Plan'!$G$5:$G$480=$A23)*('Project Plan'!$W$5:$W$480))</f>
        <v>16</v>
      </c>
      <c r="L23" s="32" t="n">
        <f aca="false">SUMPRODUCT(('Project Plan'!$C$5:$C$480=3)*('Project Plan'!$G$5:$G$480=$A23)*('Project Plan'!$X$5:$X$480))</f>
        <v>8</v>
      </c>
      <c r="M23" s="41" t="n">
        <f aca="false">SUM(B23:L23)</f>
        <v>314</v>
      </c>
      <c r="N23" s="41" t="n">
        <f aca="false">M23*(1+Assumptions!$C$5)</f>
        <v>361.1</v>
      </c>
      <c r="O23" s="42" t="n">
        <f aca="false">(B23*Assumptions!$C$12+C23*Assumptions!$C$13+D23*Assumptions!$C$14+E23*Assumptions!$C$15+F23*Assumptions!$C$16+G23*Assumptions!$C$17+H23*Assumptions!$C$18+I23*Assumptions!$C$19+J23*Assumptions!$C$20+K23*Assumptions!$C$21+L23*Assumptions!$C$22)*(1+Assumptions!$C$5)</f>
        <v>0</v>
      </c>
    </row>
    <row r="24" customFormat="false" ht="15" hidden="false" customHeight="false" outlineLevel="0" collapsed="false">
      <c r="A24" s="6" t="s">
        <v>543</v>
      </c>
      <c r="B24" s="32" t="n">
        <f aca="false">SUMPRODUCT(('Project Plan'!$C$5:$C$480=3)*('Project Plan'!$G$5:$G$480=$A24)*('Project Plan'!$N$5:$N$480))</f>
        <v>1</v>
      </c>
      <c r="C24" s="32" t="n">
        <f aca="false">SUMPRODUCT(('Project Plan'!$C$5:$C$480=3)*('Project Plan'!$G$5:$G$480=$A24)*('Project Plan'!$O$5:$O$480))</f>
        <v>27</v>
      </c>
      <c r="D24" s="32" t="n">
        <f aca="false">SUMPRODUCT(('Project Plan'!$C$5:$C$480=3)*('Project Plan'!$G$5:$G$480=$A24)*('Project Plan'!$P$5:$P$480))</f>
        <v>8</v>
      </c>
      <c r="E24" s="32" t="n">
        <f aca="false">SUMPRODUCT(('Project Plan'!$C$5:$C$480=3)*('Project Plan'!$G$5:$G$480=$A24)*('Project Plan'!$Q$5:$Q$480))</f>
        <v>92</v>
      </c>
      <c r="F24" s="32" t="n">
        <f aca="false">SUMPRODUCT(('Project Plan'!$C$5:$C$480=3)*('Project Plan'!$G$5:$G$480=$A24)*('Project Plan'!$R$5:$R$480))</f>
        <v>59</v>
      </c>
      <c r="G24" s="32" t="n">
        <f aca="false">SUMPRODUCT(('Project Plan'!$C$5:$C$480=3)*('Project Plan'!$G$5:$G$480=$A24)*('Project Plan'!$S$5:$S$480))</f>
        <v>21</v>
      </c>
      <c r="H24" s="32" t="n">
        <f aca="false">SUMPRODUCT(('Project Plan'!$C$5:$C$480=3)*('Project Plan'!$G$5:$G$480=$A24)*('Project Plan'!$T$5:$T$480))</f>
        <v>11</v>
      </c>
      <c r="I24" s="32" t="n">
        <f aca="false">SUMPRODUCT(('Project Plan'!$C$5:$C$480=3)*('Project Plan'!$G$5:$G$480=$A24)*('Project Plan'!$U$5:$U$480))</f>
        <v>0</v>
      </c>
      <c r="J24" s="32" t="n">
        <f aca="false">SUMPRODUCT(('Project Plan'!$C$5:$C$480=3)*('Project Plan'!$G$5:$G$480=$A24)*('Project Plan'!$V$5:$V$480))</f>
        <v>34</v>
      </c>
      <c r="K24" s="32" t="n">
        <f aca="false">SUMPRODUCT(('Project Plan'!$C$5:$C$480=3)*('Project Plan'!$G$5:$G$480=$A24)*('Project Plan'!$W$5:$W$480))</f>
        <v>14</v>
      </c>
      <c r="L24" s="32" t="n">
        <f aca="false">SUMPRODUCT(('Project Plan'!$C$5:$C$480=3)*('Project Plan'!$G$5:$G$480=$A24)*('Project Plan'!$X$5:$X$480))</f>
        <v>7</v>
      </c>
      <c r="M24" s="41" t="n">
        <f aca="false">SUM(B24:L24)</f>
        <v>274</v>
      </c>
      <c r="N24" s="41" t="n">
        <f aca="false">M24*(1+Assumptions!$C$5)</f>
        <v>315.1</v>
      </c>
      <c r="O24" s="42" t="n">
        <f aca="false">(B24*Assumptions!$C$12+C24*Assumptions!$C$13+D24*Assumptions!$C$14+E24*Assumptions!$C$15+F24*Assumptions!$C$16+G24*Assumptions!$C$17+H24*Assumptions!$C$18+I24*Assumptions!$C$19+J24*Assumptions!$C$20+K24*Assumptions!$C$21+L24*Assumptions!$C$22)*(1+Assumptions!$C$5)</f>
        <v>0</v>
      </c>
    </row>
    <row r="25" customFormat="false" ht="15" hidden="false" customHeight="false" outlineLevel="0" collapsed="false">
      <c r="A25" s="6" t="s">
        <v>573</v>
      </c>
      <c r="B25" s="32" t="n">
        <f aca="false">SUMPRODUCT(('Project Plan'!$C$5:$C$480=3)*('Project Plan'!$G$5:$G$480=$A25)*('Project Plan'!$N$5:$N$480))</f>
        <v>1</v>
      </c>
      <c r="C25" s="32" t="n">
        <f aca="false">SUMPRODUCT(('Project Plan'!$C$5:$C$480=3)*('Project Plan'!$G$5:$G$480=$A25)*('Project Plan'!$O$5:$O$480))</f>
        <v>28</v>
      </c>
      <c r="D25" s="32" t="n">
        <f aca="false">SUMPRODUCT(('Project Plan'!$C$5:$C$480=3)*('Project Plan'!$G$5:$G$480=$A25)*('Project Plan'!$P$5:$P$480))</f>
        <v>8</v>
      </c>
      <c r="E25" s="32" t="n">
        <f aca="false">SUMPRODUCT(('Project Plan'!$C$5:$C$480=3)*('Project Plan'!$G$5:$G$480=$A25)*('Project Plan'!$Q$5:$Q$480))</f>
        <v>138</v>
      </c>
      <c r="F25" s="32" t="n">
        <f aca="false">SUMPRODUCT(('Project Plan'!$C$5:$C$480=3)*('Project Plan'!$G$5:$G$480=$A25)*('Project Plan'!$R$5:$R$480))</f>
        <v>61</v>
      </c>
      <c r="G25" s="32" t="n">
        <f aca="false">SUMPRODUCT(('Project Plan'!$C$5:$C$480=3)*('Project Plan'!$G$5:$G$480=$A25)*('Project Plan'!$S$5:$S$480))</f>
        <v>21</v>
      </c>
      <c r="H25" s="32" t="n">
        <f aca="false">SUMPRODUCT(('Project Plan'!$C$5:$C$480=3)*('Project Plan'!$G$5:$G$480=$A25)*('Project Plan'!$T$5:$T$480))</f>
        <v>12</v>
      </c>
      <c r="I25" s="32" t="n">
        <f aca="false">SUMPRODUCT(('Project Plan'!$C$5:$C$480=3)*('Project Plan'!$G$5:$G$480=$A25)*('Project Plan'!$U$5:$U$480))</f>
        <v>0</v>
      </c>
      <c r="J25" s="32" t="n">
        <f aca="false">SUMPRODUCT(('Project Plan'!$C$5:$C$480=3)*('Project Plan'!$G$5:$G$480=$A25)*('Project Plan'!$V$5:$V$480))</f>
        <v>45</v>
      </c>
      <c r="K25" s="32" t="n">
        <f aca="false">SUMPRODUCT(('Project Plan'!$C$5:$C$480=3)*('Project Plan'!$G$5:$G$480=$A25)*('Project Plan'!$W$5:$W$480))</f>
        <v>14</v>
      </c>
      <c r="L25" s="32" t="n">
        <f aca="false">SUMPRODUCT(('Project Plan'!$C$5:$C$480=3)*('Project Plan'!$G$5:$G$480=$A25)*('Project Plan'!$X$5:$X$480))</f>
        <v>7</v>
      </c>
      <c r="M25" s="41" t="n">
        <f aca="false">SUM(B25:L25)</f>
        <v>335</v>
      </c>
      <c r="N25" s="41" t="n">
        <f aca="false">M25*(1+Assumptions!$C$5)</f>
        <v>385.25</v>
      </c>
      <c r="O25" s="42" t="n">
        <f aca="false">(B25*Assumptions!$C$12+C25*Assumptions!$C$13+D25*Assumptions!$C$14+E25*Assumptions!$C$15+F25*Assumptions!$C$16+G25*Assumptions!$C$17+H25*Assumptions!$C$18+I25*Assumptions!$C$19+J25*Assumptions!$C$20+K25*Assumptions!$C$21+L25*Assumptions!$C$22)*(1+Assumptions!$C$5)</f>
        <v>0</v>
      </c>
    </row>
    <row r="26" customFormat="false" ht="15" hidden="false" customHeight="false" outlineLevel="0" collapsed="false">
      <c r="A26" s="6" t="s">
        <v>604</v>
      </c>
      <c r="B26" s="32" t="n">
        <f aca="false">SUMPRODUCT(('Project Plan'!$C$5:$C$480=3)*('Project Plan'!$G$5:$G$480=$A26)*('Project Plan'!$N$5:$N$480))</f>
        <v>1</v>
      </c>
      <c r="C26" s="32" t="n">
        <f aca="false">SUMPRODUCT(('Project Plan'!$C$5:$C$480=3)*('Project Plan'!$G$5:$G$480=$A26)*('Project Plan'!$O$5:$O$480))</f>
        <v>28</v>
      </c>
      <c r="D26" s="32" t="n">
        <f aca="false">SUMPRODUCT(('Project Plan'!$C$5:$C$480=3)*('Project Plan'!$G$5:$G$480=$A26)*('Project Plan'!$P$5:$P$480))</f>
        <v>8</v>
      </c>
      <c r="E26" s="32" t="n">
        <f aca="false">SUMPRODUCT(('Project Plan'!$C$5:$C$480=3)*('Project Plan'!$G$5:$G$480=$A26)*('Project Plan'!$Q$5:$Q$480))</f>
        <v>98</v>
      </c>
      <c r="F26" s="32" t="n">
        <f aca="false">SUMPRODUCT(('Project Plan'!$C$5:$C$480=3)*('Project Plan'!$G$5:$G$480=$A26)*('Project Plan'!$R$5:$R$480))</f>
        <v>61</v>
      </c>
      <c r="G26" s="32" t="n">
        <f aca="false">SUMPRODUCT(('Project Plan'!$C$5:$C$480=3)*('Project Plan'!$G$5:$G$480=$A26)*('Project Plan'!$S$5:$S$480))</f>
        <v>21</v>
      </c>
      <c r="H26" s="32" t="n">
        <f aca="false">SUMPRODUCT(('Project Plan'!$C$5:$C$480=3)*('Project Plan'!$G$5:$G$480=$A26)*('Project Plan'!$T$5:$T$480))</f>
        <v>12</v>
      </c>
      <c r="I26" s="32" t="n">
        <f aca="false">SUMPRODUCT(('Project Plan'!$C$5:$C$480=3)*('Project Plan'!$G$5:$G$480=$A26)*('Project Plan'!$U$5:$U$480))</f>
        <v>0</v>
      </c>
      <c r="J26" s="32" t="n">
        <f aca="false">SUMPRODUCT(('Project Plan'!$C$5:$C$480=3)*('Project Plan'!$G$5:$G$480=$A26)*('Project Plan'!$V$5:$V$480))</f>
        <v>38</v>
      </c>
      <c r="K26" s="32" t="n">
        <f aca="false">SUMPRODUCT(('Project Plan'!$C$5:$C$480=3)*('Project Plan'!$G$5:$G$480=$A26)*('Project Plan'!$W$5:$W$480))</f>
        <v>14</v>
      </c>
      <c r="L26" s="32" t="n">
        <f aca="false">SUMPRODUCT(('Project Plan'!$C$5:$C$480=3)*('Project Plan'!$G$5:$G$480=$A26)*('Project Plan'!$X$5:$X$480))</f>
        <v>7</v>
      </c>
      <c r="M26" s="41" t="n">
        <f aca="false">SUM(B26:L26)</f>
        <v>288</v>
      </c>
      <c r="N26" s="41" t="n">
        <f aca="false">M26*(1+Assumptions!$C$5)</f>
        <v>331.2</v>
      </c>
      <c r="O26" s="42" t="n">
        <f aca="false">(B26*Assumptions!$C$12+C26*Assumptions!$C$13+D26*Assumptions!$C$14+E26*Assumptions!$C$15+F26*Assumptions!$C$16+G26*Assumptions!$C$17+H26*Assumptions!$C$18+I26*Assumptions!$C$19+J26*Assumptions!$C$20+K26*Assumptions!$C$21+L26*Assumptions!$C$22)*(1+Assumptions!$C$5)</f>
        <v>0</v>
      </c>
    </row>
    <row r="27" customFormat="false" ht="15" hidden="false" customHeight="false" outlineLevel="0" collapsed="false">
      <c r="A27" s="6" t="s">
        <v>634</v>
      </c>
      <c r="B27" s="32" t="n">
        <f aca="false">SUMPRODUCT(('Project Plan'!$C$5:$C$480=3)*('Project Plan'!$G$5:$G$480=$A27)*('Project Plan'!$N$5:$N$480))</f>
        <v>1</v>
      </c>
      <c r="C27" s="32" t="n">
        <f aca="false">SUMPRODUCT(('Project Plan'!$C$5:$C$480=3)*('Project Plan'!$G$5:$G$480=$A27)*('Project Plan'!$O$5:$O$480))</f>
        <v>21</v>
      </c>
      <c r="D27" s="32" t="n">
        <f aca="false">SUMPRODUCT(('Project Plan'!$C$5:$C$480=3)*('Project Plan'!$G$5:$G$480=$A27)*('Project Plan'!$P$5:$P$480))</f>
        <v>6</v>
      </c>
      <c r="E27" s="32" t="n">
        <f aca="false">SUMPRODUCT(('Project Plan'!$C$5:$C$480=3)*('Project Plan'!$G$5:$G$480=$A27)*('Project Plan'!$Q$5:$Q$480))</f>
        <v>81</v>
      </c>
      <c r="F27" s="32" t="n">
        <f aca="false">SUMPRODUCT(('Project Plan'!$C$5:$C$480=3)*('Project Plan'!$G$5:$G$480=$A27)*('Project Plan'!$R$5:$R$480))</f>
        <v>45</v>
      </c>
      <c r="G27" s="32" t="n">
        <f aca="false">SUMPRODUCT(('Project Plan'!$C$5:$C$480=3)*('Project Plan'!$G$5:$G$480=$A27)*('Project Plan'!$S$5:$S$480))</f>
        <v>15</v>
      </c>
      <c r="H27" s="32" t="n">
        <f aca="false">SUMPRODUCT(('Project Plan'!$C$5:$C$480=3)*('Project Plan'!$G$5:$G$480=$A27)*('Project Plan'!$T$5:$T$480))</f>
        <v>9</v>
      </c>
      <c r="I27" s="32" t="n">
        <f aca="false">SUMPRODUCT(('Project Plan'!$C$5:$C$480=3)*('Project Plan'!$G$5:$G$480=$A27)*('Project Plan'!$U$5:$U$480))</f>
        <v>0</v>
      </c>
      <c r="J27" s="32" t="n">
        <f aca="false">SUMPRODUCT(('Project Plan'!$C$5:$C$480=3)*('Project Plan'!$G$5:$G$480=$A27)*('Project Plan'!$V$5:$V$480))</f>
        <v>29</v>
      </c>
      <c r="K27" s="32" t="n">
        <f aca="false">SUMPRODUCT(('Project Plan'!$C$5:$C$480=3)*('Project Plan'!$G$5:$G$480=$A27)*('Project Plan'!$W$5:$W$480))</f>
        <v>0</v>
      </c>
      <c r="L27" s="32" t="n">
        <f aca="false">SUMPRODUCT(('Project Plan'!$C$5:$C$480=3)*('Project Plan'!$G$5:$G$480=$A27)*('Project Plan'!$X$5:$X$480))</f>
        <v>5</v>
      </c>
      <c r="M27" s="41" t="n">
        <f aca="false">SUM(B27:L27)</f>
        <v>212</v>
      </c>
      <c r="N27" s="41" t="n">
        <f aca="false">M27*(1+Assumptions!$C$5)</f>
        <v>243.8</v>
      </c>
      <c r="O27" s="42" t="n">
        <f aca="false">(B27*Assumptions!$C$12+C27*Assumptions!$C$13+D27*Assumptions!$C$14+E27*Assumptions!$C$15+F27*Assumptions!$C$16+G27*Assumptions!$C$17+H27*Assumptions!$C$18+I27*Assumptions!$C$19+J27*Assumptions!$C$20+K27*Assumptions!$C$21+L27*Assumptions!$C$22)*(1+Assumptions!$C$5)</f>
        <v>0</v>
      </c>
    </row>
    <row r="28" customFormat="false" ht="15" hidden="false" customHeight="false" outlineLevel="0" collapsed="false">
      <c r="A28" s="6" t="s">
        <v>692</v>
      </c>
      <c r="B28" s="32" t="n">
        <f aca="false">SUMPRODUCT(('Project Plan'!$C$5:$C$480=3)*('Project Plan'!$G$5:$G$480=$A28)*('Project Plan'!$N$5:$N$480))</f>
        <v>1</v>
      </c>
      <c r="C28" s="32" t="n">
        <f aca="false">SUMPRODUCT(('Project Plan'!$C$5:$C$480=3)*('Project Plan'!$G$5:$G$480=$A28)*('Project Plan'!$O$5:$O$480))</f>
        <v>21</v>
      </c>
      <c r="D28" s="32" t="n">
        <f aca="false">SUMPRODUCT(('Project Plan'!$C$5:$C$480=3)*('Project Plan'!$G$5:$G$480=$A28)*('Project Plan'!$P$5:$P$480))</f>
        <v>6</v>
      </c>
      <c r="E28" s="32" t="n">
        <f aca="false">SUMPRODUCT(('Project Plan'!$C$5:$C$480=3)*('Project Plan'!$G$5:$G$480=$A28)*('Project Plan'!$Q$5:$Q$480))</f>
        <v>86</v>
      </c>
      <c r="F28" s="32" t="n">
        <f aca="false">SUMPRODUCT(('Project Plan'!$C$5:$C$480=3)*('Project Plan'!$G$5:$G$480=$A28)*('Project Plan'!$R$5:$R$480))</f>
        <v>35</v>
      </c>
      <c r="G28" s="32" t="n">
        <f aca="false">SUMPRODUCT(('Project Plan'!$C$5:$C$480=3)*('Project Plan'!$G$5:$G$480=$A28)*('Project Plan'!$S$5:$S$480))</f>
        <v>11</v>
      </c>
      <c r="H28" s="32" t="n">
        <f aca="false">SUMPRODUCT(('Project Plan'!$C$5:$C$480=3)*('Project Plan'!$G$5:$G$480=$A28)*('Project Plan'!$T$5:$T$480))</f>
        <v>9</v>
      </c>
      <c r="I28" s="32" t="n">
        <f aca="false">SUMPRODUCT(('Project Plan'!$C$5:$C$480=3)*('Project Plan'!$G$5:$G$480=$A28)*('Project Plan'!$U$5:$U$480))</f>
        <v>0</v>
      </c>
      <c r="J28" s="32" t="n">
        <f aca="false">SUMPRODUCT(('Project Plan'!$C$5:$C$480=3)*('Project Plan'!$G$5:$G$480=$A28)*('Project Plan'!$V$5:$V$480))</f>
        <v>29</v>
      </c>
      <c r="K28" s="32" t="n">
        <f aca="false">SUMPRODUCT(('Project Plan'!$C$5:$C$480=3)*('Project Plan'!$G$5:$G$480=$A28)*('Project Plan'!$W$5:$W$480))</f>
        <v>0</v>
      </c>
      <c r="L28" s="32" t="n">
        <f aca="false">SUMPRODUCT(('Project Plan'!$C$5:$C$480=3)*('Project Plan'!$G$5:$G$480=$A28)*('Project Plan'!$X$5:$X$480))</f>
        <v>5</v>
      </c>
      <c r="M28" s="41" t="n">
        <f aca="false">SUM(B28:L28)</f>
        <v>203</v>
      </c>
      <c r="N28" s="41" t="n">
        <f aca="false">M28*(1+Assumptions!$C$5)</f>
        <v>233.45</v>
      </c>
      <c r="O28" s="42" t="n">
        <f aca="false">(B28*Assumptions!$C$12+C28*Assumptions!$C$13+D28*Assumptions!$C$14+E28*Assumptions!$C$15+F28*Assumptions!$C$16+G28*Assumptions!$C$17+H28*Assumptions!$C$18+I28*Assumptions!$C$19+J28*Assumptions!$C$20+K28*Assumptions!$C$21+L28*Assumptions!$C$22)*(1+Assumptions!$C$5)</f>
        <v>0</v>
      </c>
    </row>
    <row r="29" customFormat="false" ht="15" hidden="false" customHeight="false" outlineLevel="0" collapsed="false">
      <c r="A29" s="6" t="s">
        <v>720</v>
      </c>
      <c r="B29" s="32" t="n">
        <f aca="false">SUMPRODUCT(('Project Plan'!$C$5:$C$480=3)*('Project Plan'!$G$5:$G$480=$A29)*('Project Plan'!$N$5:$N$480))</f>
        <v>1</v>
      </c>
      <c r="C29" s="32" t="n">
        <f aca="false">SUMPRODUCT(('Project Plan'!$C$5:$C$480=3)*('Project Plan'!$G$5:$G$480=$A29)*('Project Plan'!$O$5:$O$480))</f>
        <v>23</v>
      </c>
      <c r="D29" s="32" t="n">
        <f aca="false">SUMPRODUCT(('Project Plan'!$C$5:$C$480=3)*('Project Plan'!$G$5:$G$480=$A29)*('Project Plan'!$P$5:$P$480))</f>
        <v>7</v>
      </c>
      <c r="E29" s="32" t="n">
        <f aca="false">SUMPRODUCT(('Project Plan'!$C$5:$C$480=3)*('Project Plan'!$G$5:$G$480=$A29)*('Project Plan'!$Q$5:$Q$480))</f>
        <v>82</v>
      </c>
      <c r="F29" s="32" t="n">
        <f aca="false">SUMPRODUCT(('Project Plan'!$C$5:$C$480=3)*('Project Plan'!$G$5:$G$480=$A29)*('Project Plan'!$R$5:$R$480))</f>
        <v>41</v>
      </c>
      <c r="G29" s="32" t="n">
        <f aca="false">SUMPRODUCT(('Project Plan'!$C$5:$C$480=3)*('Project Plan'!$G$5:$G$480=$A29)*('Project Plan'!$S$5:$S$480))</f>
        <v>12</v>
      </c>
      <c r="H29" s="32" t="n">
        <f aca="false">SUMPRODUCT(('Project Plan'!$C$5:$C$480=3)*('Project Plan'!$G$5:$G$480=$A29)*('Project Plan'!$T$5:$T$480))</f>
        <v>10</v>
      </c>
      <c r="I29" s="32" t="n">
        <f aca="false">SUMPRODUCT(('Project Plan'!$C$5:$C$480=3)*('Project Plan'!$G$5:$G$480=$A29)*('Project Plan'!$U$5:$U$480))</f>
        <v>0</v>
      </c>
      <c r="J29" s="32" t="n">
        <f aca="false">SUMPRODUCT(('Project Plan'!$C$5:$C$480=3)*('Project Plan'!$G$5:$G$480=$A29)*('Project Plan'!$V$5:$V$480))</f>
        <v>31</v>
      </c>
      <c r="K29" s="32" t="n">
        <f aca="false">SUMPRODUCT(('Project Plan'!$C$5:$C$480=3)*('Project Plan'!$G$5:$G$480=$A29)*('Project Plan'!$W$5:$W$480))</f>
        <v>0</v>
      </c>
      <c r="L29" s="32" t="n">
        <f aca="false">SUMPRODUCT(('Project Plan'!$C$5:$C$480=3)*('Project Plan'!$G$5:$G$480=$A29)*('Project Plan'!$X$5:$X$480))</f>
        <v>6</v>
      </c>
      <c r="M29" s="41" t="n">
        <f aca="false">SUM(B29:L29)</f>
        <v>213</v>
      </c>
      <c r="N29" s="41" t="n">
        <f aca="false">M29*(1+Assumptions!$C$5)</f>
        <v>244.95</v>
      </c>
      <c r="O29" s="42" t="n">
        <f aca="false">(B29*Assumptions!$C$12+C29*Assumptions!$C$13+D29*Assumptions!$C$14+E29*Assumptions!$C$15+F29*Assumptions!$C$16+G29*Assumptions!$C$17+H29*Assumptions!$C$18+I29*Assumptions!$C$19+J29*Assumptions!$C$20+K29*Assumptions!$C$21+L29*Assumptions!$C$22)*(1+Assumptions!$C$5)</f>
        <v>0</v>
      </c>
    </row>
    <row r="30" customFormat="false" ht="15" hidden="false" customHeight="false" outlineLevel="0" collapsed="false">
      <c r="A30" s="6" t="s">
        <v>747</v>
      </c>
      <c r="B30" s="32" t="n">
        <f aca="false">SUMPRODUCT(('Project Plan'!$C$5:$C$480=3)*('Project Plan'!$G$5:$G$480=$A30)*('Project Plan'!$N$5:$N$480))</f>
        <v>1</v>
      </c>
      <c r="C30" s="32" t="n">
        <f aca="false">SUMPRODUCT(('Project Plan'!$C$5:$C$480=3)*('Project Plan'!$G$5:$G$480=$A30)*('Project Plan'!$O$5:$O$480))</f>
        <v>13</v>
      </c>
      <c r="D30" s="32" t="n">
        <f aca="false">SUMPRODUCT(('Project Plan'!$C$5:$C$480=3)*('Project Plan'!$G$5:$G$480=$A30)*('Project Plan'!$P$5:$P$480))</f>
        <v>4</v>
      </c>
      <c r="E30" s="32" t="n">
        <f aca="false">SUMPRODUCT(('Project Plan'!$C$5:$C$480=3)*('Project Plan'!$G$5:$G$480=$A30)*('Project Plan'!$Q$5:$Q$480))</f>
        <v>57</v>
      </c>
      <c r="F30" s="32" t="n">
        <f aca="false">SUMPRODUCT(('Project Plan'!$C$5:$C$480=3)*('Project Plan'!$G$5:$G$480=$A30)*('Project Plan'!$R$5:$R$480))</f>
        <v>25</v>
      </c>
      <c r="G30" s="32" t="n">
        <f aca="false">SUMPRODUCT(('Project Plan'!$C$5:$C$480=3)*('Project Plan'!$G$5:$G$480=$A30)*('Project Plan'!$S$5:$S$480))</f>
        <v>8</v>
      </c>
      <c r="H30" s="32" t="n">
        <f aca="false">SUMPRODUCT(('Project Plan'!$C$5:$C$480=3)*('Project Plan'!$G$5:$G$480=$A30)*('Project Plan'!$T$5:$T$480))</f>
        <v>6</v>
      </c>
      <c r="I30" s="32" t="n">
        <f aca="false">SUMPRODUCT(('Project Plan'!$C$5:$C$480=3)*('Project Plan'!$G$5:$G$480=$A30)*('Project Plan'!$U$5:$U$480))</f>
        <v>0</v>
      </c>
      <c r="J30" s="32" t="n">
        <f aca="false">SUMPRODUCT(('Project Plan'!$C$5:$C$480=3)*('Project Plan'!$G$5:$G$480=$A30)*('Project Plan'!$V$5:$V$480))</f>
        <v>19</v>
      </c>
      <c r="K30" s="32" t="n">
        <f aca="false">SUMPRODUCT(('Project Plan'!$C$5:$C$480=3)*('Project Plan'!$G$5:$G$480=$A30)*('Project Plan'!$W$5:$W$480))</f>
        <v>0</v>
      </c>
      <c r="L30" s="32" t="n">
        <f aca="false">SUMPRODUCT(('Project Plan'!$C$5:$C$480=3)*('Project Plan'!$G$5:$G$480=$A30)*('Project Plan'!$X$5:$X$480))</f>
        <v>4</v>
      </c>
      <c r="M30" s="41" t="n">
        <f aca="false">SUM(B30:L30)</f>
        <v>137</v>
      </c>
      <c r="N30" s="41" t="n">
        <f aca="false">M30*(1+Assumptions!$C$5)</f>
        <v>157.55</v>
      </c>
      <c r="O30" s="42" t="n">
        <f aca="false">(B30*Assumptions!$C$12+C30*Assumptions!$C$13+D30*Assumptions!$C$14+E30*Assumptions!$C$15+F30*Assumptions!$C$16+G30*Assumptions!$C$17+H30*Assumptions!$C$18+I30*Assumptions!$C$19+J30*Assumptions!$C$20+K30*Assumptions!$C$21+L30*Assumptions!$C$22)*(1+Assumptions!$C$5)</f>
        <v>0</v>
      </c>
    </row>
    <row r="31" customFormat="false" ht="15" hidden="false" customHeight="false" outlineLevel="0" collapsed="false">
      <c r="A31" s="6" t="s">
        <v>774</v>
      </c>
      <c r="B31" s="32" t="n">
        <f aca="false">SUMPRODUCT(('Project Plan'!$C$5:$C$480=3)*('Project Plan'!$G$5:$G$480=$A31)*('Project Plan'!$N$5:$N$480))</f>
        <v>1</v>
      </c>
      <c r="C31" s="32" t="n">
        <f aca="false">SUMPRODUCT(('Project Plan'!$C$5:$C$480=3)*('Project Plan'!$G$5:$G$480=$A31)*('Project Plan'!$O$5:$O$480))</f>
        <v>21</v>
      </c>
      <c r="D31" s="32" t="n">
        <f aca="false">SUMPRODUCT(('Project Plan'!$C$5:$C$480=3)*('Project Plan'!$G$5:$G$480=$A31)*('Project Plan'!$P$5:$P$480))</f>
        <v>6</v>
      </c>
      <c r="E31" s="32" t="n">
        <f aca="false">SUMPRODUCT(('Project Plan'!$C$5:$C$480=3)*('Project Plan'!$G$5:$G$480=$A31)*('Project Plan'!$Q$5:$Q$480))</f>
        <v>60</v>
      </c>
      <c r="F31" s="32" t="n">
        <f aca="false">SUMPRODUCT(('Project Plan'!$C$5:$C$480=3)*('Project Plan'!$G$5:$G$480=$A31)*('Project Plan'!$R$5:$R$480))</f>
        <v>46</v>
      </c>
      <c r="G31" s="32" t="n">
        <f aca="false">SUMPRODUCT(('Project Plan'!$C$5:$C$480=3)*('Project Plan'!$G$5:$G$480=$A31)*('Project Plan'!$S$5:$S$480))</f>
        <v>16</v>
      </c>
      <c r="H31" s="32" t="n">
        <f aca="false">SUMPRODUCT(('Project Plan'!$C$5:$C$480=3)*('Project Plan'!$G$5:$G$480=$A31)*('Project Plan'!$T$5:$T$480))</f>
        <v>9</v>
      </c>
      <c r="I31" s="32" t="n">
        <f aca="false">SUMPRODUCT(('Project Plan'!$C$5:$C$480=3)*('Project Plan'!$G$5:$G$480=$A31)*('Project Plan'!$U$5:$U$480))</f>
        <v>0</v>
      </c>
      <c r="J31" s="32" t="n">
        <f aca="false">SUMPRODUCT(('Project Plan'!$C$5:$C$480=3)*('Project Plan'!$G$5:$G$480=$A31)*('Project Plan'!$V$5:$V$480))</f>
        <v>26</v>
      </c>
      <c r="K31" s="32" t="n">
        <f aca="false">SUMPRODUCT(('Project Plan'!$C$5:$C$480=3)*('Project Plan'!$G$5:$G$480=$A31)*('Project Plan'!$W$5:$W$480))</f>
        <v>0</v>
      </c>
      <c r="L31" s="32" t="n">
        <f aca="false">SUMPRODUCT(('Project Plan'!$C$5:$C$480=3)*('Project Plan'!$G$5:$G$480=$A31)*('Project Plan'!$X$5:$X$480))</f>
        <v>5</v>
      </c>
      <c r="M31" s="41" t="n">
        <f aca="false">SUM(B31:L31)</f>
        <v>190</v>
      </c>
      <c r="N31" s="41" t="n">
        <f aca="false">M31*(1+Assumptions!$C$5)</f>
        <v>218.5</v>
      </c>
      <c r="O31" s="42" t="n">
        <f aca="false">(B31*Assumptions!$C$12+C31*Assumptions!$C$13+D31*Assumptions!$C$14+E31*Assumptions!$C$15+F31*Assumptions!$C$16+G31*Assumptions!$C$17+H31*Assumptions!$C$18+I31*Assumptions!$C$19+J31*Assumptions!$C$20+K31*Assumptions!$C$21+L31*Assumptions!$C$22)*(1+Assumptions!$C$5)</f>
        <v>0</v>
      </c>
    </row>
    <row r="32" customFormat="false" ht="15" hidden="false" customHeight="false" outlineLevel="0" collapsed="false">
      <c r="A32" s="6" t="s">
        <v>801</v>
      </c>
      <c r="B32" s="32" t="n">
        <f aca="false">SUMPRODUCT(('Project Plan'!$C$5:$C$480=3)*('Project Plan'!$G$5:$G$480=$A32)*('Project Plan'!$N$5:$N$480))</f>
        <v>1</v>
      </c>
      <c r="C32" s="32" t="n">
        <f aca="false">SUMPRODUCT(('Project Plan'!$C$5:$C$480=3)*('Project Plan'!$G$5:$G$480=$A32)*('Project Plan'!$O$5:$O$480))</f>
        <v>20</v>
      </c>
      <c r="D32" s="32" t="n">
        <f aca="false">SUMPRODUCT(('Project Plan'!$C$5:$C$480=3)*('Project Plan'!$G$5:$G$480=$A32)*('Project Plan'!$P$5:$P$480))</f>
        <v>6</v>
      </c>
      <c r="E32" s="32" t="n">
        <f aca="false">SUMPRODUCT(('Project Plan'!$C$5:$C$480=3)*('Project Plan'!$G$5:$G$480=$A32)*('Project Plan'!$Q$5:$Q$480))</f>
        <v>57</v>
      </c>
      <c r="F32" s="32" t="n">
        <f aca="false">SUMPRODUCT(('Project Plan'!$C$5:$C$480=3)*('Project Plan'!$G$5:$G$480=$A32)*('Project Plan'!$R$5:$R$480))</f>
        <v>33</v>
      </c>
      <c r="G32" s="32" t="n">
        <f aca="false">SUMPRODUCT(('Project Plan'!$C$5:$C$480=3)*('Project Plan'!$G$5:$G$480=$A32)*('Project Plan'!$S$5:$S$480))</f>
        <v>0</v>
      </c>
      <c r="H32" s="32" t="n">
        <f aca="false">SUMPRODUCT(('Project Plan'!$C$5:$C$480=3)*('Project Plan'!$G$5:$G$480=$A32)*('Project Plan'!$T$5:$T$480))</f>
        <v>0</v>
      </c>
      <c r="I32" s="32" t="n">
        <f aca="false">SUMPRODUCT(('Project Plan'!$C$5:$C$480=3)*('Project Plan'!$G$5:$G$480=$A32)*('Project Plan'!$U$5:$U$480))</f>
        <v>0</v>
      </c>
      <c r="J32" s="32" t="n">
        <f aca="false">SUMPRODUCT(('Project Plan'!$C$5:$C$480=3)*('Project Plan'!$G$5:$G$480=$A32)*('Project Plan'!$V$5:$V$480))</f>
        <v>25</v>
      </c>
      <c r="K32" s="32" t="n">
        <f aca="false">SUMPRODUCT(('Project Plan'!$C$5:$C$480=3)*('Project Plan'!$G$5:$G$480=$A32)*('Project Plan'!$W$5:$W$480))</f>
        <v>0</v>
      </c>
      <c r="L32" s="32" t="n">
        <f aca="false">SUMPRODUCT(('Project Plan'!$C$5:$C$480=3)*('Project Plan'!$G$5:$G$480=$A32)*('Project Plan'!$X$5:$X$480))</f>
        <v>5</v>
      </c>
      <c r="M32" s="41" t="n">
        <f aca="false">SUM(B32:L32)</f>
        <v>147</v>
      </c>
      <c r="N32" s="41" t="n">
        <f aca="false">M32*(1+Assumptions!$C$5)</f>
        <v>169.05</v>
      </c>
      <c r="O32" s="42" t="n">
        <f aca="false">(B32*Assumptions!$C$12+C32*Assumptions!$C$13+D32*Assumptions!$C$14+E32*Assumptions!$C$15+F32*Assumptions!$C$16+G32*Assumptions!$C$17+H32*Assumptions!$C$18+I32*Assumptions!$C$19+J32*Assumptions!$C$20+K32*Assumptions!$C$21+L32*Assumptions!$C$22)*(1+Assumptions!$C$5)</f>
        <v>0</v>
      </c>
    </row>
    <row r="33" customFormat="false" ht="15" hidden="false" customHeight="false" outlineLevel="0" collapsed="false">
      <c r="A33" s="6" t="s">
        <v>857</v>
      </c>
      <c r="B33" s="32" t="n">
        <f aca="false">SUMPRODUCT(('Project Plan'!$C$5:$C$480=3)*('Project Plan'!$G$5:$G$480=$A33)*('Project Plan'!$N$5:$N$480))</f>
        <v>1</v>
      </c>
      <c r="C33" s="32" t="n">
        <f aca="false">SUMPRODUCT(('Project Plan'!$C$5:$C$480=3)*('Project Plan'!$G$5:$G$480=$A33)*('Project Plan'!$O$5:$O$480))</f>
        <v>25</v>
      </c>
      <c r="D33" s="32" t="n">
        <f aca="false">SUMPRODUCT(('Project Plan'!$C$5:$C$480=3)*('Project Plan'!$G$5:$G$480=$A33)*('Project Plan'!$P$5:$P$480))</f>
        <v>7</v>
      </c>
      <c r="E33" s="32" t="n">
        <f aca="false">SUMPRODUCT(('Project Plan'!$C$5:$C$480=3)*('Project Plan'!$G$5:$G$480=$A33)*('Project Plan'!$Q$5:$Q$480))</f>
        <v>71</v>
      </c>
      <c r="F33" s="32" t="n">
        <f aca="false">SUMPRODUCT(('Project Plan'!$C$5:$C$480=3)*('Project Plan'!$G$5:$G$480=$A33)*('Project Plan'!$R$5:$R$480))</f>
        <v>39</v>
      </c>
      <c r="G33" s="32" t="n">
        <f aca="false">SUMPRODUCT(('Project Plan'!$C$5:$C$480=3)*('Project Plan'!$G$5:$G$480=$A33)*('Project Plan'!$S$5:$S$480))</f>
        <v>11</v>
      </c>
      <c r="H33" s="32" t="n">
        <f aca="false">SUMPRODUCT(('Project Plan'!$C$5:$C$480=3)*('Project Plan'!$G$5:$G$480=$A33)*('Project Plan'!$T$5:$T$480))</f>
        <v>0</v>
      </c>
      <c r="I33" s="32" t="n">
        <f aca="false">SUMPRODUCT(('Project Plan'!$C$5:$C$480=3)*('Project Plan'!$G$5:$G$480=$A33)*('Project Plan'!$U$5:$U$480))</f>
        <v>0</v>
      </c>
      <c r="J33" s="32" t="n">
        <f aca="false">SUMPRODUCT(('Project Plan'!$C$5:$C$480=3)*('Project Plan'!$G$5:$G$480=$A33)*('Project Plan'!$V$5:$V$480))</f>
        <v>30</v>
      </c>
      <c r="K33" s="32" t="n">
        <f aca="false">SUMPRODUCT(('Project Plan'!$C$5:$C$480=3)*('Project Plan'!$G$5:$G$480=$A33)*('Project Plan'!$W$5:$W$480))</f>
        <v>11</v>
      </c>
      <c r="L33" s="32" t="n">
        <f aca="false">SUMPRODUCT(('Project Plan'!$C$5:$C$480=3)*('Project Plan'!$G$5:$G$480=$A33)*('Project Plan'!$X$5:$X$480))</f>
        <v>6</v>
      </c>
      <c r="M33" s="41" t="n">
        <f aca="false">SUM(B33:L33)</f>
        <v>201</v>
      </c>
      <c r="N33" s="41" t="n">
        <f aca="false">M33*(1+Assumptions!$C$5)</f>
        <v>231.15</v>
      </c>
      <c r="O33" s="42" t="n">
        <f aca="false">(B33*Assumptions!$C$12+C33*Assumptions!$C$13+D33*Assumptions!$C$14+E33*Assumptions!$C$15+F33*Assumptions!$C$16+G33*Assumptions!$C$17+H33*Assumptions!$C$18+I33*Assumptions!$C$19+J33*Assumptions!$C$20+K33*Assumptions!$C$21+L33*Assumptions!$C$22)*(1+Assumptions!$C$5)</f>
        <v>0</v>
      </c>
    </row>
    <row r="34" customFormat="false" ht="15" hidden="false" customHeight="false" outlineLevel="0" collapsed="false">
      <c r="A34" s="6" t="s">
        <v>886</v>
      </c>
      <c r="B34" s="32" t="n">
        <f aca="false">SUMPRODUCT(('Project Plan'!$C$5:$C$480=3)*('Project Plan'!$G$5:$G$480=$A34)*('Project Plan'!$N$5:$N$480))</f>
        <v>1</v>
      </c>
      <c r="C34" s="32" t="n">
        <f aca="false">SUMPRODUCT(('Project Plan'!$C$5:$C$480=3)*('Project Plan'!$G$5:$G$480=$A34)*('Project Plan'!$O$5:$O$480))</f>
        <v>21</v>
      </c>
      <c r="D34" s="32" t="n">
        <f aca="false">SUMPRODUCT(('Project Plan'!$C$5:$C$480=3)*('Project Plan'!$G$5:$G$480=$A34)*('Project Plan'!$P$5:$P$480))</f>
        <v>6</v>
      </c>
      <c r="E34" s="32" t="n">
        <f aca="false">SUMPRODUCT(('Project Plan'!$C$5:$C$480=3)*('Project Plan'!$G$5:$G$480=$A34)*('Project Plan'!$Q$5:$Q$480))</f>
        <v>61</v>
      </c>
      <c r="F34" s="32" t="n">
        <f aca="false">SUMPRODUCT(('Project Plan'!$C$5:$C$480=3)*('Project Plan'!$G$5:$G$480=$A34)*('Project Plan'!$R$5:$R$480))</f>
        <v>30</v>
      </c>
      <c r="G34" s="32" t="n">
        <f aca="false">SUMPRODUCT(('Project Plan'!$C$5:$C$480=3)*('Project Plan'!$G$5:$G$480=$A34)*('Project Plan'!$S$5:$S$480))</f>
        <v>9</v>
      </c>
      <c r="H34" s="32" t="n">
        <f aca="false">SUMPRODUCT(('Project Plan'!$C$5:$C$480=3)*('Project Plan'!$G$5:$G$480=$A34)*('Project Plan'!$T$5:$T$480))</f>
        <v>8</v>
      </c>
      <c r="I34" s="32" t="n">
        <f aca="false">SUMPRODUCT(('Project Plan'!$C$5:$C$480=3)*('Project Plan'!$G$5:$G$480=$A34)*('Project Plan'!$U$5:$U$480))</f>
        <v>0</v>
      </c>
      <c r="J34" s="32" t="n">
        <f aca="false">SUMPRODUCT(('Project Plan'!$C$5:$C$480=3)*('Project Plan'!$G$5:$G$480=$A34)*('Project Plan'!$V$5:$V$480))</f>
        <v>22</v>
      </c>
      <c r="K34" s="32" t="n">
        <f aca="false">SUMPRODUCT(('Project Plan'!$C$5:$C$480=3)*('Project Plan'!$G$5:$G$480=$A34)*('Project Plan'!$W$5:$W$480))</f>
        <v>9</v>
      </c>
      <c r="L34" s="32" t="n">
        <f aca="false">SUMPRODUCT(('Project Plan'!$C$5:$C$480=3)*('Project Plan'!$G$5:$G$480=$A34)*('Project Plan'!$X$5:$X$480))</f>
        <v>4</v>
      </c>
      <c r="M34" s="41" t="n">
        <f aca="false">SUM(B34:L34)</f>
        <v>171</v>
      </c>
      <c r="N34" s="41" t="n">
        <f aca="false">M34*(1+Assumptions!$C$5)</f>
        <v>196.65</v>
      </c>
      <c r="O34" s="42" t="n">
        <f aca="false">(B34*Assumptions!$C$12+C34*Assumptions!$C$13+D34*Assumptions!$C$14+E34*Assumptions!$C$15+F34*Assumptions!$C$16+G34*Assumptions!$C$17+H34*Assumptions!$C$18+I34*Assumptions!$C$19+J34*Assumptions!$C$20+K34*Assumptions!$C$21+L34*Assumptions!$C$22)*(1+Assumptions!$C$5)</f>
        <v>0</v>
      </c>
    </row>
    <row r="35" customFormat="false" ht="15" hidden="false" customHeight="false" outlineLevel="0" collapsed="false">
      <c r="A35" s="6" t="s">
        <v>913</v>
      </c>
      <c r="B35" s="32" t="n">
        <f aca="false">SUMPRODUCT(('Project Plan'!$C$5:$C$480=3)*('Project Plan'!$G$5:$G$480=$A35)*('Project Plan'!$N$5:$N$480))</f>
        <v>1</v>
      </c>
      <c r="C35" s="32" t="n">
        <f aca="false">SUMPRODUCT(('Project Plan'!$C$5:$C$480=3)*('Project Plan'!$G$5:$G$480=$A35)*('Project Plan'!$O$5:$O$480))</f>
        <v>22</v>
      </c>
      <c r="D35" s="32" t="n">
        <f aca="false">SUMPRODUCT(('Project Plan'!$C$5:$C$480=3)*('Project Plan'!$G$5:$G$480=$A35)*('Project Plan'!$P$5:$P$480))</f>
        <v>6</v>
      </c>
      <c r="E35" s="32" t="n">
        <f aca="false">SUMPRODUCT(('Project Plan'!$C$5:$C$480=3)*('Project Plan'!$G$5:$G$480=$A35)*('Project Plan'!$Q$5:$Q$480))</f>
        <v>59</v>
      </c>
      <c r="F35" s="32" t="n">
        <f aca="false">SUMPRODUCT(('Project Plan'!$C$5:$C$480=3)*('Project Plan'!$G$5:$G$480=$A35)*('Project Plan'!$R$5:$R$480))</f>
        <v>33</v>
      </c>
      <c r="G35" s="32" t="n">
        <f aca="false">SUMPRODUCT(('Project Plan'!$C$5:$C$480=3)*('Project Plan'!$G$5:$G$480=$A35)*('Project Plan'!$S$5:$S$480))</f>
        <v>0</v>
      </c>
      <c r="H35" s="32" t="n">
        <f aca="false">SUMPRODUCT(('Project Plan'!$C$5:$C$480=3)*('Project Plan'!$G$5:$G$480=$A35)*('Project Plan'!$T$5:$T$480))</f>
        <v>0</v>
      </c>
      <c r="I35" s="32" t="n">
        <f aca="false">SUMPRODUCT(('Project Plan'!$C$5:$C$480=3)*('Project Plan'!$G$5:$G$480=$A35)*('Project Plan'!$U$5:$U$480))</f>
        <v>0</v>
      </c>
      <c r="J35" s="32" t="n">
        <f aca="false">SUMPRODUCT(('Project Plan'!$C$5:$C$480=3)*('Project Plan'!$G$5:$G$480=$A35)*('Project Plan'!$V$5:$V$480))</f>
        <v>25</v>
      </c>
      <c r="K35" s="32" t="n">
        <f aca="false">SUMPRODUCT(('Project Plan'!$C$5:$C$480=3)*('Project Plan'!$G$5:$G$480=$A35)*('Project Plan'!$W$5:$W$480))</f>
        <v>10</v>
      </c>
      <c r="L35" s="32" t="n">
        <f aca="false">SUMPRODUCT(('Project Plan'!$C$5:$C$480=3)*('Project Plan'!$G$5:$G$480=$A35)*('Project Plan'!$X$5:$X$480))</f>
        <v>5</v>
      </c>
      <c r="M35" s="41" t="n">
        <f aca="false">SUM(B35:L35)</f>
        <v>161</v>
      </c>
      <c r="N35" s="41" t="n">
        <f aca="false">M35*(1+Assumptions!$C$5)</f>
        <v>185.15</v>
      </c>
      <c r="O35" s="42" t="n">
        <f aca="false">(B35*Assumptions!$C$12+C35*Assumptions!$C$13+D35*Assumptions!$C$14+E35*Assumptions!$C$15+F35*Assumptions!$C$16+G35*Assumptions!$C$17+H35*Assumptions!$C$18+I35*Assumptions!$C$19+J35*Assumptions!$C$20+K35*Assumptions!$C$21+L35*Assumptions!$C$22)*(1+Assumptions!$C$5)</f>
        <v>0</v>
      </c>
    </row>
    <row r="36" customFormat="false" ht="15" hidden="false" customHeight="false" outlineLevel="0" collapsed="false">
      <c r="A36" s="6" t="s">
        <v>939</v>
      </c>
      <c r="B36" s="32" t="n">
        <f aca="false">SUMPRODUCT(('Project Plan'!$C$5:$C$480=3)*('Project Plan'!$G$5:$G$480=$A36)*('Project Plan'!$N$5:$N$480))</f>
        <v>1</v>
      </c>
      <c r="C36" s="32" t="n">
        <f aca="false">SUMPRODUCT(('Project Plan'!$C$5:$C$480=3)*('Project Plan'!$G$5:$G$480=$A36)*('Project Plan'!$O$5:$O$480))</f>
        <v>17</v>
      </c>
      <c r="D36" s="32" t="n">
        <f aca="false">SUMPRODUCT(('Project Plan'!$C$5:$C$480=3)*('Project Plan'!$G$5:$G$480=$A36)*('Project Plan'!$P$5:$P$480))</f>
        <v>5</v>
      </c>
      <c r="E36" s="32" t="n">
        <f aca="false">SUMPRODUCT(('Project Plan'!$C$5:$C$480=3)*('Project Plan'!$G$5:$G$480=$A36)*('Project Plan'!$Q$5:$Q$480))</f>
        <v>59</v>
      </c>
      <c r="F36" s="32" t="n">
        <f aca="false">SUMPRODUCT(('Project Plan'!$C$5:$C$480=3)*('Project Plan'!$G$5:$G$480=$A36)*('Project Plan'!$R$5:$R$480))</f>
        <v>37</v>
      </c>
      <c r="G36" s="32" t="n">
        <f aca="false">SUMPRODUCT(('Project Plan'!$C$5:$C$480=3)*('Project Plan'!$G$5:$G$480=$A36)*('Project Plan'!$S$5:$S$480))</f>
        <v>12</v>
      </c>
      <c r="H36" s="32" t="n">
        <f aca="false">SUMPRODUCT(('Project Plan'!$C$5:$C$480=3)*('Project Plan'!$G$5:$G$480=$A36)*('Project Plan'!$T$5:$T$480))</f>
        <v>0</v>
      </c>
      <c r="I36" s="32" t="n">
        <f aca="false">SUMPRODUCT(('Project Plan'!$C$5:$C$480=3)*('Project Plan'!$G$5:$G$480=$A36)*('Project Plan'!$U$5:$U$480))</f>
        <v>0</v>
      </c>
      <c r="J36" s="32" t="n">
        <f aca="false">SUMPRODUCT(('Project Plan'!$C$5:$C$480=3)*('Project Plan'!$G$5:$G$480=$A36)*('Project Plan'!$V$5:$V$480))</f>
        <v>23</v>
      </c>
      <c r="K36" s="32" t="n">
        <f aca="false">SUMPRODUCT(('Project Plan'!$C$5:$C$480=3)*('Project Plan'!$G$5:$G$480=$A36)*('Project Plan'!$W$5:$W$480))</f>
        <v>8</v>
      </c>
      <c r="L36" s="32" t="n">
        <f aca="false">SUMPRODUCT(('Project Plan'!$C$5:$C$480=3)*('Project Plan'!$G$5:$G$480=$A36)*('Project Plan'!$X$5:$X$480))</f>
        <v>4</v>
      </c>
      <c r="M36" s="41" t="n">
        <f aca="false">SUM(B36:L36)</f>
        <v>166</v>
      </c>
      <c r="N36" s="41" t="n">
        <f aca="false">M36*(1+Assumptions!$C$5)</f>
        <v>190.9</v>
      </c>
      <c r="O36" s="42" t="n">
        <f aca="false">(B36*Assumptions!$C$12+C36*Assumptions!$C$13+D36*Assumptions!$C$14+E36*Assumptions!$C$15+F36*Assumptions!$C$16+G36*Assumptions!$C$17+H36*Assumptions!$C$18+I36*Assumptions!$C$19+J36*Assumptions!$C$20+K36*Assumptions!$C$21+L36*Assumptions!$C$22)*(1+Assumptions!$C$5)</f>
        <v>0</v>
      </c>
    </row>
    <row r="37" customFormat="false" ht="15" hidden="false" customHeight="false" outlineLevel="0" collapsed="false">
      <c r="A37" s="6" t="s">
        <v>467</v>
      </c>
      <c r="B37" s="32" t="n">
        <f aca="false">SUMPRODUCT(('Project Plan'!$C$5:$C$480=3)*('Project Plan'!$G$5:$G$480=$A37)*('Project Plan'!$N$5:$N$480))</f>
        <v>0</v>
      </c>
      <c r="C37" s="32" t="n">
        <f aca="false">SUMPRODUCT(('Project Plan'!$C$5:$C$480=3)*('Project Plan'!$G$5:$G$480=$A37)*('Project Plan'!$O$5:$O$480))</f>
        <v>64</v>
      </c>
      <c r="D37" s="32" t="n">
        <f aca="false">SUMPRODUCT(('Project Plan'!$C$5:$C$480=3)*('Project Plan'!$G$5:$G$480=$A37)*('Project Plan'!$P$5:$P$480))</f>
        <v>12</v>
      </c>
      <c r="E37" s="32" t="n">
        <f aca="false">SUMPRODUCT(('Project Plan'!$C$5:$C$480=3)*('Project Plan'!$G$5:$G$480=$A37)*('Project Plan'!$Q$5:$Q$480))</f>
        <v>144</v>
      </c>
      <c r="F37" s="32" t="n">
        <f aca="false">SUMPRODUCT(('Project Plan'!$C$5:$C$480=3)*('Project Plan'!$G$5:$G$480=$A37)*('Project Plan'!$R$5:$R$480))</f>
        <v>16</v>
      </c>
      <c r="G37" s="32" t="n">
        <f aca="false">SUMPRODUCT(('Project Plan'!$C$5:$C$480=3)*('Project Plan'!$G$5:$G$480=$A37)*('Project Plan'!$S$5:$S$480))</f>
        <v>0</v>
      </c>
      <c r="H37" s="32" t="n">
        <f aca="false">SUMPRODUCT(('Project Plan'!$C$5:$C$480=3)*('Project Plan'!$G$5:$G$480=$A37)*('Project Plan'!$T$5:$T$480))</f>
        <v>0</v>
      </c>
      <c r="I37" s="32" t="n">
        <f aca="false">SUMPRODUCT(('Project Plan'!$C$5:$C$480=3)*('Project Plan'!$G$5:$G$480=$A37)*('Project Plan'!$U$5:$U$480))</f>
        <v>80</v>
      </c>
      <c r="J37" s="32" t="n">
        <f aca="false">SUMPRODUCT(('Project Plan'!$C$5:$C$480=3)*('Project Plan'!$G$5:$G$480=$A37)*('Project Plan'!$V$5:$V$480))</f>
        <v>156</v>
      </c>
      <c r="K37" s="32" t="n">
        <f aca="false">SUMPRODUCT(('Project Plan'!$C$5:$C$480=3)*('Project Plan'!$G$5:$G$480=$A37)*('Project Plan'!$W$5:$W$480))</f>
        <v>48</v>
      </c>
      <c r="L37" s="32" t="n">
        <f aca="false">SUMPRODUCT(('Project Plan'!$C$5:$C$480=3)*('Project Plan'!$G$5:$G$480=$A37)*('Project Plan'!$X$5:$X$480))</f>
        <v>60</v>
      </c>
      <c r="M37" s="41" t="n">
        <f aca="false">SUM(B37:L37)</f>
        <v>580</v>
      </c>
      <c r="N37" s="41" t="n">
        <f aca="false">M37*(1+Assumptions!$C$5)</f>
        <v>667</v>
      </c>
      <c r="O37" s="42" t="n">
        <f aca="false">(B37*Assumptions!$C$12+C37*Assumptions!$C$13+D37*Assumptions!$C$14+E37*Assumptions!$C$15+F37*Assumptions!$C$16+G37*Assumptions!$C$17+H37*Assumptions!$C$18+I37*Assumptions!$C$19+J37*Assumptions!$C$20+K37*Assumptions!$C$21+L37*Assumptions!$C$22)*(1+Assumptions!$C$5)</f>
        <v>0</v>
      </c>
    </row>
    <row r="38" customFormat="false" ht="15" hidden="false" customHeight="false" outlineLevel="0" collapsed="false">
      <c r="A38" s="6"/>
      <c r="B38" s="32" t="n">
        <f aca="false">SUMPRODUCT(('Project Plan'!$C$5:$C$480=3)*('Project Plan'!$G$5:$G$480=$A38)*('Project Plan'!$N$5:$N$480))</f>
        <v>363</v>
      </c>
      <c r="C38" s="32" t="n">
        <f aca="false">SUMPRODUCT(('Project Plan'!$C$5:$C$480=3)*('Project Plan'!$G$5:$G$480=$A38)*('Project Plan'!$O$5:$O$480))</f>
        <v>80</v>
      </c>
      <c r="D38" s="32" t="n">
        <f aca="false">SUMPRODUCT(('Project Plan'!$C$5:$C$480=3)*('Project Plan'!$G$5:$G$480=$A38)*('Project Plan'!$P$5:$P$480))</f>
        <v>119</v>
      </c>
      <c r="E38" s="32" t="n">
        <f aca="false">SUMPRODUCT(('Project Plan'!$C$5:$C$480=3)*('Project Plan'!$G$5:$G$480=$A38)*('Project Plan'!$Q$5:$Q$480))</f>
        <v>33</v>
      </c>
      <c r="F38" s="32" t="n">
        <f aca="false">SUMPRODUCT(('Project Plan'!$C$5:$C$480=3)*('Project Plan'!$G$5:$G$480=$A38)*('Project Plan'!$R$5:$R$480))</f>
        <v>15</v>
      </c>
      <c r="G38" s="32" t="n">
        <f aca="false">SUMPRODUCT(('Project Plan'!$C$5:$C$480=3)*('Project Plan'!$G$5:$G$480=$A38)*('Project Plan'!$S$5:$S$480))</f>
        <v>0</v>
      </c>
      <c r="H38" s="32" t="n">
        <f aca="false">SUMPRODUCT(('Project Plan'!$C$5:$C$480=3)*('Project Plan'!$G$5:$G$480=$A38)*('Project Plan'!$T$5:$T$480))</f>
        <v>0</v>
      </c>
      <c r="I38" s="32" t="n">
        <f aca="false">SUMPRODUCT(('Project Plan'!$C$5:$C$480=3)*('Project Plan'!$G$5:$G$480=$A38)*('Project Plan'!$U$5:$U$480))</f>
        <v>49</v>
      </c>
      <c r="J38" s="32" t="n">
        <f aca="false">SUMPRODUCT(('Project Plan'!$C$5:$C$480=3)*('Project Plan'!$G$5:$G$480=$A38)*('Project Plan'!$V$5:$V$480))</f>
        <v>8</v>
      </c>
      <c r="K38" s="32" t="n">
        <f aca="false">SUMPRODUCT(('Project Plan'!$C$5:$C$480=3)*('Project Plan'!$G$5:$G$480=$A38)*('Project Plan'!$W$5:$W$480))</f>
        <v>10</v>
      </c>
      <c r="L38" s="32" t="n">
        <f aca="false">SUMPRODUCT(('Project Plan'!$C$5:$C$480=3)*('Project Plan'!$G$5:$G$480=$A38)*('Project Plan'!$X$5:$X$480))</f>
        <v>10</v>
      </c>
      <c r="M38" s="41" t="n">
        <f aca="false">SUM(B38:L38)</f>
        <v>687</v>
      </c>
      <c r="N38" s="41" t="n">
        <f aca="false">M38*(1+Assumptions!$C$5)</f>
        <v>790.05</v>
      </c>
      <c r="O38" s="42" t="n">
        <f aca="false">(B38*Assumptions!$C$12+C38*Assumptions!$C$13+D38*Assumptions!$C$14+E38*Assumptions!$C$15+F38*Assumptions!$C$16+G38*Assumptions!$C$17+H38*Assumptions!$C$18+I38*Assumptions!$C$19+J38*Assumptions!$C$20+K38*Assumptions!$C$21+L38*Assumptions!$C$22)*(1+Assumptions!$C$5)</f>
        <v>0</v>
      </c>
    </row>
    <row r="39" customFormat="false" ht="15" hidden="false" customHeight="false" outlineLevel="0" collapsed="false">
      <c r="A39" s="13" t="s">
        <v>995</v>
      </c>
      <c r="B39" s="43" t="n">
        <f aca="false">SUM(B17:B38)</f>
        <v>382</v>
      </c>
      <c r="C39" s="43" t="n">
        <f aca="false">SUM(C17:C38)</f>
        <v>676</v>
      </c>
      <c r="D39" s="43" t="n">
        <f aca="false">SUM(D17:D38)</f>
        <v>336</v>
      </c>
      <c r="E39" s="43" t="n">
        <f aca="false">SUM(E17:E38)</f>
        <v>2309</v>
      </c>
      <c r="F39" s="43" t="n">
        <f aca="false">SUM(F17:F38)</f>
        <v>1152</v>
      </c>
      <c r="G39" s="43" t="n">
        <f aca="false">SUM(G17:G38)</f>
        <v>320</v>
      </c>
      <c r="H39" s="43" t="n">
        <f aca="false">SUM(H17:H38)</f>
        <v>217</v>
      </c>
      <c r="I39" s="43" t="n">
        <f aca="false">SUM(I17:I38)</f>
        <v>228</v>
      </c>
      <c r="J39" s="43" t="n">
        <f aca="false">SUM(J17:J38)</f>
        <v>972</v>
      </c>
      <c r="K39" s="43" t="n">
        <f aca="false">SUM(K17:K38)</f>
        <v>262</v>
      </c>
      <c r="L39" s="43" t="n">
        <f aca="false">SUM(L17:L38)</f>
        <v>196</v>
      </c>
      <c r="M39" s="43" t="n">
        <f aca="false">SUM(M17:M38)</f>
        <v>7050</v>
      </c>
      <c r="N39" s="43" t="n">
        <f aca="false">SUM(N17:N38)</f>
        <v>8107.5</v>
      </c>
      <c r="O39" s="43" t="n">
        <f aca="false">SUM(O17:O38)</f>
        <v>0</v>
      </c>
    </row>
    <row r="41" customFormat="false" ht="15" hidden="false" customHeight="false" outlineLevel="0" collapsed="false">
      <c r="A41" s="44" t="s">
        <v>999</v>
      </c>
      <c r="F41" s="13" t="str">
        <f aca="false">IF(ABS(M12-M39)&lt;0.5,"OK","Mismatch")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5" min="2" style="0" width="7"/>
  </cols>
  <sheetData>
    <row r="1" customFormat="false" ht="16.15" hidden="false" customHeight="false" outlineLevel="0" collapsed="false">
      <c r="A1" s="4" t="s">
        <v>1000</v>
      </c>
    </row>
    <row r="2" customFormat="false" ht="15" hidden="false" customHeight="false" outlineLevel="0" collapsed="false">
      <c r="A2" s="8" t="s">
        <v>1001</v>
      </c>
    </row>
    <row r="4" customFormat="false" ht="15" hidden="false" customHeight="false" outlineLevel="0" collapsed="false">
      <c r="A4" s="5" t="s">
        <v>1002</v>
      </c>
      <c r="B4" s="45" t="n">
        <f aca="false">'Project Plan'!AF$4</f>
        <v>46327</v>
      </c>
      <c r="C4" s="45" t="n">
        <f aca="false">'Project Plan'!AG$4</f>
        <v>46357</v>
      </c>
      <c r="D4" s="45" t="n">
        <f aca="false">'Project Plan'!AH$4</f>
        <v>46388</v>
      </c>
      <c r="E4" s="45" t="n">
        <f aca="false">'Project Plan'!AI$4</f>
        <v>46419</v>
      </c>
      <c r="F4" s="45" t="n">
        <f aca="false">'Project Plan'!AJ$4</f>
        <v>46447</v>
      </c>
      <c r="G4" s="45" t="n">
        <f aca="false">'Project Plan'!AK$4</f>
        <v>46478</v>
      </c>
      <c r="H4" s="45" t="n">
        <f aca="false">'Project Plan'!AL$4</f>
        <v>46508</v>
      </c>
      <c r="I4" s="45" t="n">
        <f aca="false">'Project Plan'!AM$4</f>
        <v>46539</v>
      </c>
      <c r="J4" s="45" t="n">
        <f aca="false">'Project Plan'!AN$4</f>
        <v>46569</v>
      </c>
      <c r="K4" s="45" t="n">
        <f aca="false">'Project Plan'!AO$4</f>
        <v>46600</v>
      </c>
      <c r="L4" s="45" t="n">
        <f aca="false">'Project Plan'!AP$4</f>
        <v>46631</v>
      </c>
      <c r="M4" s="45" t="n">
        <f aca="false">'Project Plan'!AQ$4</f>
        <v>46661</v>
      </c>
      <c r="N4" s="45" t="n">
        <f aca="false">'Project Plan'!AR$4</f>
        <v>46692</v>
      </c>
      <c r="O4" s="45" t="n">
        <f aca="false">'Project Plan'!AS$4</f>
        <v>46722</v>
      </c>
      <c r="P4" s="45" t="n">
        <f aca="false">'Project Plan'!AT$4</f>
        <v>46753</v>
      </c>
      <c r="Q4" s="45" t="n">
        <f aca="false">'Project Plan'!AU$4</f>
        <v>46784</v>
      </c>
      <c r="R4" s="45" t="n">
        <f aca="false">'Project Plan'!AV$4</f>
        <v>46813</v>
      </c>
      <c r="S4" s="45" t="n">
        <f aca="false">'Project Plan'!AW$4</f>
        <v>46844</v>
      </c>
      <c r="T4" s="45" t="n">
        <f aca="false">'Project Plan'!AX$4</f>
        <v>46874</v>
      </c>
      <c r="U4" s="45" t="n">
        <f aca="false">'Project Plan'!AY$4</f>
        <v>46905</v>
      </c>
      <c r="V4" s="45" t="n">
        <f aca="false">'Project Plan'!AZ$4</f>
        <v>46935</v>
      </c>
      <c r="W4" s="45" t="n">
        <f aca="false">'Project Plan'!BA$4</f>
        <v>46966</v>
      </c>
      <c r="X4" s="45" t="n">
        <f aca="false">'Project Plan'!BB$4</f>
        <v>46997</v>
      </c>
      <c r="Y4" s="45" t="n">
        <f aca="false">'Project Plan'!BC$4</f>
        <v>47027</v>
      </c>
    </row>
    <row r="5" customFormat="false" ht="15" hidden="false" customHeight="false" outlineLevel="0" collapsed="false">
      <c r="A5" s="13" t="s">
        <v>1003</v>
      </c>
      <c r="B5" s="6" t="n">
        <f aca="false">NETWORKDAYS(B4,EOMONTH(B4,0),Assumptions!$F$4:$F$44)</f>
        <v>21</v>
      </c>
      <c r="C5" s="6" t="n">
        <f aca="false">NETWORKDAYS(C4,EOMONTH(C4,0),Assumptions!$F$4:$F$44)</f>
        <v>23</v>
      </c>
      <c r="D5" s="6" t="n">
        <f aca="false">NETWORKDAYS(D4,EOMONTH(D4,0),Assumptions!$F$4:$F$44)</f>
        <v>21</v>
      </c>
      <c r="E5" s="6" t="n">
        <f aca="false">NETWORKDAYS(E4,EOMONTH(E4,0),Assumptions!$F$4:$F$44)</f>
        <v>20</v>
      </c>
      <c r="F5" s="6" t="n">
        <f aca="false">NETWORKDAYS(F4,EOMONTH(F4,0),Assumptions!$F$4:$F$44)</f>
        <v>23</v>
      </c>
      <c r="G5" s="6" t="n">
        <f aca="false">NETWORKDAYS(G4,EOMONTH(G4,0),Assumptions!$F$4:$F$44)</f>
        <v>22</v>
      </c>
      <c r="H5" s="6" t="n">
        <f aca="false">NETWORKDAYS(H4,EOMONTH(H4,0),Assumptions!$F$4:$F$44)</f>
        <v>21</v>
      </c>
      <c r="I5" s="6" t="n">
        <f aca="false">NETWORKDAYS(I4,EOMONTH(I4,0),Assumptions!$F$4:$F$44)</f>
        <v>22</v>
      </c>
      <c r="J5" s="6" t="n">
        <f aca="false">NETWORKDAYS(J4,EOMONTH(J4,0),Assumptions!$F$4:$F$44)</f>
        <v>22</v>
      </c>
      <c r="K5" s="6" t="n">
        <f aca="false">NETWORKDAYS(K4,EOMONTH(K4,0),Assumptions!$F$4:$F$44)</f>
        <v>22</v>
      </c>
      <c r="L5" s="6" t="n">
        <f aca="false">NETWORKDAYS(L4,EOMONTH(L4,0),Assumptions!$F$4:$F$44)</f>
        <v>22</v>
      </c>
      <c r="M5" s="6" t="n">
        <f aca="false">NETWORKDAYS(M4,EOMONTH(M4,0),Assumptions!$F$4:$F$44)</f>
        <v>21</v>
      </c>
      <c r="N5" s="6" t="n">
        <f aca="false">NETWORKDAYS(N4,EOMONTH(N4,0),Assumptions!$F$4:$F$44)</f>
        <v>22</v>
      </c>
      <c r="O5" s="6" t="n">
        <f aca="false">NETWORKDAYS(O4,EOMONTH(O4,0),Assumptions!$F$4:$F$44)</f>
        <v>23</v>
      </c>
      <c r="P5" s="6" t="n">
        <f aca="false">NETWORKDAYS(P4,EOMONTH(P4,0),Assumptions!$F$4:$F$44)</f>
        <v>21</v>
      </c>
      <c r="Q5" s="6" t="n">
        <f aca="false">NETWORKDAYS(Q4,EOMONTH(Q4,0),Assumptions!$F$4:$F$44)</f>
        <v>21</v>
      </c>
      <c r="R5" s="6" t="n">
        <f aca="false">NETWORKDAYS(R4,EOMONTH(R4,0),Assumptions!$F$4:$F$44)</f>
        <v>23</v>
      </c>
      <c r="S5" s="6" t="n">
        <f aca="false">NETWORKDAYS(S4,EOMONTH(S4,0),Assumptions!$F$4:$F$44)</f>
        <v>20</v>
      </c>
      <c r="T5" s="6" t="n">
        <f aca="false">NETWORKDAYS(T4,EOMONTH(T4,0),Assumptions!$F$4:$F$44)</f>
        <v>23</v>
      </c>
      <c r="U5" s="6" t="n">
        <f aca="false">NETWORKDAYS(U4,EOMONTH(U4,0),Assumptions!$F$4:$F$44)</f>
        <v>22</v>
      </c>
      <c r="V5" s="6" t="n">
        <f aca="false">NETWORKDAYS(V4,EOMONTH(V4,0),Assumptions!$F$4:$F$44)</f>
        <v>21</v>
      </c>
      <c r="W5" s="6" t="n">
        <f aca="false">NETWORKDAYS(W4,EOMONTH(W4,0),Assumptions!$F$4:$F$44)</f>
        <v>23</v>
      </c>
      <c r="X5" s="6" t="n">
        <f aca="false">NETWORKDAYS(X4,EOMONTH(X4,0),Assumptions!$F$4:$F$44)</f>
        <v>21</v>
      </c>
      <c r="Y5" s="6" t="n">
        <f aca="false">NETWORKDAYS(Y4,EOMONTH(Y4,0),Assumptions!$F$4:$F$44)</f>
        <v>22</v>
      </c>
    </row>
    <row r="6" customFormat="false" ht="15" hidden="false" customHeight="false" outlineLevel="0" collapsed="false">
      <c r="A6" s="6" t="s">
        <v>1004</v>
      </c>
      <c r="B6" s="46" t="n">
        <f aca="false">SUMPRODUCT('Project Plan'!$N$5:$N$480,'Project Plan'!$AF$5:$AF$480)*(1+Assumptions!$C$5)/B$5</f>
        <v>1.50565750915751</v>
      </c>
      <c r="C6" s="46" t="n">
        <f aca="false">SUMPRODUCT('Project Plan'!$N$5:$N$480,'Project Plan'!$AG$5:$AG$480)*(1+Assumptions!$C$5)/C$5</f>
        <v>0.935269230769231</v>
      </c>
      <c r="D6" s="46" t="n">
        <f aca="false">SUMPRODUCT('Project Plan'!$N$5:$N$480,'Project Plan'!$AH$5:$AH$480)*(1+Assumptions!$C$5)/D$5</f>
        <v>0.6325</v>
      </c>
      <c r="E6" s="46" t="n">
        <f aca="false">SUMPRODUCT('Project Plan'!$N$5:$N$480,'Project Plan'!$AI$5:$AI$480)*(1+Assumptions!$C$5)/E$5</f>
        <v>0.6325</v>
      </c>
      <c r="F6" s="46" t="n">
        <f aca="false">SUMPRODUCT('Project Plan'!$N$5:$N$480,'Project Plan'!$AJ$5:$AJ$480)*(1+Assumptions!$C$5)/F$5</f>
        <v>1.40204609929078</v>
      </c>
      <c r="G6" s="46" t="n">
        <f aca="false">SUMPRODUCT('Project Plan'!$N$5:$N$480,'Project Plan'!$AK$5:$AK$480)*(1+Assumptions!$C$5)/G$5</f>
        <v>1.2575780141844</v>
      </c>
      <c r="H6" s="46" t="n">
        <f aca="false">SUMPRODUCT('Project Plan'!$N$5:$N$480,'Project Plan'!$AL$5:$AL$480)*(1+Assumptions!$C$5)/H$5</f>
        <v>0.956387537993921</v>
      </c>
      <c r="I6" s="46" t="n">
        <f aca="false">SUMPRODUCT('Project Plan'!$N$5:$N$480,'Project Plan'!$AM$5:$AM$480)*(1+Assumptions!$C$5)/I$5</f>
        <v>0.682578014184397</v>
      </c>
      <c r="J6" s="46" t="n">
        <f aca="false">SUMPRODUCT('Project Plan'!$N$5:$N$480,'Project Plan'!$AN$5:$AN$480)*(1+Assumptions!$C$5)/J$5</f>
        <v>1.44405448098001</v>
      </c>
      <c r="K6" s="46" t="n">
        <f aca="false">SUMPRODUCT('Project Plan'!$N$5:$N$480,'Project Plan'!$AO$5:$AO$480)*(1+Assumptions!$C$5)/K$5</f>
        <v>1.26165602836879</v>
      </c>
      <c r="L6" s="46" t="n">
        <f aca="false">SUMPRODUCT('Project Plan'!$N$5:$N$480,'Project Plan'!$AP$5:$AP$480)*(1+Assumptions!$C$5)/L$5</f>
        <v>0.998438749194068</v>
      </c>
      <c r="M6" s="46" t="n">
        <f aca="false">SUMPRODUCT('Project Plan'!$N$5:$N$480,'Project Plan'!$AQ$5:$AQ$480)*(1+Assumptions!$C$5)/M$5</f>
        <v>0.682578014184397</v>
      </c>
      <c r="N6" s="46" t="n">
        <f aca="false">SUMPRODUCT('Project Plan'!$N$5:$N$480,'Project Plan'!$AR$5:$AR$480)*(1+Assumptions!$C$5)/N$5</f>
        <v>1.36546002578981</v>
      </c>
      <c r="O6" s="46" t="n">
        <f aca="false">SUMPRODUCT('Project Plan'!$N$5:$N$480,'Project Plan'!$AS$5:$AS$480)*(1+Assumptions!$C$5)/O$5</f>
        <v>1.26165602836879</v>
      </c>
      <c r="P6" s="46" t="n">
        <f aca="false">SUMPRODUCT('Project Plan'!$N$5:$N$480,'Project Plan'!$AT$5:$AT$480)*(1+Assumptions!$C$5)/P$5</f>
        <v>1.01347973657548</v>
      </c>
      <c r="Q6" s="46" t="n">
        <f aca="false">SUMPRODUCT('Project Plan'!$N$5:$N$480,'Project Plan'!$AU$5:$AU$480)*(1+Assumptions!$C$5)/Q$5</f>
        <v>0.682578014184397</v>
      </c>
      <c r="R6" s="46" t="n">
        <f aca="false">SUMPRODUCT('Project Plan'!$N$5:$N$480,'Project Plan'!$AV$5:$AV$480)*(1+Assumptions!$C$5)/R$5</f>
        <v>0.682578014184397</v>
      </c>
      <c r="S6" s="46" t="n">
        <f aca="false">SUMPRODUCT('Project Plan'!$N$5:$N$480,'Project Plan'!$AW$5:$AW$480)*(1+Assumptions!$C$5)/S$5</f>
        <v>0.682578014184397</v>
      </c>
      <c r="T6" s="46" t="n">
        <f aca="false">SUMPRODUCT('Project Plan'!$N$5:$N$480,'Project Plan'!$AX$5:$AX$480)*(1+Assumptions!$C$5)/T$5</f>
        <v>0.942659574468085</v>
      </c>
      <c r="U6" s="46" t="n">
        <f aca="false">SUMPRODUCT('Project Plan'!$N$5:$N$480,'Project Plan'!$AY$5:$AY$480)*(1+Assumptions!$C$5)/U$5</f>
        <v>0.880795454545455</v>
      </c>
      <c r="V6" s="46" t="n">
        <f aca="false">SUMPRODUCT('Project Plan'!$N$5:$N$480,'Project Plan'!$AZ$5:$AZ$480)*(1+Assumptions!$C$5)/V$5</f>
        <v>0.205357142857143</v>
      </c>
      <c r="W6" s="46" t="n">
        <f aca="false">SUMPRODUCT('Project Plan'!$N$5:$N$480,'Project Plan'!$BA$5:$BA$480)*(1+Assumptions!$C$5)/W$5</f>
        <v>0</v>
      </c>
      <c r="X6" s="46" t="n">
        <f aca="false">SUMPRODUCT('Project Plan'!$N$5:$N$480,'Project Plan'!$BB$5:$BB$480)*(1+Assumptions!$C$5)/X$5</f>
        <v>0</v>
      </c>
      <c r="Y6" s="46" t="n">
        <f aca="false">SUMPRODUCT('Project Plan'!$N$5:$N$480,'Project Plan'!$BC$5:$BC$480)*(1+Assumptions!$C$5)/Y$5</f>
        <v>0</v>
      </c>
    </row>
    <row r="7" customFormat="false" ht="15" hidden="false" customHeight="false" outlineLevel="0" collapsed="false">
      <c r="A7" s="6" t="s">
        <v>1005</v>
      </c>
      <c r="B7" s="46" t="n">
        <f aca="false">SUMPRODUCT('Project Plan'!$O$5:$O$480,'Project Plan'!$AF$5:$AF$480)*(1+Assumptions!$C$5)/B$5</f>
        <v>2.72875763125763</v>
      </c>
      <c r="C7" s="46" t="n">
        <f aca="false">SUMPRODUCT('Project Plan'!$O$5:$O$480,'Project Plan'!$AG$5:$AG$480)*(1+Assumptions!$C$5)/C$5</f>
        <v>4.37411387631976</v>
      </c>
      <c r="D7" s="46" t="n">
        <f aca="false">SUMPRODUCT('Project Plan'!$O$5:$O$480,'Project Plan'!$AH$5:$AH$480)*(1+Assumptions!$C$5)/D$5</f>
        <v>1.20659803921569</v>
      </c>
      <c r="E7" s="46" t="n">
        <f aca="false">SUMPRODUCT('Project Plan'!$O$5:$O$480,'Project Plan'!$AI$5:$AI$480)*(1+Assumptions!$C$5)/E$5</f>
        <v>1.82198128342246</v>
      </c>
      <c r="F7" s="46" t="n">
        <f aca="false">SUMPRODUCT('Project Plan'!$O$5:$O$480,'Project Plan'!$AJ$5:$AJ$480)*(1+Assumptions!$C$5)/F$5</f>
        <v>3.74141510695187</v>
      </c>
      <c r="G7" s="46" t="n">
        <f aca="false">SUMPRODUCT('Project Plan'!$O$5:$O$480,'Project Plan'!$AK$5:$AK$480)*(1+Assumptions!$C$5)/G$5</f>
        <v>3.71939696149156</v>
      </c>
      <c r="H7" s="46" t="n">
        <f aca="false">SUMPRODUCT('Project Plan'!$O$5:$O$480,'Project Plan'!$AL$5:$AL$480)*(1+Assumptions!$C$5)/H$5</f>
        <v>1.05523815458387</v>
      </c>
      <c r="I7" s="46" t="n">
        <f aca="false">SUMPRODUCT('Project Plan'!$O$5:$O$480,'Project Plan'!$AM$5:$AM$480)*(1+Assumptions!$C$5)/I$5</f>
        <v>1.16408194559678</v>
      </c>
      <c r="J7" s="46" t="n">
        <f aca="false">SUMPRODUCT('Project Plan'!$O$5:$O$480,'Project Plan'!$AN$5:$AN$480)*(1+Assumptions!$C$5)/J$5</f>
        <v>3.02402838686737</v>
      </c>
      <c r="K7" s="46" t="n">
        <f aca="false">SUMPRODUCT('Project Plan'!$O$5:$O$480,'Project Plan'!$AO$5:$AO$480)*(1+Assumptions!$C$5)/K$5</f>
        <v>2.34553758741259</v>
      </c>
      <c r="L7" s="46" t="n">
        <f aca="false">SUMPRODUCT('Project Plan'!$O$5:$O$480,'Project Plan'!$AP$5:$AP$480)*(1+Assumptions!$C$5)/L$5</f>
        <v>0.703068181818182</v>
      </c>
      <c r="M7" s="46" t="n">
        <f aca="false">SUMPRODUCT('Project Plan'!$O$5:$O$480,'Project Plan'!$AQ$5:$AQ$480)*(1+Assumptions!$C$5)/M$5</f>
        <v>0.794363553113553</v>
      </c>
      <c r="N7" s="46" t="n">
        <f aca="false">SUMPRODUCT('Project Plan'!$O$5:$O$480,'Project Plan'!$AR$5:$AR$480)*(1+Assumptions!$C$5)/N$5</f>
        <v>2.19188592657343</v>
      </c>
      <c r="O7" s="46" t="n">
        <f aca="false">SUMPRODUCT('Project Plan'!$O$5:$O$480,'Project Plan'!$AS$5:$AS$480)*(1+Assumptions!$C$5)/O$5</f>
        <v>1.97655720338983</v>
      </c>
      <c r="P7" s="46" t="n">
        <f aca="false">SUMPRODUCT('Project Plan'!$O$5:$O$480,'Project Plan'!$AT$5:$AT$480)*(1+Assumptions!$C$5)/P$5</f>
        <v>0.731976392251816</v>
      </c>
      <c r="Q7" s="46" t="n">
        <f aca="false">SUMPRODUCT('Project Plan'!$O$5:$O$480,'Project Plan'!$AU$5:$AU$480)*(1+Assumptions!$C$5)/Q$5</f>
        <v>0.76493884646427</v>
      </c>
      <c r="R7" s="46" t="n">
        <f aca="false">SUMPRODUCT('Project Plan'!$O$5:$O$480,'Project Plan'!$AV$5:$AV$480)*(1+Assumptions!$C$5)/R$5</f>
        <v>0.63895371577575</v>
      </c>
      <c r="S7" s="46" t="n">
        <f aca="false">SUMPRODUCT('Project Plan'!$O$5:$O$480,'Project Plan'!$AW$5:$AW$480)*(1+Assumptions!$C$5)/S$5</f>
        <v>1.72168269230769</v>
      </c>
      <c r="T7" s="46" t="n">
        <f aca="false">SUMPRODUCT('Project Plan'!$O$5:$O$480,'Project Plan'!$AX$5:$AX$480)*(1+Assumptions!$C$5)/T$5</f>
        <v>0.4075</v>
      </c>
      <c r="U7" s="46" t="n">
        <f aca="false">SUMPRODUCT('Project Plan'!$O$5:$O$480,'Project Plan'!$AY$5:$AY$480)*(1+Assumptions!$C$5)/U$5</f>
        <v>0.305795454545455</v>
      </c>
      <c r="V7" s="46" t="n">
        <f aca="false">SUMPRODUCT('Project Plan'!$O$5:$O$480,'Project Plan'!$AZ$5:$AZ$480)*(1+Assumptions!$C$5)/V$5</f>
        <v>0.068452380952381</v>
      </c>
      <c r="W7" s="46" t="n">
        <f aca="false">SUMPRODUCT('Project Plan'!$O$5:$O$480,'Project Plan'!$BA$5:$BA$480)*(1+Assumptions!$C$5)/W$5</f>
        <v>0</v>
      </c>
      <c r="X7" s="46" t="n">
        <f aca="false">SUMPRODUCT('Project Plan'!$O$5:$O$480,'Project Plan'!$BB$5:$BB$480)*(1+Assumptions!$C$5)/X$5</f>
        <v>0</v>
      </c>
      <c r="Y7" s="46" t="n">
        <f aca="false">SUMPRODUCT('Project Plan'!$O$5:$O$480,'Project Plan'!$BC$5:$BC$480)*(1+Assumptions!$C$5)/Y$5</f>
        <v>0</v>
      </c>
    </row>
    <row r="8" customFormat="false" ht="15" hidden="false" customHeight="false" outlineLevel="0" collapsed="false">
      <c r="A8" s="6" t="s">
        <v>1006</v>
      </c>
      <c r="B8" s="46" t="n">
        <f aca="false">SUMPRODUCT('Project Plan'!$P$5:$P$480,'Project Plan'!$AF$5:$AF$480)*(1+Assumptions!$C$5)/B$5</f>
        <v>2.69217884892885</v>
      </c>
      <c r="C8" s="46" t="n">
        <f aca="false">SUMPRODUCT('Project Plan'!$P$5:$P$480,'Project Plan'!$AG$5:$AG$480)*(1+Assumptions!$C$5)/C$5</f>
        <v>4.46192365967366</v>
      </c>
      <c r="D8" s="46" t="n">
        <f aca="false">SUMPRODUCT('Project Plan'!$P$5:$P$480,'Project Plan'!$AH$5:$AH$480)*(1+Assumptions!$C$5)/D$5</f>
        <v>0.48875</v>
      </c>
      <c r="E8" s="46" t="n">
        <f aca="false">SUMPRODUCT('Project Plan'!$P$5:$P$480,'Project Plan'!$AI$5:$AI$480)*(1+Assumptions!$C$5)/E$5</f>
        <v>0.3335</v>
      </c>
      <c r="F8" s="46" t="n">
        <f aca="false">SUMPRODUCT('Project Plan'!$P$5:$P$480,'Project Plan'!$AJ$5:$AJ$480)*(1+Assumptions!$C$5)/F$5</f>
        <v>1.60484381044487</v>
      </c>
      <c r="G8" s="46" t="n">
        <f aca="false">SUMPRODUCT('Project Plan'!$P$5:$P$480,'Project Plan'!$AK$5:$AK$480)*(1+Assumptions!$C$5)/G$5</f>
        <v>1.07150395639177</v>
      </c>
      <c r="H8" s="46" t="n">
        <f aca="false">SUMPRODUCT('Project Plan'!$P$5:$P$480,'Project Plan'!$AL$5:$AL$480)*(1+Assumptions!$C$5)/H$5</f>
        <v>0.228362968591692</v>
      </c>
      <c r="I8" s="46" t="n">
        <f aca="false">SUMPRODUCT('Project Plan'!$P$5:$P$480,'Project Plan'!$AM$5:$AM$480)*(1+Assumptions!$C$5)/I$5</f>
        <v>0.173601063829787</v>
      </c>
      <c r="J8" s="46" t="n">
        <f aca="false">SUMPRODUCT('Project Plan'!$P$5:$P$480,'Project Plan'!$AN$5:$AN$480)*(1+Assumptions!$C$5)/J$5</f>
        <v>1.31364842781332</v>
      </c>
      <c r="K8" s="46" t="n">
        <f aca="false">SUMPRODUCT('Project Plan'!$P$5:$P$480,'Project Plan'!$AO$5:$AO$480)*(1+Assumptions!$C$5)/K$5</f>
        <v>0.919079167286614</v>
      </c>
      <c r="L8" s="46" t="n">
        <f aca="false">SUMPRODUCT('Project Plan'!$P$5:$P$480,'Project Plan'!$AP$5:$AP$480)*(1+Assumptions!$C$5)/L$5</f>
        <v>0.235883462282398</v>
      </c>
      <c r="M8" s="46" t="n">
        <f aca="false">SUMPRODUCT('Project Plan'!$P$5:$P$480,'Project Plan'!$AQ$5:$AQ$480)*(1+Assumptions!$C$5)/M$5</f>
        <v>0.173601063829787</v>
      </c>
      <c r="N8" s="46" t="n">
        <f aca="false">SUMPRODUCT('Project Plan'!$P$5:$P$480,'Project Plan'!$AR$5:$AR$480)*(1+Assumptions!$C$5)/N$5</f>
        <v>1.05790097269752</v>
      </c>
      <c r="O8" s="46" t="n">
        <f aca="false">SUMPRODUCT('Project Plan'!$P$5:$P$480,'Project Plan'!$AS$5:$AS$480)*(1+Assumptions!$C$5)/O$5</f>
        <v>0.881295076377523</v>
      </c>
      <c r="P8" s="46" t="n">
        <f aca="false">SUMPRODUCT('Project Plan'!$P$5:$P$480,'Project Plan'!$AT$5:$AT$480)*(1+Assumptions!$C$5)/P$5</f>
        <v>0.238849290780142</v>
      </c>
      <c r="Q8" s="46" t="n">
        <f aca="false">SUMPRODUCT('Project Plan'!$P$5:$P$480,'Project Plan'!$AU$5:$AU$480)*(1+Assumptions!$C$5)/Q$5</f>
        <v>0.173601063829787</v>
      </c>
      <c r="R8" s="46" t="n">
        <f aca="false">SUMPRODUCT('Project Plan'!$P$5:$P$480,'Project Plan'!$AV$5:$AV$480)*(1+Assumptions!$C$5)/R$5</f>
        <v>0.208216448445172</v>
      </c>
      <c r="S8" s="46" t="n">
        <f aca="false">SUMPRODUCT('Project Plan'!$P$5:$P$480,'Project Plan'!$AW$5:$AW$480)*(1+Assumptions!$C$5)/S$5</f>
        <v>0.306293371522095</v>
      </c>
      <c r="T8" s="46" t="n">
        <f aca="false">SUMPRODUCT('Project Plan'!$P$5:$P$480,'Project Plan'!$AX$5:$AX$480)*(1+Assumptions!$C$5)/T$5</f>
        <v>0.360301418439716</v>
      </c>
      <c r="U8" s="46" t="n">
        <f aca="false">SUMPRODUCT('Project Plan'!$P$5:$P$480,'Project Plan'!$AY$5:$AY$480)*(1+Assumptions!$C$5)/U$5</f>
        <v>0.440397727272727</v>
      </c>
      <c r="V8" s="46" t="n">
        <f aca="false">SUMPRODUCT('Project Plan'!$P$5:$P$480,'Project Plan'!$AZ$5:$AZ$480)*(1+Assumptions!$C$5)/V$5</f>
        <v>0.102678571428571</v>
      </c>
      <c r="W8" s="46" t="n">
        <f aca="false">SUMPRODUCT('Project Plan'!$P$5:$P$480,'Project Plan'!$BA$5:$BA$480)*(1+Assumptions!$C$5)/W$5</f>
        <v>0</v>
      </c>
      <c r="X8" s="46" t="n">
        <f aca="false">SUMPRODUCT('Project Plan'!$P$5:$P$480,'Project Plan'!$BB$5:$BB$480)*(1+Assumptions!$C$5)/X$5</f>
        <v>0</v>
      </c>
      <c r="Y8" s="46" t="n">
        <f aca="false">SUMPRODUCT('Project Plan'!$P$5:$P$480,'Project Plan'!$BC$5:$BC$480)*(1+Assumptions!$C$5)/Y$5</f>
        <v>0</v>
      </c>
    </row>
    <row r="9" customFormat="false" ht="15" hidden="false" customHeight="false" outlineLevel="0" collapsed="false">
      <c r="A9" s="6" t="s">
        <v>1007</v>
      </c>
      <c r="B9" s="46" t="n">
        <f aca="false">SUMPRODUCT('Project Plan'!$Q$5:$Q$480,'Project Plan'!$AF$5:$AF$480)*(1+Assumptions!$C$5)/B$5</f>
        <v>0.964058441558442</v>
      </c>
      <c r="C9" s="46" t="n">
        <f aca="false">SUMPRODUCT('Project Plan'!$Q$5:$Q$480,'Project Plan'!$AG$5:$AG$480)*(1+Assumptions!$C$5)/C$5</f>
        <v>10.3389998862214</v>
      </c>
      <c r="D9" s="46" t="n">
        <f aca="false">SUMPRODUCT('Project Plan'!$Q$5:$Q$480,'Project Plan'!$AH$5:$AH$480)*(1+Assumptions!$C$5)/D$5</f>
        <v>15.8522740633602</v>
      </c>
      <c r="E9" s="46" t="n">
        <f aca="false">SUMPRODUCT('Project Plan'!$Q$5:$Q$480,'Project Plan'!$AI$5:$AI$480)*(1+Assumptions!$C$5)/E$5</f>
        <v>17.3005950659124</v>
      </c>
      <c r="F9" s="46" t="n">
        <f aca="false">SUMPRODUCT('Project Plan'!$Q$5:$Q$480,'Project Plan'!$AJ$5:$AJ$480)*(1+Assumptions!$C$5)/F$5</f>
        <v>8.44387462539657</v>
      </c>
      <c r="G9" s="46" t="n">
        <f aca="false">SUMPRODUCT('Project Plan'!$Q$5:$Q$480,'Project Plan'!$AK$5:$AK$480)*(1+Assumptions!$C$5)/G$5</f>
        <v>6.0844023713982</v>
      </c>
      <c r="H9" s="46" t="n">
        <f aca="false">SUMPRODUCT('Project Plan'!$Q$5:$Q$480,'Project Plan'!$AL$5:$AL$480)*(1+Assumptions!$C$5)/H$5</f>
        <v>9.24829142165757</v>
      </c>
      <c r="I9" s="46" t="n">
        <f aca="false">SUMPRODUCT('Project Plan'!$Q$5:$Q$480,'Project Plan'!$AM$5:$AM$480)*(1+Assumptions!$C$5)/I$5</f>
        <v>10.2118373029804</v>
      </c>
      <c r="J9" s="46" t="n">
        <f aca="false">SUMPRODUCT('Project Plan'!$Q$5:$Q$480,'Project Plan'!$AN$5:$AN$480)*(1+Assumptions!$C$5)/J$5</f>
        <v>4.6831524449687</v>
      </c>
      <c r="K9" s="46" t="n">
        <f aca="false">SUMPRODUCT('Project Plan'!$Q$5:$Q$480,'Project Plan'!$AO$5:$AO$480)*(1+Assumptions!$C$5)/K$5</f>
        <v>4.39890289495644</v>
      </c>
      <c r="L9" s="46" t="n">
        <f aca="false">SUMPRODUCT('Project Plan'!$Q$5:$Q$480,'Project Plan'!$AP$5:$AP$480)*(1+Assumptions!$C$5)/L$5</f>
        <v>6.35275681165127</v>
      </c>
      <c r="M9" s="46" t="n">
        <f aca="false">SUMPRODUCT('Project Plan'!$Q$5:$Q$480,'Project Plan'!$AQ$5:$AQ$480)*(1+Assumptions!$C$5)/M$5</f>
        <v>6.74766322355305</v>
      </c>
      <c r="N9" s="46" t="n">
        <f aca="false">SUMPRODUCT('Project Plan'!$Q$5:$Q$480,'Project Plan'!$AR$5:$AR$480)*(1+Assumptions!$C$5)/N$5</f>
        <v>3.45182275819073</v>
      </c>
      <c r="O9" s="46" t="n">
        <f aca="false">SUMPRODUCT('Project Plan'!$Q$5:$Q$480,'Project Plan'!$AS$5:$AS$480)*(1+Assumptions!$C$5)/O$5</f>
        <v>3.71581778508685</v>
      </c>
      <c r="P9" s="46" t="n">
        <f aca="false">SUMPRODUCT('Project Plan'!$Q$5:$Q$480,'Project Plan'!$AT$5:$AT$480)*(1+Assumptions!$C$5)/P$5</f>
        <v>4.76506114495521</v>
      </c>
      <c r="Q9" s="46" t="n">
        <f aca="false">SUMPRODUCT('Project Plan'!$Q$5:$Q$480,'Project Plan'!$AU$5:$AU$480)*(1+Assumptions!$C$5)/Q$5</f>
        <v>4.9406756955062</v>
      </c>
      <c r="R9" s="46" t="n">
        <f aca="false">SUMPRODUCT('Project Plan'!$Q$5:$Q$480,'Project Plan'!$AV$5:$AV$480)*(1+Assumptions!$C$5)/R$5</f>
        <v>2.34657095907096</v>
      </c>
      <c r="S9" s="46" t="n">
        <f aca="false">SUMPRODUCT('Project Plan'!$Q$5:$Q$480,'Project Plan'!$AW$5:$AW$480)*(1+Assumptions!$C$5)/S$5</f>
        <v>1.30726495726496</v>
      </c>
      <c r="T9" s="46" t="n">
        <f aca="false">SUMPRODUCT('Project Plan'!$Q$5:$Q$480,'Project Plan'!$AX$5:$AX$480)*(1+Assumptions!$C$5)/T$5</f>
        <v>0.9375</v>
      </c>
      <c r="U9" s="46" t="n">
        <f aca="false">SUMPRODUCT('Project Plan'!$Q$5:$Q$480,'Project Plan'!$AY$5:$AY$480)*(1+Assumptions!$C$5)/U$5</f>
        <v>0.8625</v>
      </c>
      <c r="V9" s="46" t="n">
        <f aca="false">SUMPRODUCT('Project Plan'!$Q$5:$Q$480,'Project Plan'!$AZ$5:$AZ$480)*(1+Assumptions!$C$5)/V$5</f>
        <v>0.205357142857143</v>
      </c>
      <c r="W9" s="46" t="n">
        <f aca="false">SUMPRODUCT('Project Plan'!$Q$5:$Q$480,'Project Plan'!$BA$5:$BA$480)*(1+Assumptions!$C$5)/W$5</f>
        <v>0</v>
      </c>
      <c r="X9" s="46" t="n">
        <f aca="false">SUMPRODUCT('Project Plan'!$Q$5:$Q$480,'Project Plan'!$BB$5:$BB$480)*(1+Assumptions!$C$5)/X$5</f>
        <v>0</v>
      </c>
      <c r="Y9" s="46" t="n">
        <f aca="false">SUMPRODUCT('Project Plan'!$Q$5:$Q$480,'Project Plan'!$BC$5:$BC$480)*(1+Assumptions!$C$5)/Y$5</f>
        <v>0</v>
      </c>
    </row>
    <row r="10" customFormat="false" ht="15" hidden="false" customHeight="false" outlineLevel="0" collapsed="false">
      <c r="A10" s="6" t="s">
        <v>1008</v>
      </c>
      <c r="B10" s="46" t="n">
        <f aca="false">SUMPRODUCT('Project Plan'!$R$5:$R$480,'Project Plan'!$AF$5:$AF$480)*(1+Assumptions!$C$5)/B$5</f>
        <v>0.669920634920635</v>
      </c>
      <c r="C10" s="46" t="n">
        <f aca="false">SUMPRODUCT('Project Plan'!$R$5:$R$480,'Project Plan'!$AG$5:$AG$480)*(1+Assumptions!$C$5)/C$5</f>
        <v>4.85424836601307</v>
      </c>
      <c r="D10" s="46" t="n">
        <f aca="false">SUMPRODUCT('Project Plan'!$R$5:$R$480,'Project Plan'!$AH$5:$AH$480)*(1+Assumptions!$C$5)/D$5</f>
        <v>7.45136528685548</v>
      </c>
      <c r="E10" s="46" t="n">
        <f aca="false">SUMPRODUCT('Project Plan'!$R$5:$R$480,'Project Plan'!$AI$5:$AI$480)*(1+Assumptions!$C$5)/E$5</f>
        <v>8.68428228362052</v>
      </c>
      <c r="F10" s="46" t="n">
        <f aca="false">SUMPRODUCT('Project Plan'!$R$5:$R$480,'Project Plan'!$AJ$5:$AJ$480)*(1+Assumptions!$C$5)/F$5</f>
        <v>6.01868516923976</v>
      </c>
      <c r="G10" s="46" t="n">
        <f aca="false">SUMPRODUCT('Project Plan'!$R$5:$R$480,'Project Plan'!$AK$5:$AK$480)*(1+Assumptions!$C$5)/G$5</f>
        <v>2.9052338350806</v>
      </c>
      <c r="H10" s="46" t="n">
        <f aca="false">SUMPRODUCT('Project Plan'!$R$5:$R$480,'Project Plan'!$AL$5:$AL$480)*(1+Assumptions!$C$5)/H$5</f>
        <v>4.86615558983427</v>
      </c>
      <c r="I10" s="46" t="n">
        <f aca="false">SUMPRODUCT('Project Plan'!$R$5:$R$480,'Project Plan'!$AM$5:$AM$480)*(1+Assumptions!$C$5)/I$5</f>
        <v>5.91916260027149</v>
      </c>
      <c r="J10" s="46" t="n">
        <f aca="false">SUMPRODUCT('Project Plan'!$R$5:$R$480,'Project Plan'!$AN$5:$AN$480)*(1+Assumptions!$C$5)/J$5</f>
        <v>2.38620827285922</v>
      </c>
      <c r="K10" s="46" t="n">
        <f aca="false">SUMPRODUCT('Project Plan'!$R$5:$R$480,'Project Plan'!$AO$5:$AO$480)*(1+Assumptions!$C$5)/K$5</f>
        <v>1.86276784536218</v>
      </c>
      <c r="L10" s="46" t="n">
        <f aca="false">SUMPRODUCT('Project Plan'!$R$5:$R$480,'Project Plan'!$AP$5:$AP$480)*(1+Assumptions!$C$5)/L$5</f>
        <v>2.69152765866209</v>
      </c>
      <c r="M10" s="46" t="n">
        <f aca="false">SUMPRODUCT('Project Plan'!$R$5:$R$480,'Project Plan'!$AQ$5:$AQ$480)*(1+Assumptions!$C$5)/M$5</f>
        <v>3.28245360771304</v>
      </c>
      <c r="N10" s="46" t="n">
        <f aca="false">SUMPRODUCT('Project Plan'!$R$5:$R$480,'Project Plan'!$AR$5:$AR$480)*(1+Assumptions!$C$5)/N$5</f>
        <v>1.78739202504802</v>
      </c>
      <c r="O10" s="46" t="n">
        <f aca="false">SUMPRODUCT('Project Plan'!$R$5:$R$480,'Project Plan'!$AS$5:$AS$480)*(1+Assumptions!$C$5)/O$5</f>
        <v>1.61994435868736</v>
      </c>
      <c r="P10" s="46" t="n">
        <f aca="false">SUMPRODUCT('Project Plan'!$R$5:$R$480,'Project Plan'!$AT$5:$AT$480)*(1+Assumptions!$C$5)/P$5</f>
        <v>2.24184415307537</v>
      </c>
      <c r="Q10" s="46" t="n">
        <f aca="false">SUMPRODUCT('Project Plan'!$R$5:$R$480,'Project Plan'!$AU$5:$AU$480)*(1+Assumptions!$C$5)/Q$5</f>
        <v>2.54897490368069</v>
      </c>
      <c r="R10" s="46" t="n">
        <f aca="false">SUMPRODUCT('Project Plan'!$R$5:$R$480,'Project Plan'!$AV$5:$AV$480)*(1+Assumptions!$C$5)/R$5</f>
        <v>1.14092162554427</v>
      </c>
      <c r="S10" s="46" t="n">
        <f aca="false">SUMPRODUCT('Project Plan'!$R$5:$R$480,'Project Plan'!$AW$5:$AW$480)*(1+Assumptions!$C$5)/S$5</f>
        <v>0.283076923076923</v>
      </c>
      <c r="T10" s="46" t="n">
        <f aca="false">SUMPRODUCT('Project Plan'!$R$5:$R$480,'Project Plan'!$AX$5:$AX$480)*(1+Assumptions!$C$5)/T$5</f>
        <v>0.15</v>
      </c>
      <c r="U10" s="46" t="n">
        <f aca="false">SUMPRODUCT('Project Plan'!$R$5:$R$480,'Project Plan'!$AY$5:$AY$480)*(1+Assumptions!$C$5)/U$5</f>
        <v>0</v>
      </c>
      <c r="V10" s="46" t="n">
        <f aca="false">SUMPRODUCT('Project Plan'!$R$5:$R$480,'Project Plan'!$AZ$5:$AZ$480)*(1+Assumptions!$C$5)/V$5</f>
        <v>0</v>
      </c>
      <c r="W10" s="46" t="n">
        <f aca="false">SUMPRODUCT('Project Plan'!$R$5:$R$480,'Project Plan'!$BA$5:$BA$480)*(1+Assumptions!$C$5)/W$5</f>
        <v>0</v>
      </c>
      <c r="X10" s="46" t="n">
        <f aca="false">SUMPRODUCT('Project Plan'!$R$5:$R$480,'Project Plan'!$BB$5:$BB$480)*(1+Assumptions!$C$5)/X$5</f>
        <v>0</v>
      </c>
      <c r="Y10" s="46" t="n">
        <f aca="false">SUMPRODUCT('Project Plan'!$R$5:$R$480,'Project Plan'!$BC$5:$BC$480)*(1+Assumptions!$C$5)/Y$5</f>
        <v>0</v>
      </c>
    </row>
    <row r="11" customFormat="false" ht="15" hidden="false" customHeight="false" outlineLevel="0" collapsed="false">
      <c r="A11" s="6" t="s">
        <v>1009</v>
      </c>
      <c r="B11" s="46" t="n">
        <f aca="false">SUMPRODUCT('Project Plan'!$S$5:$S$480,'Project Plan'!$AF$5:$AF$480)*(1+Assumptions!$C$5)/B$5</f>
        <v>0</v>
      </c>
      <c r="C11" s="46" t="n">
        <f aca="false">SUMPRODUCT('Project Plan'!$S$5:$S$480,'Project Plan'!$AG$5:$AG$480)*(1+Assumptions!$C$5)/C$5</f>
        <v>0.703235294117647</v>
      </c>
      <c r="D11" s="46" t="n">
        <f aca="false">SUMPRODUCT('Project Plan'!$S$5:$S$480,'Project Plan'!$AH$5:$AH$480)*(1+Assumptions!$C$5)/D$5</f>
        <v>2.5522268907563</v>
      </c>
      <c r="E11" s="46" t="n">
        <f aca="false">SUMPRODUCT('Project Plan'!$S$5:$S$480,'Project Plan'!$AI$5:$AI$480)*(1+Assumptions!$C$5)/E$5</f>
        <v>2.84658823529412</v>
      </c>
      <c r="F11" s="46" t="n">
        <f aca="false">SUMPRODUCT('Project Plan'!$S$5:$S$480,'Project Plan'!$AJ$5:$AJ$480)*(1+Assumptions!$C$5)/F$5</f>
        <v>0.941176470588235</v>
      </c>
      <c r="G11" s="46" t="n">
        <f aca="false">SUMPRODUCT('Project Plan'!$S$5:$S$480,'Project Plan'!$AK$5:$AK$480)*(1+Assumptions!$C$5)/G$5</f>
        <v>0</v>
      </c>
      <c r="H11" s="46" t="n">
        <f aca="false">SUMPRODUCT('Project Plan'!$S$5:$S$480,'Project Plan'!$AL$5:$AL$480)*(1+Assumptions!$C$5)/H$5</f>
        <v>2.37392857142857</v>
      </c>
      <c r="I11" s="46" t="n">
        <f aca="false">SUMPRODUCT('Project Plan'!$S$5:$S$480,'Project Plan'!$AM$5:$AM$480)*(1+Assumptions!$C$5)/I$5</f>
        <v>2.9325</v>
      </c>
      <c r="J11" s="46" t="n">
        <f aca="false">SUMPRODUCT('Project Plan'!$S$5:$S$480,'Project Plan'!$AN$5:$AN$480)*(1+Assumptions!$C$5)/J$5</f>
        <v>0.186454160246533</v>
      </c>
      <c r="K11" s="46" t="n">
        <f aca="false">SUMPRODUCT('Project Plan'!$S$5:$S$480,'Project Plan'!$AO$5:$AO$480)*(1+Assumptions!$C$5)/K$5</f>
        <v>0.194915254237288</v>
      </c>
      <c r="L11" s="46" t="n">
        <f aca="false">SUMPRODUCT('Project Plan'!$S$5:$S$480,'Project Plan'!$AP$5:$AP$480)*(1+Assumptions!$C$5)/L$5</f>
        <v>1.23906298151002</v>
      </c>
      <c r="M11" s="46" t="n">
        <f aca="false">SUMPRODUCT('Project Plan'!$S$5:$S$480,'Project Plan'!$AQ$5:$AQ$480)*(1+Assumptions!$C$5)/M$5</f>
        <v>1.43478510895884</v>
      </c>
      <c r="N11" s="46" t="n">
        <f aca="false">SUMPRODUCT('Project Plan'!$S$5:$S$480,'Project Plan'!$AR$5:$AR$480)*(1+Assumptions!$C$5)/N$5</f>
        <v>0.122840909090909</v>
      </c>
      <c r="O11" s="46" t="n">
        <f aca="false">SUMPRODUCT('Project Plan'!$S$5:$S$480,'Project Plan'!$AS$5:$AS$480)*(1+Assumptions!$C$5)/O$5</f>
        <v>0</v>
      </c>
      <c r="P11" s="46" t="n">
        <f aca="false">SUMPRODUCT('Project Plan'!$S$5:$S$480,'Project Plan'!$AT$5:$AT$480)*(1+Assumptions!$C$5)/P$5</f>
        <v>0.700952380952381</v>
      </c>
      <c r="Q11" s="46" t="n">
        <f aca="false">SUMPRODUCT('Project Plan'!$S$5:$S$480,'Project Plan'!$AU$5:$AU$480)*(1+Assumptions!$C$5)/Q$5</f>
        <v>0.92</v>
      </c>
      <c r="R11" s="46" t="n">
        <f aca="false">SUMPRODUCT('Project Plan'!$S$5:$S$480,'Project Plan'!$AV$5:$AV$480)*(1+Assumptions!$C$5)/R$5</f>
        <v>0.12</v>
      </c>
      <c r="S11" s="46" t="n">
        <f aca="false">SUMPRODUCT('Project Plan'!$S$5:$S$480,'Project Plan'!$AW$5:$AW$480)*(1+Assumptions!$C$5)/S$5</f>
        <v>0</v>
      </c>
      <c r="T11" s="46" t="n">
        <f aca="false">SUMPRODUCT('Project Plan'!$S$5:$S$480,'Project Plan'!$AX$5:$AX$480)*(1+Assumptions!$C$5)/T$5</f>
        <v>0</v>
      </c>
      <c r="U11" s="46" t="n">
        <f aca="false">SUMPRODUCT('Project Plan'!$S$5:$S$480,'Project Plan'!$AY$5:$AY$480)*(1+Assumptions!$C$5)/U$5</f>
        <v>0</v>
      </c>
      <c r="V11" s="46" t="n">
        <f aca="false">SUMPRODUCT('Project Plan'!$S$5:$S$480,'Project Plan'!$AZ$5:$AZ$480)*(1+Assumptions!$C$5)/V$5</f>
        <v>0</v>
      </c>
      <c r="W11" s="46" t="n">
        <f aca="false">SUMPRODUCT('Project Plan'!$S$5:$S$480,'Project Plan'!$BA$5:$BA$480)*(1+Assumptions!$C$5)/W$5</f>
        <v>0</v>
      </c>
      <c r="X11" s="46" t="n">
        <f aca="false">SUMPRODUCT('Project Plan'!$S$5:$S$480,'Project Plan'!$BB$5:$BB$480)*(1+Assumptions!$C$5)/X$5</f>
        <v>0</v>
      </c>
      <c r="Y11" s="46" t="n">
        <f aca="false">SUMPRODUCT('Project Plan'!$S$5:$S$480,'Project Plan'!$BC$5:$BC$480)*(1+Assumptions!$C$5)/Y$5</f>
        <v>0</v>
      </c>
    </row>
    <row r="12" customFormat="false" ht="15" hidden="false" customHeight="false" outlineLevel="0" collapsed="false">
      <c r="A12" s="6" t="s">
        <v>1010</v>
      </c>
      <c r="B12" s="46" t="n">
        <f aca="false">SUMPRODUCT('Project Plan'!$T$5:$T$480,'Project Plan'!$AF$5:$AF$480)*(1+Assumptions!$C$5)/B$5</f>
        <v>0</v>
      </c>
      <c r="C12" s="46" t="n">
        <f aca="false">SUMPRODUCT('Project Plan'!$T$5:$T$480,'Project Plan'!$AG$5:$AG$480)*(1+Assumptions!$C$5)/C$5</f>
        <v>0.8</v>
      </c>
      <c r="D12" s="46" t="n">
        <f aca="false">SUMPRODUCT('Project Plan'!$T$5:$T$480,'Project Plan'!$AH$5:$AH$480)*(1+Assumptions!$C$5)/D$5</f>
        <v>2.06971916971917</v>
      </c>
      <c r="E12" s="46" t="n">
        <f aca="false">SUMPRODUCT('Project Plan'!$T$5:$T$480,'Project Plan'!$AI$5:$AI$480)*(1+Assumptions!$C$5)/E$5</f>
        <v>1.47435897435897</v>
      </c>
      <c r="F12" s="46" t="n">
        <f aca="false">SUMPRODUCT('Project Plan'!$T$5:$T$480,'Project Plan'!$AJ$5:$AJ$480)*(1+Assumptions!$C$5)/F$5</f>
        <v>0.312103433289874</v>
      </c>
      <c r="G12" s="46" t="n">
        <f aca="false">SUMPRODUCT('Project Plan'!$T$5:$T$480,'Project Plan'!$AK$5:$AK$480)*(1+Assumptions!$C$5)/G$5</f>
        <v>1.18719183359014</v>
      </c>
      <c r="H12" s="46" t="n">
        <f aca="false">SUMPRODUCT('Project Plan'!$T$5:$T$480,'Project Plan'!$AL$5:$AL$480)*(1+Assumptions!$C$5)/H$5</f>
        <v>2.02923728813559</v>
      </c>
      <c r="I12" s="46" t="n">
        <f aca="false">SUMPRODUCT('Project Plan'!$T$5:$T$480,'Project Plan'!$AM$5:$AM$480)*(1+Assumptions!$C$5)/I$5</f>
        <v>1.28355161787365</v>
      </c>
      <c r="J12" s="46" t="n">
        <f aca="false">SUMPRODUCT('Project Plan'!$T$5:$T$480,'Project Plan'!$AN$5:$AN$480)*(1+Assumptions!$C$5)/J$5</f>
        <v>0.0265793528505393</v>
      </c>
      <c r="K12" s="46" t="n">
        <f aca="false">SUMPRODUCT('Project Plan'!$T$5:$T$480,'Project Plan'!$AO$5:$AO$480)*(1+Assumptions!$C$5)/K$5</f>
        <v>0.406548536209553</v>
      </c>
      <c r="L12" s="46" t="n">
        <f aca="false">SUMPRODUCT('Project Plan'!$T$5:$T$480,'Project Plan'!$AP$5:$AP$480)*(1+Assumptions!$C$5)/L$5</f>
        <v>0.947457627118644</v>
      </c>
      <c r="M12" s="46" t="n">
        <f aca="false">SUMPRODUCT('Project Plan'!$T$5:$T$480,'Project Plan'!$AQ$5:$AQ$480)*(1+Assumptions!$C$5)/M$5</f>
        <v>0.689386602098467</v>
      </c>
      <c r="N12" s="46" t="n">
        <f aca="false">SUMPRODUCT('Project Plan'!$T$5:$T$480,'Project Plan'!$AR$5:$AR$480)*(1+Assumptions!$C$5)/N$5</f>
        <v>0</v>
      </c>
      <c r="O12" s="46" t="n">
        <f aca="false">SUMPRODUCT('Project Plan'!$T$5:$T$480,'Project Plan'!$AS$5:$AS$480)*(1+Assumptions!$C$5)/O$5</f>
        <v>0.0695652173913044</v>
      </c>
      <c r="P12" s="46" t="n">
        <f aca="false">SUMPRODUCT('Project Plan'!$T$5:$T$480,'Project Plan'!$AT$5:$AT$480)*(1+Assumptions!$C$5)/P$5</f>
        <v>0.2</v>
      </c>
      <c r="Q12" s="46" t="n">
        <f aca="false">SUMPRODUCT('Project Plan'!$T$5:$T$480,'Project Plan'!$AU$5:$AU$480)*(1+Assumptions!$C$5)/Q$5</f>
        <v>0.161904761904762</v>
      </c>
      <c r="R12" s="46" t="n">
        <f aca="false">SUMPRODUCT('Project Plan'!$T$5:$T$480,'Project Plan'!$AV$5:$AV$480)*(1+Assumptions!$C$5)/R$5</f>
        <v>0</v>
      </c>
      <c r="S12" s="46" t="n">
        <f aca="false">SUMPRODUCT('Project Plan'!$T$5:$T$480,'Project Plan'!$AW$5:$AW$480)*(1+Assumptions!$C$5)/S$5</f>
        <v>0</v>
      </c>
      <c r="T12" s="46" t="n">
        <f aca="false">SUMPRODUCT('Project Plan'!$T$5:$T$480,'Project Plan'!$AX$5:$AX$480)*(1+Assumptions!$C$5)/T$5</f>
        <v>0</v>
      </c>
      <c r="U12" s="46" t="n">
        <f aca="false">SUMPRODUCT('Project Plan'!$T$5:$T$480,'Project Plan'!$AY$5:$AY$480)*(1+Assumptions!$C$5)/U$5</f>
        <v>0</v>
      </c>
      <c r="V12" s="46" t="n">
        <f aca="false">SUMPRODUCT('Project Plan'!$T$5:$T$480,'Project Plan'!$AZ$5:$AZ$480)*(1+Assumptions!$C$5)/V$5</f>
        <v>0</v>
      </c>
      <c r="W12" s="46" t="n">
        <f aca="false">SUMPRODUCT('Project Plan'!$T$5:$T$480,'Project Plan'!$BA$5:$BA$480)*(1+Assumptions!$C$5)/W$5</f>
        <v>0</v>
      </c>
      <c r="X12" s="46" t="n">
        <f aca="false">SUMPRODUCT('Project Plan'!$T$5:$T$480,'Project Plan'!$BB$5:$BB$480)*(1+Assumptions!$C$5)/X$5</f>
        <v>0</v>
      </c>
      <c r="Y12" s="46" t="n">
        <f aca="false">SUMPRODUCT('Project Plan'!$T$5:$T$480,'Project Plan'!$BC$5:$BC$480)*(1+Assumptions!$C$5)/Y$5</f>
        <v>0</v>
      </c>
    </row>
    <row r="13" customFormat="false" ht="15" hidden="false" customHeight="false" outlineLevel="0" collapsed="false">
      <c r="A13" s="6" t="s">
        <v>1011</v>
      </c>
      <c r="B13" s="46" t="n">
        <f aca="false">SUMPRODUCT('Project Plan'!$U$5:$U$480,'Project Plan'!$AF$5:$AF$480)*(1+Assumptions!$C$5)/B$5</f>
        <v>1.91246825396825</v>
      </c>
      <c r="C13" s="46" t="n">
        <f aca="false">SUMPRODUCT('Project Plan'!$U$5:$U$480,'Project Plan'!$AG$5:$AG$480)*(1+Assumptions!$C$5)/C$5</f>
        <v>1.62317156862745</v>
      </c>
      <c r="D13" s="46" t="n">
        <f aca="false">SUMPRODUCT('Project Plan'!$U$5:$U$480,'Project Plan'!$AH$5:$AH$480)*(1+Assumptions!$C$5)/D$5</f>
        <v>2.12999649859944</v>
      </c>
      <c r="E13" s="46" t="n">
        <f aca="false">SUMPRODUCT('Project Plan'!$U$5:$U$480,'Project Plan'!$AI$5:$AI$480)*(1+Assumptions!$C$5)/E$5</f>
        <v>1.30626470588235</v>
      </c>
      <c r="F13" s="46" t="n">
        <f aca="false">SUMPRODUCT('Project Plan'!$U$5:$U$480,'Project Plan'!$AJ$5:$AJ$480)*(1+Assumptions!$C$5)/F$5</f>
        <v>0.118181818181818</v>
      </c>
      <c r="G13" s="46" t="n">
        <f aca="false">SUMPRODUCT('Project Plan'!$U$5:$U$480,'Project Plan'!$AK$5:$AK$480)*(1+Assumptions!$C$5)/G$5</f>
        <v>0.798906174039864</v>
      </c>
      <c r="H13" s="46" t="n">
        <f aca="false">SUMPRODUCT('Project Plan'!$U$5:$U$480,'Project Plan'!$AL$5:$AL$480)*(1+Assumptions!$C$5)/H$5</f>
        <v>0.128851540616246</v>
      </c>
      <c r="I13" s="46" t="n">
        <f aca="false">SUMPRODUCT('Project Plan'!$U$5:$U$480,'Project Plan'!$AM$5:$AM$480)*(1+Assumptions!$C$5)/I$5</f>
        <v>0</v>
      </c>
      <c r="J13" s="46" t="n">
        <f aca="false">SUMPRODUCT('Project Plan'!$U$5:$U$480,'Project Plan'!$AN$5:$AN$480)*(1+Assumptions!$C$5)/J$5</f>
        <v>0.271457732474682</v>
      </c>
      <c r="K13" s="46" t="n">
        <f aca="false">SUMPRODUCT('Project Plan'!$U$5:$U$480,'Project Plan'!$AO$5:$AO$480)*(1+Assumptions!$C$5)/K$5</f>
        <v>0.747771851500665</v>
      </c>
      <c r="L13" s="46" t="n">
        <f aca="false">SUMPRODUCT('Project Plan'!$U$5:$U$480,'Project Plan'!$AP$5:$AP$480)*(1+Assumptions!$C$5)/L$5</f>
        <v>0.203420647149461</v>
      </c>
      <c r="M13" s="46" t="n">
        <f aca="false">SUMPRODUCT('Project Plan'!$U$5:$U$480,'Project Plan'!$AQ$5:$AQ$480)*(1+Assumptions!$C$5)/M$5</f>
        <v>0.0334140435835351</v>
      </c>
      <c r="N13" s="46" t="n">
        <f aca="false">SUMPRODUCT('Project Plan'!$U$5:$U$480,'Project Plan'!$AR$5:$AR$480)*(1+Assumptions!$C$5)/N$5</f>
        <v>0.210878010878011</v>
      </c>
      <c r="O13" s="46" t="n">
        <f aca="false">SUMPRODUCT('Project Plan'!$U$5:$U$480,'Project Plan'!$AS$5:$AS$480)*(1+Assumptions!$C$5)/O$5</f>
        <v>0.678290598290598</v>
      </c>
      <c r="P13" s="46" t="n">
        <f aca="false">SUMPRODUCT('Project Plan'!$U$5:$U$480,'Project Plan'!$AT$5:$AT$480)*(1+Assumptions!$C$5)/P$5</f>
        <v>0.131428571428571</v>
      </c>
      <c r="Q13" s="46" t="n">
        <f aca="false">SUMPRODUCT('Project Plan'!$U$5:$U$480,'Project Plan'!$AU$5:$AU$480)*(1+Assumptions!$C$5)/Q$5</f>
        <v>0</v>
      </c>
      <c r="R13" s="46" t="n">
        <f aca="false">SUMPRODUCT('Project Plan'!$U$5:$U$480,'Project Plan'!$AV$5:$AV$480)*(1+Assumptions!$C$5)/R$5</f>
        <v>0.201709401709402</v>
      </c>
      <c r="S13" s="46" t="n">
        <f aca="false">SUMPRODUCT('Project Plan'!$U$5:$U$480,'Project Plan'!$AW$5:$AW$480)*(1+Assumptions!$C$5)/S$5</f>
        <v>0.745534188034188</v>
      </c>
      <c r="T13" s="46" t="n">
        <f aca="false">SUMPRODUCT('Project Plan'!$U$5:$U$480,'Project Plan'!$AX$5:$AX$480)*(1+Assumptions!$C$5)/T$5</f>
        <v>0.39375</v>
      </c>
      <c r="U13" s="46" t="n">
        <f aca="false">SUMPRODUCT('Project Plan'!$U$5:$U$480,'Project Plan'!$AY$5:$AY$480)*(1+Assumptions!$C$5)/U$5</f>
        <v>0.43125</v>
      </c>
      <c r="V13" s="46" t="n">
        <f aca="false">SUMPRODUCT('Project Plan'!$U$5:$U$480,'Project Plan'!$AZ$5:$AZ$480)*(1+Assumptions!$C$5)/V$5</f>
        <v>0.102678571428571</v>
      </c>
      <c r="W13" s="46" t="n">
        <f aca="false">SUMPRODUCT('Project Plan'!$U$5:$U$480,'Project Plan'!$BA$5:$BA$480)*(1+Assumptions!$C$5)/W$5</f>
        <v>0</v>
      </c>
      <c r="X13" s="46" t="n">
        <f aca="false">SUMPRODUCT('Project Plan'!$U$5:$U$480,'Project Plan'!$BB$5:$BB$480)*(1+Assumptions!$C$5)/X$5</f>
        <v>0</v>
      </c>
      <c r="Y13" s="46" t="n">
        <f aca="false">SUMPRODUCT('Project Plan'!$U$5:$U$480,'Project Plan'!$BC$5:$BC$480)*(1+Assumptions!$C$5)/Y$5</f>
        <v>0</v>
      </c>
    </row>
    <row r="14" customFormat="false" ht="15" hidden="false" customHeight="false" outlineLevel="0" collapsed="false">
      <c r="A14" s="6" t="s">
        <v>1012</v>
      </c>
      <c r="B14" s="46" t="n">
        <f aca="false">SUMPRODUCT('Project Plan'!$V$5:$V$480,'Project Plan'!$AF$5:$AF$480)*(1+Assumptions!$C$5)/B$5</f>
        <v>0</v>
      </c>
      <c r="C14" s="46" t="n">
        <f aca="false">SUMPRODUCT('Project Plan'!$V$5:$V$480,'Project Plan'!$AG$5:$AG$480)*(1+Assumptions!$C$5)/C$5</f>
        <v>0.225</v>
      </c>
      <c r="D14" s="46" t="n">
        <f aca="false">SUMPRODUCT('Project Plan'!$V$5:$V$480,'Project Plan'!$AH$5:$AH$480)*(1+Assumptions!$C$5)/D$5</f>
        <v>3.61321389678533</v>
      </c>
      <c r="E14" s="46" t="n">
        <f aca="false">SUMPRODUCT('Project Plan'!$V$5:$V$480,'Project Plan'!$AI$5:$AI$480)*(1+Assumptions!$C$5)/E$5</f>
        <v>3.20932872532873</v>
      </c>
      <c r="F14" s="46" t="n">
        <f aca="false">SUMPRODUCT('Project Plan'!$V$5:$V$480,'Project Plan'!$AJ$5:$AJ$480)*(1+Assumptions!$C$5)/F$5</f>
        <v>10.7014716473022</v>
      </c>
      <c r="G14" s="46" t="n">
        <f aca="false">SUMPRODUCT('Project Plan'!$V$5:$V$480,'Project Plan'!$AK$5:$AK$480)*(1+Assumptions!$C$5)/G$5</f>
        <v>3.61146456223616</v>
      </c>
      <c r="H14" s="46" t="n">
        <f aca="false">SUMPRODUCT('Project Plan'!$V$5:$V$480,'Project Plan'!$AL$5:$AL$480)*(1+Assumptions!$C$5)/H$5</f>
        <v>0.68180249079601</v>
      </c>
      <c r="I14" s="46" t="n">
        <f aca="false">SUMPRODUCT('Project Plan'!$V$5:$V$480,'Project Plan'!$AM$5:$AM$480)*(1+Assumptions!$C$5)/I$5</f>
        <v>1.46272422774965</v>
      </c>
      <c r="J14" s="46" t="n">
        <f aca="false">SUMPRODUCT('Project Plan'!$V$5:$V$480,'Project Plan'!$AN$5:$AN$480)*(1+Assumptions!$C$5)/J$5</f>
        <v>8.13886320070103</v>
      </c>
      <c r="K14" s="46" t="n">
        <f aca="false">SUMPRODUCT('Project Plan'!$V$5:$V$480,'Project Plan'!$AO$5:$AO$480)*(1+Assumptions!$C$5)/K$5</f>
        <v>1.98216894499098</v>
      </c>
      <c r="L14" s="46" t="n">
        <f aca="false">SUMPRODUCT('Project Plan'!$V$5:$V$480,'Project Plan'!$AP$5:$AP$480)*(1+Assumptions!$C$5)/L$5</f>
        <v>0.512606714292385</v>
      </c>
      <c r="M14" s="46" t="n">
        <f aca="false">SUMPRODUCT('Project Plan'!$V$5:$V$480,'Project Plan'!$AQ$5:$AQ$480)*(1+Assumptions!$C$5)/M$5</f>
        <v>0.766603342312785</v>
      </c>
      <c r="N14" s="46" t="n">
        <f aca="false">SUMPRODUCT('Project Plan'!$V$5:$V$480,'Project Plan'!$AR$5:$AR$480)*(1+Assumptions!$C$5)/N$5</f>
        <v>6.32609707515563</v>
      </c>
      <c r="O14" s="46" t="n">
        <f aca="false">SUMPRODUCT('Project Plan'!$V$5:$V$480,'Project Plan'!$AS$5:$AS$480)*(1+Assumptions!$C$5)/O$5</f>
        <v>1.77856468202231</v>
      </c>
      <c r="P14" s="46" t="n">
        <f aca="false">SUMPRODUCT('Project Plan'!$V$5:$V$480,'Project Plan'!$AT$5:$AT$480)*(1+Assumptions!$C$5)/P$5</f>
        <v>0.417594541052168</v>
      </c>
      <c r="Q14" s="46" t="n">
        <f aca="false">SUMPRODUCT('Project Plan'!$V$5:$V$480,'Project Plan'!$AU$5:$AU$480)*(1+Assumptions!$C$5)/Q$5</f>
        <v>0.405103048820966</v>
      </c>
      <c r="R14" s="46" t="n">
        <f aca="false">SUMPRODUCT('Project Plan'!$V$5:$V$480,'Project Plan'!$AV$5:$AV$480)*(1+Assumptions!$C$5)/R$5</f>
        <v>5.06525013875014</v>
      </c>
      <c r="S14" s="46" t="n">
        <f aca="false">SUMPRODUCT('Project Plan'!$V$5:$V$480,'Project Plan'!$AW$5:$AW$480)*(1+Assumptions!$C$5)/S$5</f>
        <v>1.64115811965812</v>
      </c>
      <c r="T14" s="46" t="n">
        <f aca="false">SUMPRODUCT('Project Plan'!$V$5:$V$480,'Project Plan'!$AX$5:$AX$480)*(1+Assumptions!$C$5)/T$5</f>
        <v>0.163333333333333</v>
      </c>
      <c r="U14" s="46" t="n">
        <f aca="false">SUMPRODUCT('Project Plan'!$V$5:$V$480,'Project Plan'!$AY$5:$AY$480)*(1+Assumptions!$C$5)/U$5</f>
        <v>0</v>
      </c>
      <c r="V14" s="46" t="n">
        <f aca="false">SUMPRODUCT('Project Plan'!$V$5:$V$480,'Project Plan'!$AZ$5:$AZ$480)*(1+Assumptions!$C$5)/V$5</f>
        <v>0</v>
      </c>
      <c r="W14" s="46" t="n">
        <f aca="false">SUMPRODUCT('Project Plan'!$V$5:$V$480,'Project Plan'!$BA$5:$BA$480)*(1+Assumptions!$C$5)/W$5</f>
        <v>0</v>
      </c>
      <c r="X14" s="46" t="n">
        <f aca="false">SUMPRODUCT('Project Plan'!$V$5:$V$480,'Project Plan'!$BB$5:$BB$480)*(1+Assumptions!$C$5)/X$5</f>
        <v>0</v>
      </c>
      <c r="Y14" s="46" t="n">
        <f aca="false">SUMPRODUCT('Project Plan'!$V$5:$V$480,'Project Plan'!$BC$5:$BC$480)*(1+Assumptions!$C$5)/Y$5</f>
        <v>0</v>
      </c>
    </row>
    <row r="15" customFormat="false" ht="15" hidden="false" customHeight="false" outlineLevel="0" collapsed="false">
      <c r="A15" s="6" t="s">
        <v>1013</v>
      </c>
      <c r="B15" s="46" t="n">
        <f aca="false">SUMPRODUCT('Project Plan'!$W$5:$W$480,'Project Plan'!$AF$5:$AF$480)*(1+Assumptions!$C$5)/B$5</f>
        <v>0.401587301587302</v>
      </c>
      <c r="C15" s="46" t="n">
        <f aca="false">SUMPRODUCT('Project Plan'!$W$5:$W$480,'Project Plan'!$AG$5:$AG$480)*(1+Assumptions!$C$5)/C$5</f>
        <v>0.133333333333333</v>
      </c>
      <c r="D15" s="46" t="n">
        <f aca="false">SUMPRODUCT('Project Plan'!$W$5:$W$480,'Project Plan'!$AH$5:$AH$480)*(1+Assumptions!$C$5)/D$5</f>
        <v>1.05544444444444</v>
      </c>
      <c r="E15" s="46" t="n">
        <f aca="false">SUMPRODUCT('Project Plan'!$W$5:$W$480,'Project Plan'!$AI$5:$AI$480)*(1+Assumptions!$C$5)/E$5</f>
        <v>2.15433333333333</v>
      </c>
      <c r="F15" s="46" t="n">
        <f aca="false">SUMPRODUCT('Project Plan'!$W$5:$W$480,'Project Plan'!$AJ$5:$AJ$480)*(1+Assumptions!$C$5)/F$5</f>
        <v>1.48079661016949</v>
      </c>
      <c r="G15" s="46" t="n">
        <f aca="false">SUMPRODUCT('Project Plan'!$W$5:$W$480,'Project Plan'!$AK$5:$AK$480)*(1+Assumptions!$C$5)/G$5</f>
        <v>0.788520801232666</v>
      </c>
      <c r="H15" s="46" t="n">
        <f aca="false">SUMPRODUCT('Project Plan'!$W$5:$W$480,'Project Plan'!$AL$5:$AL$480)*(1+Assumptions!$C$5)/H$5</f>
        <v>1.18898305084746</v>
      </c>
      <c r="I15" s="46" t="n">
        <f aca="false">SUMPRODUCT('Project Plan'!$W$5:$W$480,'Project Plan'!$AM$5:$AM$480)*(1+Assumptions!$C$5)/I$5</f>
        <v>1.15442989214176</v>
      </c>
      <c r="J15" s="46" t="n">
        <f aca="false">SUMPRODUCT('Project Plan'!$W$5:$W$480,'Project Plan'!$AN$5:$AN$480)*(1+Assumptions!$C$5)/J$5</f>
        <v>0.735362095531587</v>
      </c>
      <c r="K15" s="46" t="n">
        <f aca="false">SUMPRODUCT('Project Plan'!$W$5:$W$480,'Project Plan'!$AO$5:$AO$480)*(1+Assumptions!$C$5)/K$5</f>
        <v>0.685747303543914</v>
      </c>
      <c r="L15" s="46" t="n">
        <f aca="false">SUMPRODUCT('Project Plan'!$W$5:$W$480,'Project Plan'!$AP$5:$AP$480)*(1+Assumptions!$C$5)/L$5</f>
        <v>0.0584745762711864</v>
      </c>
      <c r="M15" s="46" t="n">
        <f aca="false">SUMPRODUCT('Project Plan'!$W$5:$W$480,'Project Plan'!$AQ$5:$AQ$480)*(1+Assumptions!$C$5)/M$5</f>
        <v>0.0250605326876513</v>
      </c>
      <c r="N15" s="46" t="n">
        <f aca="false">SUMPRODUCT('Project Plan'!$W$5:$W$480,'Project Plan'!$AR$5:$AR$480)*(1+Assumptions!$C$5)/N$5</f>
        <v>0.0708782742681048</v>
      </c>
      <c r="O15" s="46" t="n">
        <f aca="false">SUMPRODUCT('Project Plan'!$W$5:$W$480,'Project Plan'!$AS$5:$AS$480)*(1+Assumptions!$C$5)/O$5</f>
        <v>0.94406779661017</v>
      </c>
      <c r="P15" s="46" t="n">
        <f aca="false">SUMPRODUCT('Project Plan'!$W$5:$W$480,'Project Plan'!$AT$5:$AT$480)*(1+Assumptions!$C$5)/P$5</f>
        <v>1.05254237288136</v>
      </c>
      <c r="Q15" s="46" t="n">
        <f aca="false">SUMPRODUCT('Project Plan'!$W$5:$W$480,'Project Plan'!$AU$5:$AU$480)*(1+Assumptions!$C$5)/Q$5</f>
        <v>0.889184826472962</v>
      </c>
      <c r="R15" s="46" t="n">
        <f aca="false">SUMPRODUCT('Project Plan'!$W$5:$W$480,'Project Plan'!$AV$5:$AV$480)*(1+Assumptions!$C$5)/R$5</f>
        <v>0.515254237288136</v>
      </c>
      <c r="S15" s="46" t="n">
        <f aca="false">SUMPRODUCT('Project Plan'!$W$5:$W$480,'Project Plan'!$AW$5:$AW$480)*(1+Assumptions!$C$5)/S$5</f>
        <v>0.69</v>
      </c>
      <c r="T15" s="46" t="n">
        <f aca="false">SUMPRODUCT('Project Plan'!$W$5:$W$480,'Project Plan'!$AX$5:$AX$480)*(1+Assumptions!$C$5)/T$5</f>
        <v>0</v>
      </c>
      <c r="U15" s="46" t="n">
        <f aca="false">SUMPRODUCT('Project Plan'!$W$5:$W$480,'Project Plan'!$AY$5:$AY$480)*(1+Assumptions!$C$5)/U$5</f>
        <v>0</v>
      </c>
      <c r="V15" s="46" t="n">
        <f aca="false">SUMPRODUCT('Project Plan'!$W$5:$W$480,'Project Plan'!$AZ$5:$AZ$480)*(1+Assumptions!$C$5)/V$5</f>
        <v>0</v>
      </c>
      <c r="W15" s="46" t="n">
        <f aca="false">SUMPRODUCT('Project Plan'!$W$5:$W$480,'Project Plan'!$BA$5:$BA$480)*(1+Assumptions!$C$5)/W$5</f>
        <v>0</v>
      </c>
      <c r="X15" s="46" t="n">
        <f aca="false">SUMPRODUCT('Project Plan'!$W$5:$W$480,'Project Plan'!$BB$5:$BB$480)*(1+Assumptions!$C$5)/X$5</f>
        <v>0</v>
      </c>
      <c r="Y15" s="46" t="n">
        <f aca="false">SUMPRODUCT('Project Plan'!$W$5:$W$480,'Project Plan'!$BC$5:$BC$480)*(1+Assumptions!$C$5)/Y$5</f>
        <v>0</v>
      </c>
    </row>
    <row r="16" customFormat="false" ht="15" hidden="false" customHeight="false" outlineLevel="0" collapsed="false">
      <c r="A16" s="6" t="s">
        <v>1014</v>
      </c>
      <c r="B16" s="46" t="n">
        <f aca="false">SUMPRODUCT('Project Plan'!$X$5:$X$480,'Project Plan'!$AF$5:$AF$480)*(1+Assumptions!$C$5)/B$5</f>
        <v>0</v>
      </c>
      <c r="C16" s="46" t="n">
        <f aca="false">SUMPRODUCT('Project Plan'!$X$5:$X$480,'Project Plan'!$AG$5:$AG$480)*(1+Assumptions!$C$5)/C$5</f>
        <v>0</v>
      </c>
      <c r="D16" s="46" t="n">
        <f aca="false">SUMPRODUCT('Project Plan'!$X$5:$X$480,'Project Plan'!$AH$5:$AH$480)*(1+Assumptions!$C$5)/D$5</f>
        <v>0</v>
      </c>
      <c r="E16" s="46" t="n">
        <f aca="false">SUMPRODUCT('Project Plan'!$X$5:$X$480,'Project Plan'!$AI$5:$AI$480)*(1+Assumptions!$C$5)/E$5</f>
        <v>0</v>
      </c>
      <c r="F16" s="46" t="n">
        <f aca="false">SUMPRODUCT('Project Plan'!$X$5:$X$480,'Project Plan'!$AJ$5:$AJ$480)*(1+Assumptions!$C$5)/F$5</f>
        <v>0</v>
      </c>
      <c r="G16" s="46" t="n">
        <f aca="false">SUMPRODUCT('Project Plan'!$X$5:$X$480,'Project Plan'!$AK$5:$AK$480)*(1+Assumptions!$C$5)/G$5</f>
        <v>3.29318181818182</v>
      </c>
      <c r="H16" s="46" t="n">
        <f aca="false">SUMPRODUCT('Project Plan'!$X$5:$X$480,'Project Plan'!$AL$5:$AL$480)*(1+Assumptions!$C$5)/H$5</f>
        <v>0</v>
      </c>
      <c r="I16" s="46" t="n">
        <f aca="false">SUMPRODUCT('Project Plan'!$X$5:$X$480,'Project Plan'!$AM$5:$AM$480)*(1+Assumptions!$C$5)/I$5</f>
        <v>0</v>
      </c>
      <c r="J16" s="46" t="n">
        <f aca="false">SUMPRODUCT('Project Plan'!$X$5:$X$480,'Project Plan'!$AN$5:$AN$480)*(1+Assumptions!$C$5)/J$5</f>
        <v>0.136713286713287</v>
      </c>
      <c r="K16" s="46" t="n">
        <f aca="false">SUMPRODUCT('Project Plan'!$X$5:$X$480,'Project Plan'!$AO$5:$AO$480)*(1+Assumptions!$C$5)/K$5</f>
        <v>2.42465034965035</v>
      </c>
      <c r="L16" s="46" t="n">
        <f aca="false">SUMPRODUCT('Project Plan'!$X$5:$X$480,'Project Plan'!$AP$5:$AP$480)*(1+Assumptions!$C$5)/L$5</f>
        <v>0</v>
      </c>
      <c r="M16" s="46" t="n">
        <f aca="false">SUMPRODUCT('Project Plan'!$X$5:$X$480,'Project Plan'!$AQ$5:$AQ$480)*(1+Assumptions!$C$5)/M$5</f>
        <v>0</v>
      </c>
      <c r="N16" s="46" t="n">
        <f aca="false">SUMPRODUCT('Project Plan'!$X$5:$X$480,'Project Plan'!$AR$5:$AR$480)*(1+Assumptions!$C$5)/N$5</f>
        <v>0</v>
      </c>
      <c r="O16" s="46" t="n">
        <f aca="false">SUMPRODUCT('Project Plan'!$X$5:$X$480,'Project Plan'!$AS$5:$AS$480)*(1+Assumptions!$C$5)/O$5</f>
        <v>2</v>
      </c>
      <c r="P16" s="46" t="n">
        <f aca="false">SUMPRODUCT('Project Plan'!$X$5:$X$480,'Project Plan'!$AT$5:$AT$480)*(1+Assumptions!$C$5)/P$5</f>
        <v>0</v>
      </c>
      <c r="Q16" s="46" t="n">
        <f aca="false">SUMPRODUCT('Project Plan'!$X$5:$X$480,'Project Plan'!$AU$5:$AU$480)*(1+Assumptions!$C$5)/Q$5</f>
        <v>0</v>
      </c>
      <c r="R16" s="46" t="n">
        <f aca="false">SUMPRODUCT('Project Plan'!$X$5:$X$480,'Project Plan'!$AV$5:$AV$480)*(1+Assumptions!$C$5)/R$5</f>
        <v>0</v>
      </c>
      <c r="S16" s="46" t="n">
        <f aca="false">SUMPRODUCT('Project Plan'!$X$5:$X$480,'Project Plan'!$AW$5:$AW$480)*(1+Assumptions!$C$5)/S$5</f>
        <v>1.955</v>
      </c>
      <c r="T16" s="46" t="n">
        <f aca="false">SUMPRODUCT('Project Plan'!$X$5:$X$480,'Project Plan'!$AX$5:$AX$480)*(1+Assumptions!$C$5)/T$5</f>
        <v>0.1625</v>
      </c>
      <c r="U16" s="46" t="n">
        <f aca="false">SUMPRODUCT('Project Plan'!$X$5:$X$480,'Project Plan'!$AY$5:$AY$480)*(1+Assumptions!$C$5)/U$5</f>
        <v>0.2875</v>
      </c>
      <c r="V16" s="46" t="n">
        <f aca="false">SUMPRODUCT('Project Plan'!$X$5:$X$480,'Project Plan'!$AZ$5:$AZ$480)*(1+Assumptions!$C$5)/V$5</f>
        <v>0.068452380952381</v>
      </c>
      <c r="W16" s="46" t="n">
        <f aca="false">SUMPRODUCT('Project Plan'!$X$5:$X$480,'Project Plan'!$BA$5:$BA$480)*(1+Assumptions!$C$5)/W$5</f>
        <v>0</v>
      </c>
      <c r="X16" s="46" t="n">
        <f aca="false">SUMPRODUCT('Project Plan'!$X$5:$X$480,'Project Plan'!$BB$5:$BB$480)*(1+Assumptions!$C$5)/X$5</f>
        <v>0</v>
      </c>
      <c r="Y16" s="46" t="n">
        <f aca="false">SUMPRODUCT('Project Plan'!$X$5:$X$480,'Project Plan'!$BC$5:$BC$480)*(1+Assumptions!$C$5)/Y$5</f>
        <v>0</v>
      </c>
    </row>
    <row r="17" customFormat="false" ht="15" hidden="false" customHeight="false" outlineLevel="0" collapsed="false">
      <c r="A17" s="13" t="s">
        <v>1015</v>
      </c>
      <c r="B17" s="47" t="n">
        <f aca="false">SUM(B6:B16)</f>
        <v>10.8746286213786</v>
      </c>
      <c r="C17" s="47" t="n">
        <f aca="false">SUM(C6:C16)</f>
        <v>28.4492952150756</v>
      </c>
      <c r="D17" s="47" t="n">
        <f aca="false">SUM(D6:D16)</f>
        <v>37.052088289736</v>
      </c>
      <c r="E17" s="47" t="n">
        <f aca="false">SUM(E6:E16)</f>
        <v>39.7637326071529</v>
      </c>
      <c r="F17" s="47" t="n">
        <f aca="false">SUM(F6:F16)</f>
        <v>34.7645947908554</v>
      </c>
      <c r="G17" s="47" t="n">
        <f aca="false">SUM(G6:G16)</f>
        <v>24.7173803278272</v>
      </c>
      <c r="H17" s="47" t="n">
        <f aca="false">SUM(H6:H16)</f>
        <v>22.7572386144852</v>
      </c>
      <c r="I17" s="47" t="n">
        <f aca="false">SUM(I6:I16)</f>
        <v>24.9844666646279</v>
      </c>
      <c r="J17" s="47" t="n">
        <f aca="false">SUM(J6:J16)</f>
        <v>22.3465218420063</v>
      </c>
      <c r="K17" s="47" t="n">
        <f aca="false">SUM(K6:K16)</f>
        <v>17.2297457635194</v>
      </c>
      <c r="L17" s="47" t="n">
        <f aca="false">SUM(L6:L16)</f>
        <v>13.9426974099497</v>
      </c>
      <c r="M17" s="47" t="n">
        <f aca="false">SUM(M6:M16)</f>
        <v>14.6299090920351</v>
      </c>
      <c r="N17" s="47" t="n">
        <f aca="false">SUM(N6:N16)</f>
        <v>16.5851559776922</v>
      </c>
      <c r="O17" s="47" t="n">
        <f aca="false">SUM(O6:O16)</f>
        <v>14.9257587462247</v>
      </c>
      <c r="P17" s="47" t="n">
        <f aca="false">SUM(P6:P16)</f>
        <v>11.4937285839525</v>
      </c>
      <c r="Q17" s="47" t="n">
        <f aca="false">SUM(Q6:Q16)</f>
        <v>11.486961160864</v>
      </c>
      <c r="R17" s="47" t="n">
        <f aca="false">SUM(R6:R16)</f>
        <v>10.9194545407682</v>
      </c>
      <c r="S17" s="47" t="n">
        <f aca="false">SUM(S6:S16)</f>
        <v>9.33258826604837</v>
      </c>
      <c r="T17" s="47" t="n">
        <f aca="false">SUM(T6:T16)</f>
        <v>3.51754432624113</v>
      </c>
      <c r="U17" s="47" t="n">
        <f aca="false">SUM(U6:U16)</f>
        <v>3.20823863636364</v>
      </c>
      <c r="V17" s="47" t="n">
        <f aca="false">SUM(V6:V16)</f>
        <v>0.752976190476191</v>
      </c>
      <c r="W17" s="47" t="n">
        <f aca="false">SUM(W6:W16)</f>
        <v>0</v>
      </c>
      <c r="X17" s="47" t="n">
        <f aca="false">SUM(X6:X16)</f>
        <v>0</v>
      </c>
      <c r="Y17" s="47" t="n">
        <f aca="false">SUM(Y6:Y16)</f>
        <v>0</v>
      </c>
    </row>
    <row r="18" customFormat="false" ht="15" hidden="false" customHeight="false" outlineLevel="0" collapsed="false">
      <c r="A18" s="13" t="s">
        <v>1016</v>
      </c>
      <c r="B18" s="48" t="n">
        <f aca="false">MAX(B17:Y17)</f>
        <v>39.7637326071529</v>
      </c>
    </row>
    <row r="19" customFormat="false" ht="15" hidden="false" customHeight="false" outlineLevel="0" collapsed="false">
      <c r="A19" s="44" t="s">
        <v>1017</v>
      </c>
      <c r="B19" s="49" t="n">
        <f aca="false">SUMPRODUCT(B17:Y17,B5:Y5)</f>
        <v>8107.5</v>
      </c>
      <c r="C19" s="49" t="n">
        <f aca="false">SUMPRODUCT(('Project Plan'!$C$5:$C$480=3)*'Project Plan'!$Z$5:$Z$480)</f>
        <v>8107.5</v>
      </c>
      <c r="D19" s="13" t="str">
        <f aca="false">IF(ABS(B19-C19)&lt;1,"OK","Check holidays / dates beyond Gantt")</f>
        <v>OK</v>
      </c>
    </row>
  </sheetData>
  <conditionalFormatting sqref="B6:Y16">
    <cfRule type="cellIs" priority="2" operator="greaterThan" aboveAverage="0" equalAverage="0" bottom="0" percent="0" rank="0" text="" dxfId="1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0"/>
    <col collapsed="false" customWidth="true" hidden="false" outlineLevel="0" max="3" min="3" style="0" width="12"/>
    <col collapsed="false" customWidth="true" hidden="false" outlineLevel="0" max="4" min="4" style="0" width="14"/>
  </cols>
  <sheetData>
    <row r="1" customFormat="false" ht="16.15" hidden="false" customHeight="false" outlineLevel="0" collapsed="false">
      <c r="A1" s="4" t="s">
        <v>1018</v>
      </c>
    </row>
    <row r="3" customFormat="false" ht="15" hidden="false" customHeight="false" outlineLevel="0" collapsed="false">
      <c r="A3" s="5" t="s">
        <v>66</v>
      </c>
      <c r="B3" s="5" t="s">
        <v>149</v>
      </c>
      <c r="C3" s="5" t="s">
        <v>71</v>
      </c>
      <c r="D3" s="5" t="s">
        <v>1019</v>
      </c>
    </row>
    <row r="4" customFormat="false" ht="15" hidden="false" customHeight="false" outlineLevel="0" collapsed="false">
      <c r="A4" s="50" t="n">
        <f aca="false">'Project Plan'!A27</f>
        <v>23</v>
      </c>
      <c r="B4" s="50" t="str">
        <f aca="false">'Project Plan'!E27</f>
        <v>M0: Inception complete, Phase 1 build starts</v>
      </c>
      <c r="C4" s="50" t="str">
        <f aca="false">'Project Plan'!F27</f>
        <v>Phase 0</v>
      </c>
      <c r="D4" s="51" t="n">
        <f aca="false">'Project Plan'!K27</f>
        <v>46363</v>
      </c>
    </row>
    <row r="5" customFormat="false" ht="15" hidden="false" customHeight="false" outlineLevel="0" collapsed="false">
      <c r="A5" s="50" t="n">
        <f aca="false">'Project Plan'!A197</f>
        <v>193</v>
      </c>
      <c r="B5" s="50" t="str">
        <f aca="false">'Project Plan'!E197</f>
        <v>M1: Phase 1 go-live</v>
      </c>
      <c r="C5" s="50" t="str">
        <f aca="false">'Project Plan'!F197</f>
        <v>Phase 1</v>
      </c>
      <c r="D5" s="51" t="n">
        <f aca="false">'Project Plan'!K197</f>
        <v>46499</v>
      </c>
    </row>
    <row r="6" customFormat="false" ht="15" hidden="false" customHeight="false" outlineLevel="0" collapsed="false">
      <c r="A6" s="50" t="n">
        <f aca="false">'Project Plan'!A199</f>
        <v>195</v>
      </c>
      <c r="B6" s="50" t="str">
        <f aca="false">'Project Plan'!E199</f>
        <v>Phase 1 acceptance and sign-off</v>
      </c>
      <c r="C6" s="50" t="str">
        <f aca="false">'Project Plan'!F199</f>
        <v>Phase 1</v>
      </c>
      <c r="D6" s="51" t="n">
        <f aca="false">'Project Plan'!K199</f>
        <v>46521</v>
      </c>
    </row>
    <row r="7" customFormat="false" ht="15" hidden="false" customHeight="false" outlineLevel="0" collapsed="false">
      <c r="A7" s="50" t="n">
        <f aca="false">'Project Plan'!A301</f>
        <v>297</v>
      </c>
      <c r="B7" s="50" t="str">
        <f aca="false">'Project Plan'!E301</f>
        <v>M2: Phase 2 go-live</v>
      </c>
      <c r="C7" s="50" t="str">
        <f aca="false">'Project Plan'!F301</f>
        <v>Phase 2</v>
      </c>
      <c r="D7" s="51" t="n">
        <f aca="false">'Project Plan'!K301</f>
        <v>46619</v>
      </c>
    </row>
    <row r="8" customFormat="false" ht="15" hidden="false" customHeight="false" outlineLevel="0" collapsed="false">
      <c r="A8" s="50" t="n">
        <f aca="false">'Project Plan'!A303</f>
        <v>299</v>
      </c>
      <c r="B8" s="50" t="str">
        <f aca="false">'Project Plan'!E303</f>
        <v>Phase 2 acceptance and sign-off</v>
      </c>
      <c r="C8" s="50" t="str">
        <f aca="false">'Project Plan'!F303</f>
        <v>Phase 2</v>
      </c>
      <c r="D8" s="51" t="n">
        <f aca="false">'Project Plan'!K303</f>
        <v>46647</v>
      </c>
    </row>
    <row r="9" customFormat="false" ht="15" hidden="false" customHeight="false" outlineLevel="0" collapsed="false">
      <c r="A9" s="50" t="n">
        <f aca="false">'Project Plan'!A395</f>
        <v>391</v>
      </c>
      <c r="B9" s="50" t="str">
        <f aca="false">'Project Plan'!E395</f>
        <v>M3: Phase 3 go-live</v>
      </c>
      <c r="C9" s="50" t="str">
        <f aca="false">'Project Plan'!F395</f>
        <v>Phase 3</v>
      </c>
      <c r="D9" s="51" t="n">
        <f aca="false">'Project Plan'!K395</f>
        <v>46743</v>
      </c>
    </row>
    <row r="10" customFormat="false" ht="15" hidden="false" customHeight="false" outlineLevel="0" collapsed="false">
      <c r="A10" s="50" t="n">
        <f aca="false">'Project Plan'!A397</f>
        <v>393</v>
      </c>
      <c r="B10" s="50" t="str">
        <f aca="false">'Project Plan'!E397</f>
        <v>Phase 3 acceptance and sign-off</v>
      </c>
      <c r="C10" s="50" t="str">
        <f aca="false">'Project Plan'!F397</f>
        <v>Phase 3</v>
      </c>
      <c r="D10" s="51" t="n">
        <f aca="false">'Project Plan'!K397</f>
        <v>46771</v>
      </c>
    </row>
    <row r="11" customFormat="false" ht="15" hidden="false" customHeight="false" outlineLevel="0" collapsed="false">
      <c r="A11" s="50" t="n">
        <f aca="false">'Project Plan'!A475</f>
        <v>471</v>
      </c>
      <c r="B11" s="50" t="str">
        <f aca="false">'Project Plan'!E475</f>
        <v>M4: Phase 4 go-live</v>
      </c>
      <c r="C11" s="50" t="str">
        <f aca="false">'Project Plan'!F475</f>
        <v>Phase 4</v>
      </c>
      <c r="D11" s="51" t="n">
        <f aca="false">'Project Plan'!K475</f>
        <v>46867</v>
      </c>
    </row>
    <row r="12" customFormat="false" ht="15" hidden="false" customHeight="false" outlineLevel="0" collapsed="false">
      <c r="A12" s="50" t="n">
        <f aca="false">'Project Plan'!A477</f>
        <v>473</v>
      </c>
      <c r="B12" s="50" t="str">
        <f aca="false">'Project Plan'!E477</f>
        <v>Phase 4 acceptance and sign-off</v>
      </c>
      <c r="C12" s="50" t="str">
        <f aca="false">'Project Plan'!F477</f>
        <v>Phase 4</v>
      </c>
      <c r="D12" s="51" t="n">
        <f aca="false">'Project Plan'!K477</f>
        <v>46895</v>
      </c>
    </row>
    <row r="13" customFormat="false" ht="15" hidden="false" customHeight="false" outlineLevel="0" collapsed="false">
      <c r="A13" s="50" t="n">
        <f aca="false">'Project Plan'!A480</f>
        <v>476</v>
      </c>
      <c r="B13" s="50" t="str">
        <f aca="false">'Project Plan'!E480</f>
        <v>Programme completion and handover to operations</v>
      </c>
      <c r="C13" s="50" t="str">
        <f aca="false">'Project Plan'!F480</f>
        <v>Close</v>
      </c>
      <c r="D13" s="51" t="n">
        <f aca="false">'Project Plan'!K480</f>
        <v>46944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40"/>
    <col collapsed="false" customWidth="true" hidden="false" outlineLevel="0" max="4" min="3" style="0" width="12"/>
    <col collapsed="false" customWidth="true" hidden="false" outlineLevel="0" max="7" min="5" style="0" width="10"/>
    <col collapsed="false" customWidth="true" hidden="false" outlineLevel="0" max="8" min="8" style="0" width="12"/>
    <col collapsed="false" customWidth="true" hidden="false" outlineLevel="0" max="9" min="9" style="0" width="70"/>
  </cols>
  <sheetData>
    <row r="1" customFormat="false" ht="15" hidden="false" customHeight="false" outlineLevel="0" collapsed="false">
      <c r="A1" s="5" t="s">
        <v>1020</v>
      </c>
      <c r="B1" s="5" t="s">
        <v>1021</v>
      </c>
      <c r="C1" s="5" t="s">
        <v>1022</v>
      </c>
      <c r="D1" s="5" t="s">
        <v>1023</v>
      </c>
      <c r="E1" s="5" t="s">
        <v>1024</v>
      </c>
      <c r="F1" s="5" t="s">
        <v>1025</v>
      </c>
      <c r="G1" s="5" t="s">
        <v>1026</v>
      </c>
      <c r="H1" s="5" t="s">
        <v>1027</v>
      </c>
      <c r="I1" s="5" t="s">
        <v>1028</v>
      </c>
    </row>
    <row r="2" customFormat="false" ht="15" hidden="false" customHeight="false" outlineLevel="0" collapsed="false">
      <c r="A2" s="50" t="str">
        <f aca="false">'Project Plan'!B7&amp;" "&amp;'Project Plan'!E7</f>
        <v>1.1.1 PMO, planning, status reporting and steering committee: Phase 1</v>
      </c>
      <c r="B2" s="6" t="s">
        <v>1029</v>
      </c>
      <c r="C2" s="52" t="n">
        <f aca="false">'Project Plan'!K7</f>
        <v>46328</v>
      </c>
      <c r="D2" s="52" t="n">
        <f aca="false">'Project Plan'!L7</f>
        <v>46521</v>
      </c>
      <c r="E2" s="50" t="str">
        <f aca="false">'Project Plan'!H7</f>
        <v>PM</v>
      </c>
      <c r="F2" s="53" t="n">
        <f aca="false">'Project Plan'!Z7</f>
        <v>96.6</v>
      </c>
      <c r="G2" s="6" t="s">
        <v>1030</v>
      </c>
      <c r="H2" s="50" t="str">
        <f aca="false">IF('Project Plan'!AB7="Done","Completed",IF('Project Plan'!AB7="Not started","Not started","In progress"))</f>
        <v>Not started</v>
      </c>
      <c r="I2" s="50" t="str">
        <f aca="false">"Task: Project governance and PMO. Deliverable: "&amp;'Project Plan'!AA7</f>
        <v>Task: Project governance and PMO. Deliverable: Weekly status, monthly steering minutes, RAID log</v>
      </c>
    </row>
    <row r="3" customFormat="false" ht="15" hidden="false" customHeight="false" outlineLevel="0" collapsed="false">
      <c r="A3" s="50" t="str">
        <f aca="false">'Project Plan'!B8&amp;" "&amp;'Project Plan'!E8</f>
        <v>1.1.2 PMO, planning, status reporting and steering committee: Phase 2</v>
      </c>
      <c r="B3" s="6" t="s">
        <v>1029</v>
      </c>
      <c r="C3" s="52" t="n">
        <f aca="false">'Project Plan'!K8</f>
        <v>46450</v>
      </c>
      <c r="D3" s="52" t="n">
        <f aca="false">'Project Plan'!L8</f>
        <v>46646</v>
      </c>
      <c r="E3" s="50" t="str">
        <f aca="false">'Project Plan'!H8</f>
        <v>PM</v>
      </c>
      <c r="F3" s="53" t="n">
        <f aca="false">'Project Plan'!Z8</f>
        <v>97.75</v>
      </c>
      <c r="G3" s="6" t="s">
        <v>1030</v>
      </c>
      <c r="H3" s="50" t="str">
        <f aca="false">IF('Project Plan'!AB8="Done","Completed",IF('Project Plan'!AB8="Not started","Not started","In progress"))</f>
        <v>Not started</v>
      </c>
      <c r="I3" s="50" t="str">
        <f aca="false">"Task: Project governance and PMO. Deliverable: "&amp;'Project Plan'!AA8</f>
        <v>Task: Project governance and PMO. Deliverable: Weekly status, monthly steering minutes, RAID log</v>
      </c>
    </row>
    <row r="4" customFormat="false" ht="15" hidden="false" customHeight="false" outlineLevel="0" collapsed="false">
      <c r="A4" s="50" t="str">
        <f aca="false">'Project Plan'!B9&amp;" "&amp;'Project Plan'!E9</f>
        <v>1.1.3 PMO, planning, status reporting and steering committee: Phase 3</v>
      </c>
      <c r="B4" s="6" t="s">
        <v>1029</v>
      </c>
      <c r="C4" s="52" t="n">
        <f aca="false">'Project Plan'!K9</f>
        <v>46574</v>
      </c>
      <c r="D4" s="52" t="n">
        <f aca="false">'Project Plan'!L9</f>
        <v>46770</v>
      </c>
      <c r="E4" s="50" t="str">
        <f aca="false">'Project Plan'!H9</f>
        <v>PM</v>
      </c>
      <c r="F4" s="53" t="n">
        <f aca="false">'Project Plan'!Z9</f>
        <v>97.75</v>
      </c>
      <c r="G4" s="6" t="s">
        <v>1030</v>
      </c>
      <c r="H4" s="50" t="str">
        <f aca="false">IF('Project Plan'!AB9="Done","Completed",IF('Project Plan'!AB9="Not started","Not started","In progress"))</f>
        <v>Not started</v>
      </c>
      <c r="I4" s="50" t="str">
        <f aca="false">"Task: Project governance and PMO. Deliverable: "&amp;'Project Plan'!AA9</f>
        <v>Task: Project governance and PMO. Deliverable: Weekly status, monthly steering minutes, RAID log</v>
      </c>
    </row>
    <row r="5" customFormat="false" ht="15" hidden="false" customHeight="false" outlineLevel="0" collapsed="false">
      <c r="A5" s="50" t="str">
        <f aca="false">'Project Plan'!B10&amp;" "&amp;'Project Plan'!E10</f>
        <v>1.1.4 PMO, planning, status reporting and steering committee: Phase 4</v>
      </c>
      <c r="B5" s="6" t="s">
        <v>1029</v>
      </c>
      <c r="C5" s="52" t="n">
        <f aca="false">'Project Plan'!K10</f>
        <v>46696</v>
      </c>
      <c r="D5" s="52" t="n">
        <f aca="false">'Project Plan'!L10</f>
        <v>46892</v>
      </c>
      <c r="E5" s="50" t="str">
        <f aca="false">'Project Plan'!H10</f>
        <v>PM</v>
      </c>
      <c r="F5" s="53" t="n">
        <f aca="false">'Project Plan'!Z10</f>
        <v>97.75</v>
      </c>
      <c r="G5" s="6" t="s">
        <v>1030</v>
      </c>
      <c r="H5" s="50" t="str">
        <f aca="false">IF('Project Plan'!AB10="Done","Completed",IF('Project Plan'!AB10="Not started","Not started","In progress"))</f>
        <v>Not started</v>
      </c>
      <c r="I5" s="50" t="str">
        <f aca="false">"Task: Project governance and PMO. Deliverable: "&amp;'Project Plan'!AA10</f>
        <v>Task: Project governance and PMO. Deliverable: Weekly status, monthly steering minutes, RAID log</v>
      </c>
    </row>
    <row r="6" customFormat="false" ht="15" hidden="false" customHeight="false" outlineLevel="0" collapsed="false">
      <c r="A6" s="50" t="str">
        <f aca="false">'Project Plan'!B11&amp;" "&amp;'Project Plan'!E11</f>
        <v>1.1.5 Final stabilisation, knowledge transfer and handover</v>
      </c>
      <c r="B6" s="6" t="s">
        <v>1029</v>
      </c>
      <c r="C6" s="52" t="n">
        <f aca="false">'Project Plan'!K11</f>
        <v>46888</v>
      </c>
      <c r="D6" s="52" t="n">
        <f aca="false">'Project Plan'!L11</f>
        <v>46941</v>
      </c>
      <c r="E6" s="50" t="str">
        <f aca="false">'Project Plan'!H11</f>
        <v>PM</v>
      </c>
      <c r="F6" s="53" t="n">
        <f aca="false">'Project Plan'!Z11</f>
        <v>126.5</v>
      </c>
      <c r="G6" s="6" t="s">
        <v>1030</v>
      </c>
      <c r="H6" s="50" t="str">
        <f aca="false">IF('Project Plan'!AB11="Done","Completed",IF('Project Plan'!AB11="Not started","Not started","In progress"))</f>
        <v>Not started</v>
      </c>
      <c r="I6" s="50" t="str">
        <f aca="false">"Task: Project governance and PMO. Deliverable: "&amp;'Project Plan'!AA11</f>
        <v>Task: Project governance and PMO. Deliverable: Handover pack, runbooks, KT sign-off</v>
      </c>
    </row>
    <row r="7" customFormat="false" ht="15" hidden="false" customHeight="false" outlineLevel="0" collapsed="false">
      <c r="A7" s="50" t="str">
        <f aca="false">'Project Plan'!B13&amp;" "&amp;'Project Plan'!E13</f>
        <v>1.2.1 Change request process and impact assessments (whole programme)</v>
      </c>
      <c r="B7" s="6" t="s">
        <v>1031</v>
      </c>
      <c r="C7" s="52" t="n">
        <f aca="false">'Project Plan'!K13</f>
        <v>46356</v>
      </c>
      <c r="D7" s="52" t="n">
        <f aca="false">'Project Plan'!L13</f>
        <v>46913</v>
      </c>
      <c r="E7" s="50" t="str">
        <f aca="false">'Project Plan'!H13</f>
        <v>PM</v>
      </c>
      <c r="F7" s="53" t="n">
        <f aca="false">'Project Plan'!Z13</f>
        <v>57.5</v>
      </c>
      <c r="G7" s="6" t="s">
        <v>1030</v>
      </c>
      <c r="H7" s="50" t="str">
        <f aca="false">IF('Project Plan'!AB13="Done","Completed",IF('Project Plan'!AB13="Not started","Not started","In progress"))</f>
        <v>Not started</v>
      </c>
      <c r="I7" s="50" t="str">
        <f aca="false">"Task: Change control and quality. Deliverable: "&amp;'Project Plan'!AA13</f>
        <v>Task: Change control and quality. Deliverable: CR register</v>
      </c>
    </row>
    <row r="8" customFormat="false" ht="15" hidden="false" customHeight="false" outlineLevel="0" collapsed="false">
      <c r="A8" s="50" t="str">
        <f aca="false">'Project Plan'!B14&amp;" "&amp;'Project Plan'!E14</f>
        <v>1.2.2 Quality audits and phase-gate reviews (4 gates)</v>
      </c>
      <c r="B8" s="6" t="s">
        <v>1031</v>
      </c>
      <c r="C8" s="52" t="n">
        <f aca="false">'Project Plan'!K14</f>
        <v>46468</v>
      </c>
      <c r="D8" s="52" t="n">
        <f aca="false">'Project Plan'!L14</f>
        <v>46885</v>
      </c>
      <c r="E8" s="50" t="str">
        <f aca="false">'Project Plan'!H14</f>
        <v>PM</v>
      </c>
      <c r="F8" s="53" t="n">
        <f aca="false">'Project Plan'!Z14</f>
        <v>32.2</v>
      </c>
      <c r="G8" s="6" t="s">
        <v>1030</v>
      </c>
      <c r="H8" s="50" t="str">
        <f aca="false">IF('Project Plan'!AB14="Done","Completed",IF('Project Plan'!AB14="Not started","Not started","In progress"))</f>
        <v>Not started</v>
      </c>
      <c r="I8" s="50" t="str">
        <f aca="false">"Task: Change control and quality. Deliverable: "&amp;'Project Plan'!AA14</f>
        <v>Task: Change control and quality. Deliverable: Gate review reports</v>
      </c>
    </row>
    <row r="9" customFormat="false" ht="15" hidden="false" customHeight="false" outlineLevel="0" collapsed="false">
      <c r="A9" s="50" t="str">
        <f aca="false">'Project Plan'!B17&amp;" "&amp;'Project Plan'!E17</f>
        <v>2.1.1 Kick-off with GWMC and team onboarding</v>
      </c>
      <c r="B9" s="6" t="s">
        <v>1032</v>
      </c>
      <c r="C9" s="52" t="n">
        <f aca="false">'Project Plan'!K17</f>
        <v>46328</v>
      </c>
      <c r="D9" s="52" t="n">
        <f aca="false">'Project Plan'!L17</f>
        <v>46332</v>
      </c>
      <c r="E9" s="50" t="str">
        <f aca="false">'Project Plan'!H17</f>
        <v>PM</v>
      </c>
      <c r="F9" s="53" t="n">
        <f aca="false">'Project Plan'!Z17</f>
        <v>14.95</v>
      </c>
      <c r="G9" s="6" t="s">
        <v>1030</v>
      </c>
      <c r="H9" s="50" t="str">
        <f aca="false">IF('Project Plan'!AB17="Done","Completed",IF('Project Plan'!AB17="Not started","Not started","In progress"))</f>
        <v>Not started</v>
      </c>
      <c r="I9" s="50" t="str">
        <f aca="false">"Task: Mobilisation. Deliverable: "&amp;'Project Plan'!AA17</f>
        <v>Task: Mobilisation. Deliverable: Kick-off deck, project charter</v>
      </c>
    </row>
    <row r="10" customFormat="false" ht="15" hidden="false" customHeight="false" outlineLevel="0" collapsed="false">
      <c r="A10" s="50" t="str">
        <f aca="false">'Project Plan'!B18&amp;" "&amp;'Project Plan'!E18</f>
        <v>2.1.2 Tooling: repositories, CI/CD, tracker, Teams workspace</v>
      </c>
      <c r="B10" s="6" t="s">
        <v>1032</v>
      </c>
      <c r="C10" s="52" t="n">
        <f aca="false">'Project Plan'!K18</f>
        <v>46328</v>
      </c>
      <c r="D10" s="52" t="n">
        <f aca="false">'Project Plan'!L18</f>
        <v>46339</v>
      </c>
      <c r="E10" s="50" t="str">
        <f aca="false">'Project Plan'!H18</f>
        <v>DEV</v>
      </c>
      <c r="F10" s="53" t="n">
        <f aca="false">'Project Plan'!Z18</f>
        <v>17.25</v>
      </c>
      <c r="G10" s="6" t="s">
        <v>1030</v>
      </c>
      <c r="H10" s="50" t="str">
        <f aca="false">IF('Project Plan'!AB18="Done","Completed",IF('Project Plan'!AB18="Not started","Not started","In progress"))</f>
        <v>Not started</v>
      </c>
      <c r="I10" s="50" t="str">
        <f aca="false">"Task: Mobilisation. Deliverable: "&amp;'Project Plan'!AA18</f>
        <v>Task: Mobilisation. Deliverable: Working toolchain</v>
      </c>
    </row>
    <row r="11" customFormat="false" ht="15" hidden="false" customHeight="false" outlineLevel="0" collapsed="false">
      <c r="A11" s="50" t="str">
        <f aca="false">'Project Plan'!B19&amp;" "&amp;'Project Plan'!E19</f>
        <v>2.1.3 Dev and test environments provisioned</v>
      </c>
      <c r="B11" s="6" t="s">
        <v>1032</v>
      </c>
      <c r="C11" s="52" t="n">
        <f aca="false">'Project Plan'!K19</f>
        <v>46331</v>
      </c>
      <c r="D11" s="52" t="n">
        <f aca="false">'Project Plan'!L19</f>
        <v>46351</v>
      </c>
      <c r="E11" s="50" t="str">
        <f aca="false">'Project Plan'!H19</f>
        <v>DEV</v>
      </c>
      <c r="F11" s="53" t="n">
        <f aca="false">'Project Plan'!Z19</f>
        <v>20.7</v>
      </c>
      <c r="G11" s="6" t="s">
        <v>1030</v>
      </c>
      <c r="H11" s="50" t="str">
        <f aca="false">IF('Project Plan'!AB19="Done","Completed",IF('Project Plan'!AB19="Not started","Not started","In progress"))</f>
        <v>Not started</v>
      </c>
      <c r="I11" s="50" t="str">
        <f aca="false">"Task: Mobilisation. Deliverable: "&amp;'Project Plan'!AA19</f>
        <v>Task: Mobilisation. Deliverable: Dev and test clusters</v>
      </c>
    </row>
    <row r="12" customFormat="false" ht="15" hidden="false" customHeight="false" outlineLevel="0" collapsed="false">
      <c r="A12" s="50" t="str">
        <f aca="false">'Project Plan'!B20&amp;" "&amp;'Project Plan'!E20</f>
        <v>2.1.4 State Data Centre slot request and network approvals</v>
      </c>
      <c r="B12" s="6" t="s">
        <v>1032</v>
      </c>
      <c r="C12" s="52" t="n">
        <f aca="false">'Project Plan'!K20</f>
        <v>46328</v>
      </c>
      <c r="D12" s="52" t="n">
        <f aca="false">'Project Plan'!L20</f>
        <v>46360</v>
      </c>
      <c r="E12" s="50" t="str">
        <f aca="false">'Project Plan'!H20</f>
        <v>PM</v>
      </c>
      <c r="F12" s="53" t="n">
        <f aca="false">'Project Plan'!Z20</f>
        <v>13.8</v>
      </c>
      <c r="G12" s="6" t="s">
        <v>1030</v>
      </c>
      <c r="H12" s="50" t="str">
        <f aca="false">IF('Project Plan'!AB20="Done","Completed",IF('Project Plan'!AB20="Not started","Not started","In progress"))</f>
        <v>Not started</v>
      </c>
      <c r="I12" s="50" t="str">
        <f aca="false">"Task: Mobilisation. Deliverable: "&amp;'Project Plan'!AA20</f>
        <v>Task: Mobilisation. Deliverable: SDC allocation letter</v>
      </c>
    </row>
    <row r="13" customFormat="false" ht="15" hidden="false" customHeight="false" outlineLevel="0" collapsed="false">
      <c r="A13" s="50" t="str">
        <f aca="false">'Project Plan'!B22&amp;" "&amp;'Project Plan'!E22</f>
        <v>2.2.1 SRS walkthroughs with GWMC departments (Phase 1 modules)</v>
      </c>
      <c r="B13" s="6" t="s">
        <v>1033</v>
      </c>
      <c r="C13" s="52" t="n">
        <f aca="false">'Project Plan'!K22</f>
        <v>46335</v>
      </c>
      <c r="D13" s="52" t="n">
        <f aca="false">'Project Plan'!L22</f>
        <v>46353</v>
      </c>
      <c r="E13" s="50" t="str">
        <f aca="false">'Project Plan'!H22</f>
        <v>BA</v>
      </c>
      <c r="F13" s="53" t="n">
        <f aca="false">'Project Plan'!Z22</f>
        <v>39.1</v>
      </c>
      <c r="G13" s="6" t="s">
        <v>1030</v>
      </c>
      <c r="H13" s="50" t="str">
        <f aca="false">IF('Project Plan'!AB22="Done","Completed",IF('Project Plan'!AB22="Not started","Not started","In progress"))</f>
        <v>Not started</v>
      </c>
      <c r="I13" s="50" t="str">
        <f aca="false">"Task: Requirements and design baseline. Deliverable: "&amp;'Project Plan'!AA22</f>
        <v>Task: Requirements and design baseline. Deliverable: Workshop minutes, clarifications</v>
      </c>
    </row>
    <row r="14" customFormat="false" ht="15" hidden="false" customHeight="false" outlineLevel="0" collapsed="false">
      <c r="A14" s="50" t="str">
        <f aca="false">'Project Plan'!B23&amp;" "&amp;'Project Plan'!E23</f>
        <v>2.2.2 GWMC Deployment SRS open items closed for Phase 1</v>
      </c>
      <c r="B14" s="6" t="s">
        <v>1033</v>
      </c>
      <c r="C14" s="52" t="n">
        <f aca="false">'Project Plan'!K23</f>
        <v>46342</v>
      </c>
      <c r="D14" s="52" t="n">
        <f aca="false">'Project Plan'!L23</f>
        <v>46360</v>
      </c>
      <c r="E14" s="50" t="str">
        <f aca="false">'Project Plan'!H23</f>
        <v>BA</v>
      </c>
      <c r="F14" s="53" t="n">
        <f aca="false">'Project Plan'!Z23</f>
        <v>17.25</v>
      </c>
      <c r="G14" s="6" t="s">
        <v>1030</v>
      </c>
      <c r="H14" s="50" t="str">
        <f aca="false">IF('Project Plan'!AB23="Done","Completed",IF('Project Plan'!AB23="Not started","Not started","In progress"))</f>
        <v>Not started</v>
      </c>
      <c r="I14" s="50" t="str">
        <f aca="false">"Task: Requirements and design baseline. Deliverable: "&amp;'Project Plan'!AA23</f>
        <v>Task: Requirements and design baseline. Deliverable: Signed open-items list</v>
      </c>
    </row>
    <row r="15" customFormat="false" ht="15" hidden="false" customHeight="false" outlineLevel="0" collapsed="false">
      <c r="A15" s="50" t="str">
        <f aca="false">'Project Plan'!B24&amp;" "&amp;'Project Plan'!E24</f>
        <v>2.2.3 Architecture decisions (ADR-001 to 016) reviewed and signed off</v>
      </c>
      <c r="B15" s="6" t="s">
        <v>1033</v>
      </c>
      <c r="C15" s="52" t="n">
        <f aca="false">'Project Plan'!K24</f>
        <v>46335</v>
      </c>
      <c r="D15" s="52" t="n">
        <f aca="false">'Project Plan'!L24</f>
        <v>46353</v>
      </c>
      <c r="E15" s="50" t="str">
        <f aca="false">'Project Plan'!H24</f>
        <v>ARC</v>
      </c>
      <c r="F15" s="53" t="n">
        <f aca="false">'Project Plan'!Z24</f>
        <v>20.7</v>
      </c>
      <c r="G15" s="6" t="s">
        <v>1030</v>
      </c>
      <c r="H15" s="50" t="str">
        <f aca="false">IF('Project Plan'!AB24="Done","Completed",IF('Project Plan'!AB24="Not started","Not started","In progress"))</f>
        <v>Not started</v>
      </c>
      <c r="I15" s="50" t="str">
        <f aca="false">"Task: Requirements and design baseline. Deliverable: "&amp;'Project Plan'!AA24</f>
        <v>Task: Requirements and design baseline. Deliverable: Signed ADRs</v>
      </c>
    </row>
    <row r="16" customFormat="false" ht="15" hidden="false" customHeight="false" outlineLevel="0" collapsed="false">
      <c r="A16" s="50" t="str">
        <f aca="false">'Project Plan'!B25&amp;" "&amp;'Project Plan'!E25</f>
        <v>2.2.4 UX research, design system and accessibility baseline</v>
      </c>
      <c r="B16" s="6" t="s">
        <v>1033</v>
      </c>
      <c r="C16" s="52" t="n">
        <f aca="false">'Project Plan'!K25</f>
        <v>46335</v>
      </c>
      <c r="D16" s="52" t="n">
        <f aca="false">'Project Plan'!L25</f>
        <v>46360</v>
      </c>
      <c r="E16" s="50" t="str">
        <f aca="false">'Project Plan'!H25</f>
        <v>FE</v>
      </c>
      <c r="F16" s="53" t="n">
        <f aca="false">'Project Plan'!Z25</f>
        <v>21.85</v>
      </c>
      <c r="G16" s="6" t="s">
        <v>1030</v>
      </c>
      <c r="H16" s="50" t="str">
        <f aca="false">IF('Project Plan'!AB25="Done","Completed",IF('Project Plan'!AB25="Not started","Not started","In progress"))</f>
        <v>Not started</v>
      </c>
      <c r="I16" s="50" t="str">
        <f aca="false">"Task: Requirements and design baseline. Deliverable: "&amp;'Project Plan'!AA25</f>
        <v>Task: Requirements and design baseline. Deliverable: Design system, UI kit, GIGW checklist</v>
      </c>
    </row>
    <row r="17" customFormat="false" ht="15" hidden="false" customHeight="false" outlineLevel="0" collapsed="false">
      <c r="A17" s="50" t="str">
        <f aca="false">'Project Plan'!B26&amp;" "&amp;'Project Plan'!E26</f>
        <v>2.2.5 Data migration strategy and legacy data assessment</v>
      </c>
      <c r="B17" s="6" t="s">
        <v>1033</v>
      </c>
      <c r="C17" s="52" t="n">
        <f aca="false">'Project Plan'!K26</f>
        <v>46342</v>
      </c>
      <c r="D17" s="52" t="n">
        <f aca="false">'Project Plan'!L26</f>
        <v>46360</v>
      </c>
      <c r="E17" s="50" t="str">
        <f aca="false">'Project Plan'!H26</f>
        <v>DATA</v>
      </c>
      <c r="F17" s="53" t="n">
        <f aca="false">'Project Plan'!Z26</f>
        <v>18.4</v>
      </c>
      <c r="G17" s="6" t="s">
        <v>1030</v>
      </c>
      <c r="H17" s="50" t="str">
        <f aca="false">IF('Project Plan'!AB26="Done","Completed",IF('Project Plan'!AB26="Not started","Not started","In progress"))</f>
        <v>Not started</v>
      </c>
      <c r="I17" s="50" t="str">
        <f aca="false">"Task: Requirements and design baseline. Deliverable: "&amp;'Project Plan'!AA26</f>
        <v>Task: Requirements and design baseline. Deliverable: Migration strategy</v>
      </c>
    </row>
    <row r="18" customFormat="false" ht="15" hidden="false" customHeight="false" outlineLevel="0" collapsed="false">
      <c r="A18" s="50" t="str">
        <f aca="false">'Project Plan'!B27&amp;" "&amp;'Project Plan'!E27</f>
        <v>2.3 M0: Inception complete, Phase 1 build starts</v>
      </c>
      <c r="B18" s="6" t="s">
        <v>1034</v>
      </c>
      <c r="C18" s="52" t="n">
        <f aca="false">'Project Plan'!K27</f>
        <v>46363</v>
      </c>
      <c r="D18" s="52" t="n">
        <f aca="false">'Project Plan'!L27</f>
        <v>46363</v>
      </c>
      <c r="E18" s="50" t="n">
        <f aca="false">'Project Plan'!H27</f>
        <v>0</v>
      </c>
      <c r="F18" s="53" t="n">
        <f aca="false">'Project Plan'!Z27</f>
        <v>0</v>
      </c>
      <c r="G18" s="6" t="s">
        <v>1035</v>
      </c>
      <c r="H18" s="50" t="str">
        <f aca="false">IF('Project Plan'!AB27="Done","Completed",IF('Project Plan'!AB27="Not started","Not started","In progress"))</f>
        <v>Not started</v>
      </c>
      <c r="I18" s="50" t="str">
        <f aca="false">"Task: Phase 0: Inception and mobilisation. Deliverable: "&amp;'Project Plan'!AA27</f>
        <v>Task: Phase 0: Inception and mobilisation. Deliverable: </v>
      </c>
    </row>
    <row r="19" customFormat="false" ht="15" hidden="false" customHeight="false" outlineLevel="0" collapsed="false">
      <c r="A19" s="50" t="str">
        <f aca="false">'Project Plan'!B30&amp;" "&amp;'Project Plan'!E30</f>
        <v>3.1.1 Detailed design and contracts</v>
      </c>
      <c r="B19" s="6" t="s">
        <v>1036</v>
      </c>
      <c r="C19" s="52" t="n">
        <f aca="false">'Project Plan'!K30</f>
        <v>46342</v>
      </c>
      <c r="D19" s="52" t="n">
        <f aca="false">'Project Plan'!L30</f>
        <v>46353</v>
      </c>
      <c r="E19" s="50" t="str">
        <f aca="false">'Project Plan'!H30</f>
        <v>ARC</v>
      </c>
      <c r="F19" s="53" t="n">
        <f aca="false">'Project Plan'!Z30</f>
        <v>8.05</v>
      </c>
      <c r="G19" s="6" t="s">
        <v>1030</v>
      </c>
      <c r="H19" s="50" t="str">
        <f aca="false">IF('Project Plan'!AB30="Done","Completed",IF('Project Plan'!AB30="Not started","Not started","In progress"))</f>
        <v>Not started</v>
      </c>
      <c r="I19" s="50" t="str">
        <f aca="false">"Task: Identity, OTP, CAPTCHA and step-up (Keycloak). Deliverable: "&amp;'Project Plan'!AA30</f>
        <v>Task: Identity, OTP, CAPTCHA and step-up (Keycloak). Deliverable: Design note, OpenAPI and event schemas</v>
      </c>
    </row>
    <row r="20" customFormat="false" ht="15" hidden="false" customHeight="false" outlineLevel="0" collapsed="false">
      <c r="A20" s="50" t="str">
        <f aca="false">'Project Plan'!B31&amp;" "&amp;'Project Plan'!E31</f>
        <v>3.1.2 Build and unit tests</v>
      </c>
      <c r="B20" s="6" t="s">
        <v>1036</v>
      </c>
      <c r="C20" s="52" t="n">
        <f aca="false">'Project Plan'!K31</f>
        <v>46356</v>
      </c>
      <c r="D20" s="52" t="n">
        <f aca="false">'Project Plan'!L31</f>
        <v>46395</v>
      </c>
      <c r="E20" s="50" t="str">
        <f aca="false">'Project Plan'!H31</f>
        <v>BE</v>
      </c>
      <c r="F20" s="53" t="n">
        <f aca="false">'Project Plan'!Z31</f>
        <v>43.7</v>
      </c>
      <c r="G20" s="6" t="s">
        <v>1030</v>
      </c>
      <c r="H20" s="50" t="str">
        <f aca="false">IF('Project Plan'!AB31="Done","Completed",IF('Project Plan'!AB31="Not started","Not started","In progress"))</f>
        <v>Not started</v>
      </c>
      <c r="I20" s="50" t="str">
        <f aca="false">"Task: Identity, OTP, CAPTCHA and step-up (Keycloak). Deliverable: "&amp;'Project Plan'!AA31</f>
        <v>Task: Identity, OTP, CAPTCHA and step-up (Keycloak). Deliverable: Working service</v>
      </c>
    </row>
    <row r="21" customFormat="false" ht="15" hidden="false" customHeight="false" outlineLevel="0" collapsed="false">
      <c r="A21" s="50" t="str">
        <f aca="false">'Project Plan'!B32&amp;" "&amp;'Project Plan'!E32</f>
        <v>3.1.3 Component, security and contract tests</v>
      </c>
      <c r="B21" s="6" t="s">
        <v>1036</v>
      </c>
      <c r="C21" s="52" t="n">
        <f aca="false">'Project Plan'!K32</f>
        <v>46394</v>
      </c>
      <c r="D21" s="52" t="n">
        <f aca="false">'Project Plan'!L32</f>
        <v>46412</v>
      </c>
      <c r="E21" s="50" t="str">
        <f aca="false">'Project Plan'!H32</f>
        <v>QA</v>
      </c>
      <c r="F21" s="53" t="n">
        <f aca="false">'Project Plan'!Z32</f>
        <v>14.95</v>
      </c>
      <c r="G21" s="6" t="s">
        <v>1030</v>
      </c>
      <c r="H21" s="50" t="str">
        <f aca="false">IF('Project Plan'!AB32="Done","Completed",IF('Project Plan'!AB32="Not started","Not started","In progress"))</f>
        <v>Not started</v>
      </c>
      <c r="I21" s="50" t="str">
        <f aca="false">"Task: Identity, OTP, CAPTCHA and step-up (Keycloak). Deliverable: "&amp;'Project Plan'!AA32</f>
        <v>Task: Identity, OTP, CAPTCHA and step-up (Keycloak). Deliverable: Test report</v>
      </c>
    </row>
    <row r="22" customFormat="false" ht="15" hidden="false" customHeight="false" outlineLevel="0" collapsed="false">
      <c r="A22" s="50" t="str">
        <f aca="false">'Project Plan'!B34&amp;" "&amp;'Project Plan'!E34</f>
        <v>3.2.1 Detailed design and contracts</v>
      </c>
      <c r="B22" s="6" t="s">
        <v>1036</v>
      </c>
      <c r="C22" s="52" t="n">
        <f aca="false">'Project Plan'!K34</f>
        <v>46350</v>
      </c>
      <c r="D22" s="52" t="n">
        <f aca="false">'Project Plan'!L34</f>
        <v>46363</v>
      </c>
      <c r="E22" s="50" t="str">
        <f aca="false">'Project Plan'!H34</f>
        <v>ARC</v>
      </c>
      <c r="F22" s="53" t="n">
        <f aca="false">'Project Plan'!Z34</f>
        <v>5.75</v>
      </c>
      <c r="G22" s="6" t="s">
        <v>1030</v>
      </c>
      <c r="H22" s="50" t="str">
        <f aca="false">IF('Project Plan'!AB34="Done","Completed",IF('Project Plan'!AB34="Not started","Not started","In progress"))</f>
        <v>Not started</v>
      </c>
      <c r="I22" s="50" t="str">
        <f aca="false">"Task: Tenant, configuration console and Telangana state pack. Deliverable: "&amp;'Project Plan'!AA34</f>
        <v>Task: Tenant, configuration console and Telangana state pack. Deliverable: Design note, OpenAPI and event schemas</v>
      </c>
    </row>
    <row r="23" customFormat="false" ht="15" hidden="false" customHeight="false" outlineLevel="0" collapsed="false">
      <c r="A23" s="50" t="str">
        <f aca="false">'Project Plan'!B35&amp;" "&amp;'Project Plan'!E35</f>
        <v>3.2.2 Build and unit tests</v>
      </c>
      <c r="B23" s="6" t="s">
        <v>1036</v>
      </c>
      <c r="C23" s="52" t="n">
        <f aca="false">'Project Plan'!K35</f>
        <v>46364</v>
      </c>
      <c r="D23" s="52" t="n">
        <f aca="false">'Project Plan'!L35</f>
        <v>46405</v>
      </c>
      <c r="E23" s="50" t="str">
        <f aca="false">'Project Plan'!H35</f>
        <v>BE</v>
      </c>
      <c r="F23" s="53" t="n">
        <f aca="false">'Project Plan'!Z35</f>
        <v>49.45</v>
      </c>
      <c r="G23" s="6" t="s">
        <v>1030</v>
      </c>
      <c r="H23" s="50" t="str">
        <f aca="false">IF('Project Plan'!AB35="Done","Completed",IF('Project Plan'!AB35="Not started","Not started","In progress"))</f>
        <v>Not started</v>
      </c>
      <c r="I23" s="50" t="str">
        <f aca="false">"Task: Tenant, configuration console and Telangana state pack. Deliverable: "&amp;'Project Plan'!AA35</f>
        <v>Task: Tenant, configuration console and Telangana state pack. Deliverable: Working service</v>
      </c>
    </row>
    <row r="24" customFormat="false" ht="15" hidden="false" customHeight="false" outlineLevel="0" collapsed="false">
      <c r="A24" s="50" t="str">
        <f aca="false">'Project Plan'!B36&amp;" "&amp;'Project Plan'!E36</f>
        <v>3.2.3 Component, security and contract tests</v>
      </c>
      <c r="B24" s="6" t="s">
        <v>1036</v>
      </c>
      <c r="C24" s="52" t="n">
        <f aca="false">'Project Plan'!K36</f>
        <v>46401</v>
      </c>
      <c r="D24" s="52" t="n">
        <f aca="false">'Project Plan'!L36</f>
        <v>46419</v>
      </c>
      <c r="E24" s="50" t="str">
        <f aca="false">'Project Plan'!H36</f>
        <v>QA</v>
      </c>
      <c r="F24" s="53" t="n">
        <f aca="false">'Project Plan'!Z36</f>
        <v>11.5</v>
      </c>
      <c r="G24" s="6" t="s">
        <v>1030</v>
      </c>
      <c r="H24" s="50" t="str">
        <f aca="false">IF('Project Plan'!AB36="Done","Completed",IF('Project Plan'!AB36="Not started","Not started","In progress"))</f>
        <v>Not started</v>
      </c>
      <c r="I24" s="50" t="str">
        <f aca="false">"Task: Tenant, configuration console and Telangana state pack. Deliverable: "&amp;'Project Plan'!AA36</f>
        <v>Task: Tenant, configuration console and Telangana state pack. Deliverable: Test report</v>
      </c>
    </row>
    <row r="25" customFormat="false" ht="15" hidden="false" customHeight="false" outlineLevel="0" collapsed="false">
      <c r="A25" s="50" t="str">
        <f aca="false">'Project Plan'!B38&amp;" "&amp;'Project Plan'!E38</f>
        <v>3.3.1 Detailed design and contracts</v>
      </c>
      <c r="B25" s="6" t="s">
        <v>1036</v>
      </c>
      <c r="C25" s="52" t="n">
        <f aca="false">'Project Plan'!K38</f>
        <v>46350</v>
      </c>
      <c r="D25" s="52" t="n">
        <f aca="false">'Project Plan'!L38</f>
        <v>46363</v>
      </c>
      <c r="E25" s="50" t="str">
        <f aca="false">'Project Plan'!H38</f>
        <v>ARC</v>
      </c>
      <c r="F25" s="53" t="n">
        <f aca="false">'Project Plan'!Z38</f>
        <v>8.05</v>
      </c>
      <c r="G25" s="6" t="s">
        <v>1030</v>
      </c>
      <c r="H25" s="50" t="str">
        <f aca="false">IF('Project Plan'!AB38="Done","Completed",IF('Project Plan'!AB38="Not started","Not started","In progress"))</f>
        <v>Not started</v>
      </c>
      <c r="I25" s="50" t="str">
        <f aca="false">"Task: Workflow and rules engine (Flowable BPMN and DMN). Deliverable: "&amp;'Project Plan'!AA38</f>
        <v>Task: Workflow and rules engine (Flowable BPMN and DMN). Deliverable: Design note, OpenAPI and event schemas</v>
      </c>
    </row>
    <row r="26" customFormat="false" ht="15" hidden="false" customHeight="false" outlineLevel="0" collapsed="false">
      <c r="A26" s="50" t="str">
        <f aca="false">'Project Plan'!B39&amp;" "&amp;'Project Plan'!E39</f>
        <v>3.3.2 Build and unit tests</v>
      </c>
      <c r="B26" s="6" t="s">
        <v>1036</v>
      </c>
      <c r="C26" s="52" t="n">
        <f aca="false">'Project Plan'!K39</f>
        <v>46364</v>
      </c>
      <c r="D26" s="52" t="n">
        <f aca="false">'Project Plan'!L39</f>
        <v>46405</v>
      </c>
      <c r="E26" s="50" t="str">
        <f aca="false">'Project Plan'!H39</f>
        <v>BE</v>
      </c>
      <c r="F26" s="53" t="n">
        <f aca="false">'Project Plan'!Z39</f>
        <v>39.1</v>
      </c>
      <c r="G26" s="6" t="s">
        <v>1030</v>
      </c>
      <c r="H26" s="50" t="str">
        <f aca="false">IF('Project Plan'!AB39="Done","Completed",IF('Project Plan'!AB39="Not started","Not started","In progress"))</f>
        <v>Not started</v>
      </c>
      <c r="I26" s="50" t="str">
        <f aca="false">"Task: Workflow and rules engine (Flowable BPMN and DMN). Deliverable: "&amp;'Project Plan'!AA39</f>
        <v>Task: Workflow and rules engine (Flowable BPMN and DMN). Deliverable: Working service</v>
      </c>
    </row>
    <row r="27" customFormat="false" ht="15" hidden="false" customHeight="false" outlineLevel="0" collapsed="false">
      <c r="A27" s="50" t="str">
        <f aca="false">'Project Plan'!B40&amp;" "&amp;'Project Plan'!E40</f>
        <v>3.3.3 Component, security and contract tests</v>
      </c>
      <c r="B27" s="6" t="s">
        <v>1036</v>
      </c>
      <c r="C27" s="52" t="n">
        <f aca="false">'Project Plan'!K40</f>
        <v>46401</v>
      </c>
      <c r="D27" s="52" t="n">
        <f aca="false">'Project Plan'!L40</f>
        <v>46419</v>
      </c>
      <c r="E27" s="50" t="str">
        <f aca="false">'Project Plan'!H40</f>
        <v>QA</v>
      </c>
      <c r="F27" s="53" t="n">
        <f aca="false">'Project Plan'!Z40</f>
        <v>12.65</v>
      </c>
      <c r="G27" s="6" t="s">
        <v>1030</v>
      </c>
      <c r="H27" s="50" t="str">
        <f aca="false">IF('Project Plan'!AB40="Done","Completed",IF('Project Plan'!AB40="Not started","Not started","In progress"))</f>
        <v>Not started</v>
      </c>
      <c r="I27" s="50" t="str">
        <f aca="false">"Task: Workflow and rules engine (Flowable BPMN and DMN). Deliverable: "&amp;'Project Plan'!AA40</f>
        <v>Task: Workflow and rules engine (Flowable BPMN and DMN). Deliverable: Test report</v>
      </c>
    </row>
    <row r="28" customFormat="false" ht="15" hidden="false" customHeight="false" outlineLevel="0" collapsed="false">
      <c r="A28" s="50" t="str">
        <f aca="false">'Project Plan'!B42&amp;" "&amp;'Project Plan'!E42</f>
        <v>3.4.1 Detailed design and contracts</v>
      </c>
      <c r="B28" s="6" t="s">
        <v>1036</v>
      </c>
      <c r="C28" s="52" t="n">
        <f aca="false">'Project Plan'!K42</f>
        <v>46342</v>
      </c>
      <c r="D28" s="52" t="n">
        <f aca="false">'Project Plan'!L42</f>
        <v>46351</v>
      </c>
      <c r="E28" s="50" t="str">
        <f aca="false">'Project Plan'!H42</f>
        <v>ARC</v>
      </c>
      <c r="F28" s="53" t="n">
        <f aca="false">'Project Plan'!Z42</f>
        <v>5.75</v>
      </c>
      <c r="G28" s="6" t="s">
        <v>1030</v>
      </c>
      <c r="H28" s="50" t="str">
        <f aca="false">IF('Project Plan'!AB42="Done","Completed",IF('Project Plan'!AB42="Not started","Not started","In progress"))</f>
        <v>Not started</v>
      </c>
      <c r="I28" s="50" t="str">
        <f aca="false">"Task: API gateway, BFFs and service mesh. Deliverable: "&amp;'Project Plan'!AA42</f>
        <v>Task: API gateway, BFFs and service mesh. Deliverable: Design note, OpenAPI and event schemas</v>
      </c>
    </row>
    <row r="29" customFormat="false" ht="15" hidden="false" customHeight="false" outlineLevel="0" collapsed="false">
      <c r="A29" s="50" t="str">
        <f aca="false">'Project Plan'!B43&amp;" "&amp;'Project Plan'!E43</f>
        <v>3.4.2 Build and unit tests</v>
      </c>
      <c r="B29" s="6" t="s">
        <v>1036</v>
      </c>
      <c r="C29" s="52" t="n">
        <f aca="false">'Project Plan'!K43</f>
        <v>46352</v>
      </c>
      <c r="D29" s="52" t="n">
        <f aca="false">'Project Plan'!L43</f>
        <v>46385</v>
      </c>
      <c r="E29" s="50" t="str">
        <f aca="false">'Project Plan'!H43</f>
        <v>BE</v>
      </c>
      <c r="F29" s="53" t="n">
        <f aca="false">'Project Plan'!Z43</f>
        <v>26.45</v>
      </c>
      <c r="G29" s="6" t="s">
        <v>1030</v>
      </c>
      <c r="H29" s="50" t="str">
        <f aca="false">IF('Project Plan'!AB43="Done","Completed",IF('Project Plan'!AB43="Not started","Not started","In progress"))</f>
        <v>Not started</v>
      </c>
      <c r="I29" s="50" t="str">
        <f aca="false">"Task: API gateway, BFFs and service mesh. Deliverable: "&amp;'Project Plan'!AA43</f>
        <v>Task: API gateway, BFFs and service mesh. Deliverable: Working service</v>
      </c>
    </row>
    <row r="30" customFormat="false" ht="15" hidden="false" customHeight="false" outlineLevel="0" collapsed="false">
      <c r="A30" s="50" t="str">
        <f aca="false">'Project Plan'!B44&amp;" "&amp;'Project Plan'!E44</f>
        <v>3.4.3 Component, security and contract tests</v>
      </c>
      <c r="B30" s="6" t="s">
        <v>1036</v>
      </c>
      <c r="C30" s="52" t="n">
        <f aca="false">'Project Plan'!K44</f>
        <v>46381</v>
      </c>
      <c r="D30" s="52" t="n">
        <f aca="false">'Project Plan'!L44</f>
        <v>46394</v>
      </c>
      <c r="E30" s="50" t="str">
        <f aca="false">'Project Plan'!H44</f>
        <v>QA</v>
      </c>
      <c r="F30" s="53" t="n">
        <f aca="false">'Project Plan'!Z44</f>
        <v>6.9</v>
      </c>
      <c r="G30" s="6" t="s">
        <v>1030</v>
      </c>
      <c r="H30" s="50" t="str">
        <f aca="false">IF('Project Plan'!AB44="Done","Completed",IF('Project Plan'!AB44="Not started","Not started","In progress"))</f>
        <v>Not started</v>
      </c>
      <c r="I30" s="50" t="str">
        <f aca="false">"Task: API gateway, BFFs and service mesh. Deliverable: "&amp;'Project Plan'!AA44</f>
        <v>Task: API gateway, BFFs and service mesh. Deliverable: Test report</v>
      </c>
    </row>
    <row r="31" customFormat="false" ht="15" hidden="false" customHeight="false" outlineLevel="0" collapsed="false">
      <c r="A31" s="50" t="str">
        <f aca="false">'Project Plan'!B46&amp;" "&amp;'Project Plan'!E46</f>
        <v>3.5.1 Detailed design and contracts</v>
      </c>
      <c r="B31" s="6" t="s">
        <v>1036</v>
      </c>
      <c r="C31" s="52" t="n">
        <f aca="false">'Project Plan'!K46</f>
        <v>46342</v>
      </c>
      <c r="D31" s="52" t="n">
        <f aca="false">'Project Plan'!L46</f>
        <v>46351</v>
      </c>
      <c r="E31" s="50" t="str">
        <f aca="false">'Project Plan'!H46</f>
        <v>ARC</v>
      </c>
      <c r="F31" s="53" t="n">
        <f aca="false">'Project Plan'!Z46</f>
        <v>6.9</v>
      </c>
      <c r="G31" s="6" t="s">
        <v>1030</v>
      </c>
      <c r="H31" s="50" t="str">
        <f aca="false">IF('Project Plan'!AB46="Done","Completed",IF('Project Plan'!AB46="Not started","Not started","In progress"))</f>
        <v>Not started</v>
      </c>
      <c r="I31" s="50" t="str">
        <f aca="false">"Task: Event bus, outbox/inbox library and schema registry. Deliverable: "&amp;'Project Plan'!AA46</f>
        <v>Task: Event bus, outbox/inbox library and schema registry. Deliverable: Design note, OpenAPI and event schemas</v>
      </c>
    </row>
    <row r="32" customFormat="false" ht="15" hidden="false" customHeight="false" outlineLevel="0" collapsed="false">
      <c r="A32" s="50" t="str">
        <f aca="false">'Project Plan'!B47&amp;" "&amp;'Project Plan'!E47</f>
        <v>3.5.2 Build and unit tests</v>
      </c>
      <c r="B32" s="6" t="s">
        <v>1036</v>
      </c>
      <c r="C32" s="52" t="n">
        <f aca="false">'Project Plan'!K47</f>
        <v>46352</v>
      </c>
      <c r="D32" s="52" t="n">
        <f aca="false">'Project Plan'!L47</f>
        <v>46385</v>
      </c>
      <c r="E32" s="50" t="str">
        <f aca="false">'Project Plan'!H47</f>
        <v>BE</v>
      </c>
      <c r="F32" s="53" t="n">
        <f aca="false">'Project Plan'!Z47</f>
        <v>24.15</v>
      </c>
      <c r="G32" s="6" t="s">
        <v>1030</v>
      </c>
      <c r="H32" s="50" t="str">
        <f aca="false">IF('Project Plan'!AB47="Done","Completed",IF('Project Plan'!AB47="Not started","Not started","In progress"))</f>
        <v>Not started</v>
      </c>
      <c r="I32" s="50" t="str">
        <f aca="false">"Task: Event bus, outbox/inbox library and schema registry. Deliverable: "&amp;'Project Plan'!AA47</f>
        <v>Task: Event bus, outbox/inbox library and schema registry. Deliverable: Working service</v>
      </c>
    </row>
    <row r="33" customFormat="false" ht="15" hidden="false" customHeight="false" outlineLevel="0" collapsed="false">
      <c r="A33" s="50" t="str">
        <f aca="false">'Project Plan'!B48&amp;" "&amp;'Project Plan'!E48</f>
        <v>3.5.3 Component, security and contract tests</v>
      </c>
      <c r="B33" s="6" t="s">
        <v>1036</v>
      </c>
      <c r="C33" s="52" t="n">
        <f aca="false">'Project Plan'!K48</f>
        <v>46381</v>
      </c>
      <c r="D33" s="52" t="n">
        <f aca="false">'Project Plan'!L48</f>
        <v>46394</v>
      </c>
      <c r="E33" s="50" t="str">
        <f aca="false">'Project Plan'!H48</f>
        <v>QA</v>
      </c>
      <c r="F33" s="53" t="n">
        <f aca="false">'Project Plan'!Z48</f>
        <v>8.05</v>
      </c>
      <c r="G33" s="6" t="s">
        <v>1030</v>
      </c>
      <c r="H33" s="50" t="str">
        <f aca="false">IF('Project Plan'!AB48="Done","Completed",IF('Project Plan'!AB48="Not started","Not started","In progress"))</f>
        <v>Not started</v>
      </c>
      <c r="I33" s="50" t="str">
        <f aca="false">"Task: Event bus, outbox/inbox library and schema registry. Deliverable: "&amp;'Project Plan'!AA48</f>
        <v>Task: Event bus, outbox/inbox library and schema registry. Deliverable: Test report</v>
      </c>
    </row>
    <row r="34" customFormat="false" ht="15" hidden="false" customHeight="false" outlineLevel="0" collapsed="false">
      <c r="A34" s="50" t="str">
        <f aca="false">'Project Plan'!B50&amp;" "&amp;'Project Plan'!E50</f>
        <v>3.6.1 Detailed design and contracts</v>
      </c>
      <c r="B34" s="6" t="s">
        <v>1036</v>
      </c>
      <c r="C34" s="52" t="n">
        <f aca="false">'Project Plan'!K50</f>
        <v>46365</v>
      </c>
      <c r="D34" s="52" t="n">
        <f aca="false">'Project Plan'!L50</f>
        <v>46377</v>
      </c>
      <c r="E34" s="50" t="str">
        <f aca="false">'Project Plan'!H50</f>
        <v>ARC</v>
      </c>
      <c r="F34" s="53" t="n">
        <f aca="false">'Project Plan'!Z50</f>
        <v>5.75</v>
      </c>
      <c r="G34" s="6" t="s">
        <v>1030</v>
      </c>
      <c r="H34" s="50" t="str">
        <f aca="false">IF('Project Plan'!AB50="Done","Completed",IF('Project Plan'!AB50="Not started","Not started","In progress"))</f>
        <v>Not started</v>
      </c>
      <c r="I34" s="50" t="str">
        <f aca="false">"Task: Payment service, gateway, UPI and BBPS. Deliverable: "&amp;'Project Plan'!AA50</f>
        <v>Task: Payment service, gateway, UPI and BBPS. Deliverable: Design note, OpenAPI and event schemas</v>
      </c>
    </row>
    <row r="35" customFormat="false" ht="15" hidden="false" customHeight="false" outlineLevel="0" collapsed="false">
      <c r="A35" s="50" t="str">
        <f aca="false">'Project Plan'!B51&amp;" "&amp;'Project Plan'!E51</f>
        <v>3.6.2 Build and unit tests</v>
      </c>
      <c r="B35" s="6" t="s">
        <v>1036</v>
      </c>
      <c r="C35" s="52" t="n">
        <f aca="false">'Project Plan'!K51</f>
        <v>46378</v>
      </c>
      <c r="D35" s="52" t="n">
        <f aca="false">'Project Plan'!L51</f>
        <v>46414</v>
      </c>
      <c r="E35" s="50" t="str">
        <f aca="false">'Project Plan'!H51</f>
        <v>BE</v>
      </c>
      <c r="F35" s="53" t="n">
        <f aca="false">'Project Plan'!Z51</f>
        <v>36.8</v>
      </c>
      <c r="G35" s="6" t="s">
        <v>1030</v>
      </c>
      <c r="H35" s="50" t="str">
        <f aca="false">IF('Project Plan'!AB51="Done","Completed",IF('Project Plan'!AB51="Not started","Not started","In progress"))</f>
        <v>Not started</v>
      </c>
      <c r="I35" s="50" t="str">
        <f aca="false">"Task: Payment service, gateway, UPI and BBPS. Deliverable: "&amp;'Project Plan'!AA51</f>
        <v>Task: Payment service, gateway, UPI and BBPS. Deliverable: Working service</v>
      </c>
    </row>
    <row r="36" customFormat="false" ht="15" hidden="false" customHeight="false" outlineLevel="0" collapsed="false">
      <c r="A36" s="50" t="str">
        <f aca="false">'Project Plan'!B52&amp;" "&amp;'Project Plan'!E52</f>
        <v>3.6.3 Component, security and contract tests</v>
      </c>
      <c r="B36" s="6" t="s">
        <v>1036</v>
      </c>
      <c r="C36" s="52" t="n">
        <f aca="false">'Project Plan'!K52</f>
        <v>46412</v>
      </c>
      <c r="D36" s="52" t="n">
        <f aca="false">'Project Plan'!L52</f>
        <v>46426</v>
      </c>
      <c r="E36" s="50" t="str">
        <f aca="false">'Project Plan'!H52</f>
        <v>QA</v>
      </c>
      <c r="F36" s="53" t="n">
        <f aca="false">'Project Plan'!Z52</f>
        <v>14.95</v>
      </c>
      <c r="G36" s="6" t="s">
        <v>1030</v>
      </c>
      <c r="H36" s="50" t="str">
        <f aca="false">IF('Project Plan'!AB52="Done","Completed",IF('Project Plan'!AB52="Not started","Not started","In progress"))</f>
        <v>Not started</v>
      </c>
      <c r="I36" s="50" t="str">
        <f aca="false">"Task: Payment service, gateway, UPI and BBPS. Deliverable: "&amp;'Project Plan'!AA52</f>
        <v>Task: Payment service, gateway, UPI and BBPS. Deliverable: Test report</v>
      </c>
    </row>
    <row r="37" customFormat="false" ht="15" hidden="false" customHeight="false" outlineLevel="0" collapsed="false">
      <c r="A37" s="50" t="str">
        <f aca="false">'Project Plan'!B54&amp;" "&amp;'Project Plan'!E54</f>
        <v>3.7.1 Detailed design and contracts</v>
      </c>
      <c r="B37" s="6" t="s">
        <v>1036</v>
      </c>
      <c r="C37" s="52" t="n">
        <f aca="false">'Project Plan'!K54</f>
        <v>46365</v>
      </c>
      <c r="D37" s="52" t="n">
        <f aca="false">'Project Plan'!L54</f>
        <v>46374</v>
      </c>
      <c r="E37" s="50" t="str">
        <f aca="false">'Project Plan'!H54</f>
        <v>ARC</v>
      </c>
      <c r="F37" s="53" t="n">
        <f aca="false">'Project Plan'!Z54</f>
        <v>4.6</v>
      </c>
      <c r="G37" s="6" t="s">
        <v>1030</v>
      </c>
      <c r="H37" s="50" t="str">
        <f aca="false">IF('Project Plan'!AB54="Done","Completed",IF('Project Plan'!AB54="Not started","Not started","In progress"))</f>
        <v>Not started</v>
      </c>
      <c r="I37" s="50" t="str">
        <f aca="false">"Task: Notification service (DLT SMS, WhatsApp, email, IVRS). Deliverable: "&amp;'Project Plan'!AA54</f>
        <v>Task: Notification service (DLT SMS, WhatsApp, email, IVRS). Deliverable: Design note, OpenAPI and event schemas</v>
      </c>
    </row>
    <row r="38" customFormat="false" ht="15" hidden="false" customHeight="false" outlineLevel="0" collapsed="false">
      <c r="A38" s="50" t="str">
        <f aca="false">'Project Plan'!B55&amp;" "&amp;'Project Plan'!E55</f>
        <v>3.7.2 Build and unit tests</v>
      </c>
      <c r="B38" s="6" t="s">
        <v>1036</v>
      </c>
      <c r="C38" s="52" t="n">
        <f aca="false">'Project Plan'!K55</f>
        <v>46377</v>
      </c>
      <c r="D38" s="52" t="n">
        <f aca="false">'Project Plan'!L55</f>
        <v>46408</v>
      </c>
      <c r="E38" s="50" t="str">
        <f aca="false">'Project Plan'!H55</f>
        <v>BE</v>
      </c>
      <c r="F38" s="53" t="n">
        <f aca="false">'Project Plan'!Z55</f>
        <v>23</v>
      </c>
      <c r="G38" s="6" t="s">
        <v>1030</v>
      </c>
      <c r="H38" s="50" t="str">
        <f aca="false">IF('Project Plan'!AB55="Done","Completed",IF('Project Plan'!AB55="Not started","Not started","In progress"))</f>
        <v>Not started</v>
      </c>
      <c r="I38" s="50" t="str">
        <f aca="false">"Task: Notification service (DLT SMS, WhatsApp, email, IVRS). Deliverable: "&amp;'Project Plan'!AA55</f>
        <v>Task: Notification service (DLT SMS, WhatsApp, email, IVRS). Deliverable: Working service</v>
      </c>
    </row>
    <row r="39" customFormat="false" ht="15" hidden="false" customHeight="false" outlineLevel="0" collapsed="false">
      <c r="A39" s="50" t="str">
        <f aca="false">'Project Plan'!B56&amp;" "&amp;'Project Plan'!E56</f>
        <v>3.7.3 Component, security and contract tests</v>
      </c>
      <c r="B39" s="6" t="s">
        <v>1036</v>
      </c>
      <c r="C39" s="52" t="n">
        <f aca="false">'Project Plan'!K56</f>
        <v>46406</v>
      </c>
      <c r="D39" s="52" t="n">
        <f aca="false">'Project Plan'!L56</f>
        <v>46419</v>
      </c>
      <c r="E39" s="50" t="str">
        <f aca="false">'Project Plan'!H56</f>
        <v>QA</v>
      </c>
      <c r="F39" s="53" t="n">
        <f aca="false">'Project Plan'!Z56</f>
        <v>9.2</v>
      </c>
      <c r="G39" s="6" t="s">
        <v>1030</v>
      </c>
      <c r="H39" s="50" t="str">
        <f aca="false">IF('Project Plan'!AB56="Done","Completed",IF('Project Plan'!AB56="Not started","Not started","In progress"))</f>
        <v>Not started</v>
      </c>
      <c r="I39" s="50" t="str">
        <f aca="false">"Task: Notification service (DLT SMS, WhatsApp, email, IVRS). Deliverable: "&amp;'Project Plan'!AA56</f>
        <v>Task: Notification service (DLT SMS, WhatsApp, email, IVRS). Deliverable: Test report</v>
      </c>
    </row>
    <row r="40" customFormat="false" ht="15" hidden="false" customHeight="false" outlineLevel="0" collapsed="false">
      <c r="A40" s="50" t="str">
        <f aca="false">'Project Plan'!B58&amp;" "&amp;'Project Plan'!E58</f>
        <v>3.8.1 Detailed design and contracts</v>
      </c>
      <c r="B40" s="6" t="s">
        <v>1036</v>
      </c>
      <c r="C40" s="52" t="n">
        <f aca="false">'Project Plan'!K58</f>
        <v>46350</v>
      </c>
      <c r="D40" s="52" t="n">
        <f aca="false">'Project Plan'!L58</f>
        <v>46364</v>
      </c>
      <c r="E40" s="50" t="str">
        <f aca="false">'Project Plan'!H58</f>
        <v>ARC</v>
      </c>
      <c r="F40" s="53" t="n">
        <f aca="false">'Project Plan'!Z58</f>
        <v>3.45</v>
      </c>
      <c r="G40" s="6" t="s">
        <v>1030</v>
      </c>
      <c r="H40" s="50" t="str">
        <f aca="false">IF('Project Plan'!AB58="Done","Completed",IF('Project Plan'!AB58="Not started","Not started","In progress"))</f>
        <v>Not started</v>
      </c>
      <c r="I40" s="50" t="str">
        <f aca="false">"Task: GIS base: PostGIS, GeoServer, base map, imagery, ward layers. Deliverable: "&amp;'Project Plan'!AA58</f>
        <v>Task: GIS base: PostGIS, GeoServer, base map, imagery, ward layers. Deliverable: Design note, OpenAPI and event schemas</v>
      </c>
    </row>
    <row r="41" customFormat="false" ht="15" hidden="false" customHeight="false" outlineLevel="0" collapsed="false">
      <c r="A41" s="50" t="str">
        <f aca="false">'Project Plan'!B59&amp;" "&amp;'Project Plan'!E59</f>
        <v>3.8.2 Build and unit tests</v>
      </c>
      <c r="B41" s="6" t="s">
        <v>1036</v>
      </c>
      <c r="C41" s="52" t="n">
        <f aca="false">'Project Plan'!K59</f>
        <v>46365</v>
      </c>
      <c r="D41" s="52" t="n">
        <f aca="false">'Project Plan'!L59</f>
        <v>46412</v>
      </c>
      <c r="E41" s="50" t="str">
        <f aca="false">'Project Plan'!H59</f>
        <v>GIS</v>
      </c>
      <c r="F41" s="53" t="n">
        <f aca="false">'Project Plan'!Z59</f>
        <v>55.2</v>
      </c>
      <c r="G41" s="6" t="s">
        <v>1030</v>
      </c>
      <c r="H41" s="50" t="str">
        <f aca="false">IF('Project Plan'!AB59="Done","Completed",IF('Project Plan'!AB59="Not started","Not started","In progress"))</f>
        <v>Not started</v>
      </c>
      <c r="I41" s="50" t="str">
        <f aca="false">"Task: GIS base: PostGIS, GeoServer, base map, imagery, ward layers. Deliverable: "&amp;'Project Plan'!AA59</f>
        <v>Task: GIS base: PostGIS, GeoServer, base map, imagery, ward layers. Deliverable: Working service</v>
      </c>
    </row>
    <row r="42" customFormat="false" ht="15" hidden="false" customHeight="false" outlineLevel="0" collapsed="false">
      <c r="A42" s="50" t="str">
        <f aca="false">'Project Plan'!B60&amp;" "&amp;'Project Plan'!E60</f>
        <v>3.8.3 Component, security and contract tests</v>
      </c>
      <c r="B42" s="6" t="s">
        <v>1036</v>
      </c>
      <c r="C42" s="52" t="n">
        <f aca="false">'Project Plan'!K60</f>
        <v>46408</v>
      </c>
      <c r="D42" s="52" t="n">
        <f aca="false">'Project Plan'!L60</f>
        <v>46427</v>
      </c>
      <c r="E42" s="50" t="str">
        <f aca="false">'Project Plan'!H60</f>
        <v>QA</v>
      </c>
      <c r="F42" s="53" t="n">
        <f aca="false">'Project Plan'!Z60</f>
        <v>6.9</v>
      </c>
      <c r="G42" s="6" t="s">
        <v>1030</v>
      </c>
      <c r="H42" s="50" t="str">
        <f aca="false">IF('Project Plan'!AB60="Done","Completed",IF('Project Plan'!AB60="Not started","Not started","In progress"))</f>
        <v>Not started</v>
      </c>
      <c r="I42" s="50" t="str">
        <f aca="false">"Task: GIS base: PostGIS, GeoServer, base map, imagery, ward layers. Deliverable: "&amp;'Project Plan'!AA60</f>
        <v>Task: GIS base: PostGIS, GeoServer, base map, imagery, ward layers. Deliverable: Test report</v>
      </c>
    </row>
    <row r="43" customFormat="false" ht="15" hidden="false" customHeight="false" outlineLevel="0" collapsed="false">
      <c r="A43" s="50" t="str">
        <f aca="false">'Project Plan'!B62&amp;" "&amp;'Project Plan'!E62</f>
        <v>3.9.1 Detailed design and contracts</v>
      </c>
      <c r="B43" s="6" t="s">
        <v>1036</v>
      </c>
      <c r="C43" s="52" t="n">
        <f aca="false">'Project Plan'!K62</f>
        <v>46357</v>
      </c>
      <c r="D43" s="52" t="n">
        <f aca="false">'Project Plan'!L62</f>
        <v>46371</v>
      </c>
      <c r="E43" s="50" t="str">
        <f aca="false">'Project Plan'!H62</f>
        <v>ARC</v>
      </c>
      <c r="F43" s="53" t="n">
        <f aca="false">'Project Plan'!Z62</f>
        <v>9.2</v>
      </c>
      <c r="G43" s="6" t="s">
        <v>1030</v>
      </c>
      <c r="H43" s="50" t="str">
        <f aca="false">IF('Project Plan'!AB62="Done","Completed",IF('Project Plan'!AB62="Not started","Not started","In progress"))</f>
        <v>Not started</v>
      </c>
      <c r="I43" s="50" t="str">
        <f aca="false">"Task: Document pipeline: OCR, translation, eSign, anchoring, DigiLocker. Deliverable: "&amp;'Project Plan'!AA62</f>
        <v>Task: Document pipeline: OCR, translation, eSign, anchoring, DigiLocker. Deliverable: Design note, OpenAPI and event schemas</v>
      </c>
    </row>
    <row r="44" customFormat="false" ht="15" hidden="false" customHeight="false" outlineLevel="0" collapsed="false">
      <c r="A44" s="50" t="str">
        <f aca="false">'Project Plan'!B63&amp;" "&amp;'Project Plan'!E63</f>
        <v>3.9.2 Build and unit tests</v>
      </c>
      <c r="B44" s="6" t="s">
        <v>1036</v>
      </c>
      <c r="C44" s="52" t="n">
        <f aca="false">'Project Plan'!K63</f>
        <v>46372</v>
      </c>
      <c r="D44" s="52" t="n">
        <f aca="false">'Project Plan'!L63</f>
        <v>46419</v>
      </c>
      <c r="E44" s="50" t="str">
        <f aca="false">'Project Plan'!H63</f>
        <v>BE</v>
      </c>
      <c r="F44" s="53" t="n">
        <f aca="false">'Project Plan'!Z63</f>
        <v>41.4</v>
      </c>
      <c r="G44" s="6" t="s">
        <v>1030</v>
      </c>
      <c r="H44" s="50" t="str">
        <f aca="false">IF('Project Plan'!AB63="Done","Completed",IF('Project Plan'!AB63="Not started","Not started","In progress"))</f>
        <v>Not started</v>
      </c>
      <c r="I44" s="50" t="str">
        <f aca="false">"Task: Document pipeline: OCR, translation, eSign, anchoring, DigiLocker. Deliverable: "&amp;'Project Plan'!AA63</f>
        <v>Task: Document pipeline: OCR, translation, eSign, anchoring, DigiLocker. Deliverable: Working service</v>
      </c>
    </row>
    <row r="45" customFormat="false" ht="15" hidden="false" customHeight="false" outlineLevel="0" collapsed="false">
      <c r="A45" s="50" t="str">
        <f aca="false">'Project Plan'!B64&amp;" "&amp;'Project Plan'!E64</f>
        <v>3.9.3 Component, security and contract tests</v>
      </c>
      <c r="B45" s="6" t="s">
        <v>1036</v>
      </c>
      <c r="C45" s="52" t="n">
        <f aca="false">'Project Plan'!K64</f>
        <v>46415</v>
      </c>
      <c r="D45" s="52" t="n">
        <f aca="false">'Project Plan'!L64</f>
        <v>46434</v>
      </c>
      <c r="E45" s="50" t="str">
        <f aca="false">'Project Plan'!H64</f>
        <v>QA</v>
      </c>
      <c r="F45" s="53" t="n">
        <f aca="false">'Project Plan'!Z64</f>
        <v>16.1</v>
      </c>
      <c r="G45" s="6" t="s">
        <v>1030</v>
      </c>
      <c r="H45" s="50" t="str">
        <f aca="false">IF('Project Plan'!AB64="Done","Completed",IF('Project Plan'!AB64="Not started","Not started","In progress"))</f>
        <v>Not started</v>
      </c>
      <c r="I45" s="50" t="str">
        <f aca="false">"Task: Document pipeline: OCR, translation, eSign, anchoring, DigiLocker. Deliverable: "&amp;'Project Plan'!AA64</f>
        <v>Task: Document pipeline: OCR, translation, eSign, anchoring, DigiLocker. Deliverable: Test report</v>
      </c>
    </row>
    <row r="46" customFormat="false" ht="15" hidden="false" customHeight="false" outlineLevel="0" collapsed="false">
      <c r="A46" s="50" t="str">
        <f aca="false">'Project Plan'!B66&amp;" "&amp;'Project Plan'!E66</f>
        <v>3.10.1 Detailed design and contracts</v>
      </c>
      <c r="B46" s="6" t="s">
        <v>1036</v>
      </c>
      <c r="C46" s="52" t="n">
        <f aca="false">'Project Plan'!K66</f>
        <v>46372</v>
      </c>
      <c r="D46" s="52" t="n">
        <f aca="false">'Project Plan'!L66</f>
        <v>46381</v>
      </c>
      <c r="E46" s="50" t="str">
        <f aca="false">'Project Plan'!H66</f>
        <v>ARC</v>
      </c>
      <c r="F46" s="53" t="n">
        <f aca="false">'Project Plan'!Z66</f>
        <v>4.6</v>
      </c>
      <c r="G46" s="6" t="s">
        <v>1030</v>
      </c>
      <c r="H46" s="50" t="str">
        <f aca="false">IF('Project Plan'!AB66="Done","Completed",IF('Project Plan'!AB66="Not started","Not started","In progress"))</f>
        <v>Not started</v>
      </c>
      <c r="I46" s="50" t="str">
        <f aca="false">"Task: Search service (OpenSearch, Indic analysers). Deliverable: "&amp;'Project Plan'!AA66</f>
        <v>Task: Search service (OpenSearch, Indic analysers). Deliverable: Design note, OpenAPI and event schemas</v>
      </c>
    </row>
    <row r="47" customFormat="false" ht="15" hidden="false" customHeight="false" outlineLevel="0" collapsed="false">
      <c r="A47" s="50" t="str">
        <f aca="false">'Project Plan'!B67&amp;" "&amp;'Project Plan'!E67</f>
        <v>3.10.2 Build and unit tests</v>
      </c>
      <c r="B47" s="6" t="s">
        <v>1036</v>
      </c>
      <c r="C47" s="52" t="n">
        <f aca="false">'Project Plan'!K67</f>
        <v>46384</v>
      </c>
      <c r="D47" s="52" t="n">
        <f aca="false">'Project Plan'!L67</f>
        <v>46415</v>
      </c>
      <c r="E47" s="50" t="str">
        <f aca="false">'Project Plan'!H67</f>
        <v>BE</v>
      </c>
      <c r="F47" s="53" t="n">
        <f aca="false">'Project Plan'!Z67</f>
        <v>16.1</v>
      </c>
      <c r="G47" s="6" t="s">
        <v>1030</v>
      </c>
      <c r="H47" s="50" t="str">
        <f aca="false">IF('Project Plan'!AB67="Done","Completed",IF('Project Plan'!AB67="Not started","Not started","In progress"))</f>
        <v>Not started</v>
      </c>
      <c r="I47" s="50" t="str">
        <f aca="false">"Task: Search service (OpenSearch, Indic analysers). Deliverable: "&amp;'Project Plan'!AA67</f>
        <v>Task: Search service (OpenSearch, Indic analysers). Deliverable: Working service</v>
      </c>
    </row>
    <row r="48" customFormat="false" ht="15" hidden="false" customHeight="false" outlineLevel="0" collapsed="false">
      <c r="A48" s="50" t="str">
        <f aca="false">'Project Plan'!B68&amp;" "&amp;'Project Plan'!E68</f>
        <v>3.10.3 Component, security and contract tests</v>
      </c>
      <c r="B48" s="6" t="s">
        <v>1036</v>
      </c>
      <c r="C48" s="52" t="n">
        <f aca="false">'Project Plan'!K68</f>
        <v>46414</v>
      </c>
      <c r="D48" s="52" t="n">
        <f aca="false">'Project Plan'!L68</f>
        <v>46427</v>
      </c>
      <c r="E48" s="50" t="str">
        <f aca="false">'Project Plan'!H68</f>
        <v>QA</v>
      </c>
      <c r="F48" s="53" t="n">
        <f aca="false">'Project Plan'!Z68</f>
        <v>6.9</v>
      </c>
      <c r="G48" s="6" t="s">
        <v>1030</v>
      </c>
      <c r="H48" s="50" t="str">
        <f aca="false">IF('Project Plan'!AB68="Done","Completed",IF('Project Plan'!AB68="Not started","Not started","In progress"))</f>
        <v>Not started</v>
      </c>
      <c r="I48" s="50" t="str">
        <f aca="false">"Task: Search service (OpenSearch, Indic analysers). Deliverable: "&amp;'Project Plan'!AA68</f>
        <v>Task: Search service (OpenSearch, Indic analysers). Deliverable: Test report</v>
      </c>
    </row>
    <row r="49" customFormat="false" ht="15" hidden="false" customHeight="false" outlineLevel="0" collapsed="false">
      <c r="A49" s="50" t="str">
        <f aca="false">'Project Plan'!B70&amp;" "&amp;'Project Plan'!E70</f>
        <v>3.11.1 Detailed design and contracts</v>
      </c>
      <c r="B49" s="6" t="s">
        <v>1036</v>
      </c>
      <c r="C49" s="52" t="n">
        <f aca="false">'Project Plan'!K70</f>
        <v>46372</v>
      </c>
      <c r="D49" s="52" t="n">
        <f aca="false">'Project Plan'!L70</f>
        <v>46381</v>
      </c>
      <c r="E49" s="50" t="str">
        <f aca="false">'Project Plan'!H70</f>
        <v>ARC</v>
      </c>
      <c r="F49" s="53" t="n">
        <f aca="false">'Project Plan'!Z70</f>
        <v>3.45</v>
      </c>
      <c r="G49" s="6" t="s">
        <v>1030</v>
      </c>
      <c r="H49" s="50" t="str">
        <f aca="false">IF('Project Plan'!AB70="Done","Completed",IF('Project Plan'!AB70="Not started","Not started","In progress"))</f>
        <v>Not started</v>
      </c>
      <c r="I49" s="50" t="str">
        <f aca="false">"Task: Audit service, SIEM feed and CERT-In logging. Deliverable: "&amp;'Project Plan'!AA70</f>
        <v>Task: Audit service, SIEM feed and CERT-In logging. Deliverable: Design note, OpenAPI and event schemas</v>
      </c>
    </row>
    <row r="50" customFormat="false" ht="15" hidden="false" customHeight="false" outlineLevel="0" collapsed="false">
      <c r="A50" s="50" t="str">
        <f aca="false">'Project Plan'!B71&amp;" "&amp;'Project Plan'!E71</f>
        <v>3.11.2 Build and unit tests</v>
      </c>
      <c r="B50" s="6" t="s">
        <v>1036</v>
      </c>
      <c r="C50" s="52" t="n">
        <f aca="false">'Project Plan'!K71</f>
        <v>46384</v>
      </c>
      <c r="D50" s="52" t="n">
        <f aca="false">'Project Plan'!L71</f>
        <v>46415</v>
      </c>
      <c r="E50" s="50" t="str">
        <f aca="false">'Project Plan'!H71</f>
        <v>BE</v>
      </c>
      <c r="F50" s="53" t="n">
        <f aca="false">'Project Plan'!Z71</f>
        <v>20.7</v>
      </c>
      <c r="G50" s="6" t="s">
        <v>1030</v>
      </c>
      <c r="H50" s="50" t="str">
        <f aca="false">IF('Project Plan'!AB71="Done","Completed",IF('Project Plan'!AB71="Not started","Not started","In progress"))</f>
        <v>Not started</v>
      </c>
      <c r="I50" s="50" t="str">
        <f aca="false">"Task: Audit service, SIEM feed and CERT-In logging. Deliverable: "&amp;'Project Plan'!AA71</f>
        <v>Task: Audit service, SIEM feed and CERT-In logging. Deliverable: Working service</v>
      </c>
    </row>
    <row r="51" customFormat="false" ht="15" hidden="false" customHeight="false" outlineLevel="0" collapsed="false">
      <c r="A51" s="50" t="str">
        <f aca="false">'Project Plan'!B72&amp;" "&amp;'Project Plan'!E72</f>
        <v>3.11.3 Component, security and contract tests</v>
      </c>
      <c r="B51" s="6" t="s">
        <v>1036</v>
      </c>
      <c r="C51" s="52" t="n">
        <f aca="false">'Project Plan'!K72</f>
        <v>46414</v>
      </c>
      <c r="D51" s="52" t="n">
        <f aca="false">'Project Plan'!L72</f>
        <v>46427</v>
      </c>
      <c r="E51" s="50" t="str">
        <f aca="false">'Project Plan'!H72</f>
        <v>QA</v>
      </c>
      <c r="F51" s="53" t="n">
        <f aca="false">'Project Plan'!Z72</f>
        <v>5.75</v>
      </c>
      <c r="G51" s="6" t="s">
        <v>1030</v>
      </c>
      <c r="H51" s="50" t="str">
        <f aca="false">IF('Project Plan'!AB72="Done","Completed",IF('Project Plan'!AB72="Not started","Not started","In progress"))</f>
        <v>Not started</v>
      </c>
      <c r="I51" s="50" t="str">
        <f aca="false">"Task: Audit service, SIEM feed and CERT-In logging. Deliverable: "&amp;'Project Plan'!AA72</f>
        <v>Task: Audit service, SIEM feed and CERT-In logging. Deliverable: Test report</v>
      </c>
    </row>
    <row r="52" customFormat="false" ht="15" hidden="false" customHeight="false" outlineLevel="0" collapsed="false">
      <c r="A52" s="50" t="str">
        <f aca="false">'Project Plan'!B74&amp;" "&amp;'Project Plan'!E74</f>
        <v>3.12.1 Detailed design and contracts</v>
      </c>
      <c r="B52" s="6" t="s">
        <v>1036</v>
      </c>
      <c r="C52" s="52" t="n">
        <f aca="false">'Project Plan'!K74</f>
        <v>46372</v>
      </c>
      <c r="D52" s="52" t="n">
        <f aca="false">'Project Plan'!L74</f>
        <v>46380</v>
      </c>
      <c r="E52" s="50" t="str">
        <f aca="false">'Project Plan'!H74</f>
        <v>ARC</v>
      </c>
      <c r="F52" s="53" t="n">
        <f aca="false">'Project Plan'!Z74</f>
        <v>4.6</v>
      </c>
      <c r="G52" s="6" t="s">
        <v>1030</v>
      </c>
      <c r="H52" s="50" t="str">
        <f aca="false">IF('Project Plan'!AB74="Done","Completed",IF('Project Plan'!AB74="Not started","Not started","In progress"))</f>
        <v>Not started</v>
      </c>
      <c r="I52" s="50" t="str">
        <f aca="false">"Task: Aadhaar Data Vault with HSM. Deliverable: "&amp;'Project Plan'!AA74</f>
        <v>Task: Aadhaar Data Vault with HSM. Deliverable: Design note, OpenAPI and event schemas</v>
      </c>
    </row>
    <row r="53" customFormat="false" ht="15" hidden="false" customHeight="false" outlineLevel="0" collapsed="false">
      <c r="A53" s="50" t="str">
        <f aca="false">'Project Plan'!B75&amp;" "&amp;'Project Plan'!E75</f>
        <v>3.12.2 Build and unit tests</v>
      </c>
      <c r="B53" s="6" t="s">
        <v>1036</v>
      </c>
      <c r="C53" s="52" t="n">
        <f aca="false">'Project Plan'!K75</f>
        <v>46381</v>
      </c>
      <c r="D53" s="52" t="n">
        <f aca="false">'Project Plan'!L75</f>
        <v>46408</v>
      </c>
      <c r="E53" s="50" t="str">
        <f aca="false">'Project Plan'!H75</f>
        <v>BE</v>
      </c>
      <c r="F53" s="53" t="n">
        <f aca="false">'Project Plan'!Z75</f>
        <v>18.4</v>
      </c>
      <c r="G53" s="6" t="s">
        <v>1030</v>
      </c>
      <c r="H53" s="50" t="str">
        <f aca="false">IF('Project Plan'!AB75="Done","Completed",IF('Project Plan'!AB75="Not started","Not started","In progress"))</f>
        <v>Not started</v>
      </c>
      <c r="I53" s="50" t="str">
        <f aca="false">"Task: Aadhaar Data Vault with HSM. Deliverable: "&amp;'Project Plan'!AA75</f>
        <v>Task: Aadhaar Data Vault with HSM. Deliverable: Working service</v>
      </c>
    </row>
    <row r="54" customFormat="false" ht="15" hidden="false" customHeight="false" outlineLevel="0" collapsed="false">
      <c r="A54" s="50" t="str">
        <f aca="false">'Project Plan'!B76&amp;" "&amp;'Project Plan'!E76</f>
        <v>3.12.3 Component, security and contract tests</v>
      </c>
      <c r="B54" s="6" t="s">
        <v>1036</v>
      </c>
      <c r="C54" s="52" t="n">
        <f aca="false">'Project Plan'!K76</f>
        <v>46408</v>
      </c>
      <c r="D54" s="52" t="n">
        <f aca="false">'Project Plan'!L76</f>
        <v>46419</v>
      </c>
      <c r="E54" s="50" t="str">
        <f aca="false">'Project Plan'!H76</f>
        <v>QA</v>
      </c>
      <c r="F54" s="53" t="n">
        <f aca="false">'Project Plan'!Z76</f>
        <v>5.75</v>
      </c>
      <c r="G54" s="6" t="s">
        <v>1030</v>
      </c>
      <c r="H54" s="50" t="str">
        <f aca="false">IF('Project Plan'!AB76="Done","Completed",IF('Project Plan'!AB76="Not started","Not started","In progress"))</f>
        <v>Not started</v>
      </c>
      <c r="I54" s="50" t="str">
        <f aca="false">"Task: Aadhaar Data Vault with HSM. Deliverable: "&amp;'Project Plan'!AA76</f>
        <v>Task: Aadhaar Data Vault with HSM. Deliverable: Test report</v>
      </c>
    </row>
    <row r="55" customFormat="false" ht="15" hidden="false" customHeight="false" outlineLevel="0" collapsed="false">
      <c r="A55" s="50" t="str">
        <f aca="false">'Project Plan'!B78&amp;" "&amp;'Project Plan'!E78</f>
        <v>3.13.1 Detailed design and contracts</v>
      </c>
      <c r="B55" s="6" t="s">
        <v>1036</v>
      </c>
      <c r="C55" s="52" t="n">
        <f aca="false">'Project Plan'!K78</f>
        <v>46357</v>
      </c>
      <c r="D55" s="52" t="n">
        <f aca="false">'Project Plan'!L78</f>
        <v>46365</v>
      </c>
      <c r="E55" s="50" t="str">
        <f aca="false">'Project Plan'!H78</f>
        <v>ARC</v>
      </c>
      <c r="F55" s="53" t="n">
        <f aca="false">'Project Plan'!Z78</f>
        <v>4.6</v>
      </c>
      <c r="G55" s="6" t="s">
        <v>1030</v>
      </c>
      <c r="H55" s="50" t="str">
        <f aca="false">IF('Project Plan'!AB78="Done","Completed",IF('Project Plan'!AB78="Not started","Not started","In progress"))</f>
        <v>Not started</v>
      </c>
      <c r="I55" s="50" t="str">
        <f aca="false">"Task: Adapter hub framework. Deliverable: "&amp;'Project Plan'!AA78</f>
        <v>Task: Adapter hub framework. Deliverable: Design note, OpenAPI and event schemas</v>
      </c>
    </row>
    <row r="56" customFormat="false" ht="15" hidden="false" customHeight="false" outlineLevel="0" collapsed="false">
      <c r="A56" s="50" t="str">
        <f aca="false">'Project Plan'!B79&amp;" "&amp;'Project Plan'!E79</f>
        <v>3.13.2 Build and unit tests</v>
      </c>
      <c r="B56" s="6" t="s">
        <v>1036</v>
      </c>
      <c r="C56" s="52" t="n">
        <f aca="false">'Project Plan'!K79</f>
        <v>46366</v>
      </c>
      <c r="D56" s="52" t="n">
        <f aca="false">'Project Plan'!L79</f>
        <v>46393</v>
      </c>
      <c r="E56" s="50" t="str">
        <f aca="false">'Project Plan'!H79</f>
        <v>BE</v>
      </c>
      <c r="F56" s="53" t="n">
        <f aca="false">'Project Plan'!Z79</f>
        <v>12.65</v>
      </c>
      <c r="G56" s="6" t="s">
        <v>1030</v>
      </c>
      <c r="H56" s="50" t="str">
        <f aca="false">IF('Project Plan'!AB79="Done","Completed",IF('Project Plan'!AB79="Not started","Not started","In progress"))</f>
        <v>Not started</v>
      </c>
      <c r="I56" s="50" t="str">
        <f aca="false">"Task: Adapter hub framework. Deliverable: "&amp;'Project Plan'!AA79</f>
        <v>Task: Adapter hub framework. Deliverable: Working service</v>
      </c>
    </row>
    <row r="57" customFormat="false" ht="15" hidden="false" customHeight="false" outlineLevel="0" collapsed="false">
      <c r="A57" s="50" t="str">
        <f aca="false">'Project Plan'!B80&amp;" "&amp;'Project Plan'!E80</f>
        <v>3.13.3 Component, security and contract tests</v>
      </c>
      <c r="B57" s="6" t="s">
        <v>1036</v>
      </c>
      <c r="C57" s="52" t="n">
        <f aca="false">'Project Plan'!K80</f>
        <v>46392</v>
      </c>
      <c r="D57" s="52" t="n">
        <f aca="false">'Project Plan'!L80</f>
        <v>46401</v>
      </c>
      <c r="E57" s="50" t="str">
        <f aca="false">'Project Plan'!H80</f>
        <v>QA</v>
      </c>
      <c r="F57" s="53" t="n">
        <f aca="false">'Project Plan'!Z80</f>
        <v>4.6</v>
      </c>
      <c r="G57" s="6" t="s">
        <v>1030</v>
      </c>
      <c r="H57" s="50" t="str">
        <f aca="false">IF('Project Plan'!AB80="Done","Completed",IF('Project Plan'!AB80="Not started","Not started","In progress"))</f>
        <v>Not started</v>
      </c>
      <c r="I57" s="50" t="str">
        <f aca="false">"Task: Adapter hub framework. Deliverable: "&amp;'Project Plan'!AA80</f>
        <v>Task: Adapter hub framework. Deliverable: Test report</v>
      </c>
    </row>
    <row r="58" customFormat="false" ht="15" hidden="false" customHeight="false" outlineLevel="0" collapsed="false">
      <c r="A58" s="50" t="str">
        <f aca="false">'Project Plan'!B82&amp;" "&amp;'Project Plan'!E82</f>
        <v>3.14.1 Detailed design and contracts</v>
      </c>
      <c r="B58" s="6" t="s">
        <v>1036</v>
      </c>
      <c r="C58" s="52" t="n">
        <f aca="false">'Project Plan'!K82</f>
        <v>46357</v>
      </c>
      <c r="D58" s="52" t="n">
        <f aca="false">'Project Plan'!L82</f>
        <v>46371</v>
      </c>
      <c r="E58" s="50" t="str">
        <f aca="false">'Project Plan'!H82</f>
        <v>ARC</v>
      </c>
      <c r="F58" s="53" t="n">
        <f aca="false">'Project Plan'!Z82</f>
        <v>2.3</v>
      </c>
      <c r="G58" s="6" t="s">
        <v>1030</v>
      </c>
      <c r="H58" s="50" t="str">
        <f aca="false">IF('Project Plan'!AB82="Done","Completed",IF('Project Plan'!AB82="Not started","Not started","In progress"))</f>
        <v>Not started</v>
      </c>
      <c r="I58" s="50" t="str">
        <f aca="false">"Task: Citizen portal and app shell (MyGWMC branding, 22-language i18n). Deliverable: "&amp;'Project Plan'!AA82</f>
        <v>Task: Citizen portal and app shell (MyGWMC branding, 22-language i18n). Deliverable: Design note, OpenAPI and event schemas</v>
      </c>
    </row>
    <row r="59" customFormat="false" ht="15" hidden="false" customHeight="false" outlineLevel="0" collapsed="false">
      <c r="A59" s="50" t="str">
        <f aca="false">'Project Plan'!B83&amp;" "&amp;'Project Plan'!E83</f>
        <v>3.14.2 Build and unit tests</v>
      </c>
      <c r="B59" s="6" t="s">
        <v>1036</v>
      </c>
      <c r="C59" s="52" t="n">
        <f aca="false">'Project Plan'!K83</f>
        <v>46372</v>
      </c>
      <c r="D59" s="52" t="n">
        <f aca="false">'Project Plan'!L83</f>
        <v>46419</v>
      </c>
      <c r="E59" s="50" t="str">
        <f aca="false">'Project Plan'!H83</f>
        <v>FE</v>
      </c>
      <c r="F59" s="53" t="n">
        <f aca="false">'Project Plan'!Z83</f>
        <v>60.95</v>
      </c>
      <c r="G59" s="6" t="s">
        <v>1030</v>
      </c>
      <c r="H59" s="50" t="str">
        <f aca="false">IF('Project Plan'!AB83="Done","Completed",IF('Project Plan'!AB83="Not started","Not started","In progress"))</f>
        <v>Not started</v>
      </c>
      <c r="I59" s="50" t="str">
        <f aca="false">"Task: Citizen portal and app shell (MyGWMC branding, 22-language i18n). Deliverable: "&amp;'Project Plan'!AA83</f>
        <v>Task: Citizen portal and app shell (MyGWMC branding, 22-language i18n). Deliverable: Working service</v>
      </c>
    </row>
    <row r="60" customFormat="false" ht="15" hidden="false" customHeight="false" outlineLevel="0" collapsed="false">
      <c r="A60" s="50" t="str">
        <f aca="false">'Project Plan'!B84&amp;" "&amp;'Project Plan'!E84</f>
        <v>3.14.3 Component, security and contract tests</v>
      </c>
      <c r="B60" s="6" t="s">
        <v>1036</v>
      </c>
      <c r="C60" s="52" t="n">
        <f aca="false">'Project Plan'!K84</f>
        <v>46415</v>
      </c>
      <c r="D60" s="52" t="n">
        <f aca="false">'Project Plan'!L84</f>
        <v>46434</v>
      </c>
      <c r="E60" s="50" t="str">
        <f aca="false">'Project Plan'!H84</f>
        <v>QA</v>
      </c>
      <c r="F60" s="53" t="n">
        <f aca="false">'Project Plan'!Z84</f>
        <v>11.5</v>
      </c>
      <c r="G60" s="6" t="s">
        <v>1030</v>
      </c>
      <c r="H60" s="50" t="str">
        <f aca="false">IF('Project Plan'!AB84="Done","Completed",IF('Project Plan'!AB84="Not started","Not started","In progress"))</f>
        <v>Not started</v>
      </c>
      <c r="I60" s="50" t="str">
        <f aca="false">"Task: Citizen portal and app shell (MyGWMC branding, 22-language i18n). Deliverable: "&amp;'Project Plan'!AA84</f>
        <v>Task: Citizen portal and app shell (MyGWMC branding, 22-language i18n). Deliverable: Test report</v>
      </c>
    </row>
    <row r="61" customFormat="false" ht="15" hidden="false" customHeight="false" outlineLevel="0" collapsed="false">
      <c r="A61" s="50" t="str">
        <f aca="false">'Project Plan'!B86&amp;" "&amp;'Project Plan'!E86</f>
        <v>3.15.1 Detailed design and contracts</v>
      </c>
      <c r="B61" s="6" t="s">
        <v>1036</v>
      </c>
      <c r="C61" s="52" t="n">
        <f aca="false">'Project Plan'!K86</f>
        <v>46357</v>
      </c>
      <c r="D61" s="52" t="n">
        <f aca="false">'Project Plan'!L86</f>
        <v>46367</v>
      </c>
      <c r="E61" s="50" t="str">
        <f aca="false">'Project Plan'!H86</f>
        <v>ARC</v>
      </c>
      <c r="F61" s="53" t="n">
        <f aca="false">'Project Plan'!Z86</f>
        <v>2.3</v>
      </c>
      <c r="G61" s="6" t="s">
        <v>1030</v>
      </c>
      <c r="H61" s="50" t="str">
        <f aca="false">IF('Project Plan'!AB86="Done","Completed",IF('Project Plan'!AB86="Not started","Not started","In progress"))</f>
        <v>Not started</v>
      </c>
      <c r="I61" s="50" t="str">
        <f aca="false">"Task: Staff console shell, work queues and maps. Deliverable: "&amp;'Project Plan'!AA86</f>
        <v>Task: Staff console shell, work queues and maps. Deliverable: Design note, OpenAPI and event schemas</v>
      </c>
    </row>
    <row r="62" customFormat="false" ht="15" hidden="false" customHeight="false" outlineLevel="0" collapsed="false">
      <c r="A62" s="50" t="str">
        <f aca="false">'Project Plan'!B87&amp;" "&amp;'Project Plan'!E87</f>
        <v>3.15.2 Build and unit tests</v>
      </c>
      <c r="B62" s="6" t="s">
        <v>1036</v>
      </c>
      <c r="C62" s="52" t="n">
        <f aca="false">'Project Plan'!K87</f>
        <v>46370</v>
      </c>
      <c r="D62" s="52" t="n">
        <f aca="false">'Project Plan'!L87</f>
        <v>46406</v>
      </c>
      <c r="E62" s="50" t="str">
        <f aca="false">'Project Plan'!H87</f>
        <v>FE</v>
      </c>
      <c r="F62" s="53" t="n">
        <f aca="false">'Project Plan'!Z87</f>
        <v>25.3</v>
      </c>
      <c r="G62" s="6" t="s">
        <v>1030</v>
      </c>
      <c r="H62" s="50" t="str">
        <f aca="false">IF('Project Plan'!AB87="Done","Completed",IF('Project Plan'!AB87="Not started","Not started","In progress"))</f>
        <v>Not started</v>
      </c>
      <c r="I62" s="50" t="str">
        <f aca="false">"Task: Staff console shell, work queues and maps. Deliverable: "&amp;'Project Plan'!AA87</f>
        <v>Task: Staff console shell, work queues and maps. Deliverable: Working service</v>
      </c>
    </row>
    <row r="63" customFormat="false" ht="15" hidden="false" customHeight="false" outlineLevel="0" collapsed="false">
      <c r="A63" s="50" t="str">
        <f aca="false">'Project Plan'!B88&amp;" "&amp;'Project Plan'!E88</f>
        <v>3.15.3 Component, security and contract tests</v>
      </c>
      <c r="B63" s="6" t="s">
        <v>1036</v>
      </c>
      <c r="C63" s="52" t="n">
        <f aca="false">'Project Plan'!K88</f>
        <v>46405</v>
      </c>
      <c r="D63" s="52" t="n">
        <f aca="false">'Project Plan'!L88</f>
        <v>46419</v>
      </c>
      <c r="E63" s="50" t="str">
        <f aca="false">'Project Plan'!H88</f>
        <v>QA</v>
      </c>
      <c r="F63" s="53" t="n">
        <f aca="false">'Project Plan'!Z88</f>
        <v>6.9</v>
      </c>
      <c r="G63" s="6" t="s">
        <v>1030</v>
      </c>
      <c r="H63" s="50" t="str">
        <f aca="false">IF('Project Plan'!AB88="Done","Completed",IF('Project Plan'!AB88="Not started","Not started","In progress"))</f>
        <v>Not started</v>
      </c>
      <c r="I63" s="50" t="str">
        <f aca="false">"Task: Staff console shell, work queues and maps. Deliverable: "&amp;'Project Plan'!AA88</f>
        <v>Task: Staff console shell, work queues and maps. Deliverable: Test report</v>
      </c>
    </row>
    <row r="64" customFormat="false" ht="15" hidden="false" customHeight="false" outlineLevel="0" collapsed="false">
      <c r="A64" s="50" t="str">
        <f aca="false">'Project Plan'!B90&amp;" "&amp;'Project Plan'!E90</f>
        <v>3.16.1 Detailed design and contracts</v>
      </c>
      <c r="B64" s="6" t="s">
        <v>1036</v>
      </c>
      <c r="C64" s="52" t="n">
        <f aca="false">'Project Plan'!K90</f>
        <v>46365</v>
      </c>
      <c r="D64" s="52" t="n">
        <f aca="false">'Project Plan'!L90</f>
        <v>46378</v>
      </c>
      <c r="E64" s="50" t="str">
        <f aca="false">'Project Plan'!H90</f>
        <v>ARC</v>
      </c>
      <c r="F64" s="53" t="n">
        <f aca="false">'Project Plan'!Z90</f>
        <v>3.45</v>
      </c>
      <c r="G64" s="6" t="s">
        <v>1030</v>
      </c>
      <c r="H64" s="50" t="str">
        <f aca="false">IF('Project Plan'!AB90="Done","Completed",IF('Project Plan'!AB90="Not started","Not started","In progress"))</f>
        <v>Not started</v>
      </c>
      <c r="I64" s="50" t="str">
        <f aca="false">"Task: Field app shell and offline sync service. Deliverable: "&amp;'Project Plan'!AA90</f>
        <v>Task: Field app shell and offline sync service. Deliverable: Design note, OpenAPI and event schemas</v>
      </c>
    </row>
    <row r="65" customFormat="false" ht="15" hidden="false" customHeight="false" outlineLevel="0" collapsed="false">
      <c r="A65" s="50" t="str">
        <f aca="false">'Project Plan'!B91&amp;" "&amp;'Project Plan'!E91</f>
        <v>3.16.2 Build and unit tests</v>
      </c>
      <c r="B65" s="6" t="s">
        <v>1036</v>
      </c>
      <c r="C65" s="52" t="n">
        <f aca="false">'Project Plan'!K91</f>
        <v>46379</v>
      </c>
      <c r="D65" s="52" t="n">
        <f aca="false">'Project Plan'!L91</f>
        <v>46420</v>
      </c>
      <c r="E65" s="50" t="str">
        <f aca="false">'Project Plan'!H91</f>
        <v>MOB</v>
      </c>
      <c r="F65" s="53" t="n">
        <f aca="false">'Project Plan'!Z91</f>
        <v>43.7</v>
      </c>
      <c r="G65" s="6" t="s">
        <v>1030</v>
      </c>
      <c r="H65" s="50" t="str">
        <f aca="false">IF('Project Plan'!AB91="Done","Completed",IF('Project Plan'!AB91="Not started","Not started","In progress"))</f>
        <v>Not started</v>
      </c>
      <c r="I65" s="50" t="str">
        <f aca="false">"Task: Field app shell and offline sync service. Deliverable: "&amp;'Project Plan'!AA91</f>
        <v>Task: Field app shell and offline sync service. Deliverable: Working service</v>
      </c>
    </row>
    <row r="66" customFormat="false" ht="15" hidden="false" customHeight="false" outlineLevel="0" collapsed="false">
      <c r="A66" s="50" t="str">
        <f aca="false">'Project Plan'!B92&amp;" "&amp;'Project Plan'!E92</f>
        <v>3.16.3 Component, security and contract tests</v>
      </c>
      <c r="B66" s="6" t="s">
        <v>1036</v>
      </c>
      <c r="C66" s="52" t="n">
        <f aca="false">'Project Plan'!K92</f>
        <v>46419</v>
      </c>
      <c r="D66" s="52" t="n">
        <f aca="false">'Project Plan'!L92</f>
        <v>46435</v>
      </c>
      <c r="E66" s="50" t="str">
        <f aca="false">'Project Plan'!H92</f>
        <v>QA</v>
      </c>
      <c r="F66" s="53" t="n">
        <f aca="false">'Project Plan'!Z92</f>
        <v>10.35</v>
      </c>
      <c r="G66" s="6" t="s">
        <v>1030</v>
      </c>
      <c r="H66" s="50" t="str">
        <f aca="false">IF('Project Plan'!AB92="Done","Completed",IF('Project Plan'!AB92="Not started","Not started","In progress"))</f>
        <v>Not started</v>
      </c>
      <c r="I66" s="50" t="str">
        <f aca="false">"Task: Field app shell and offline sync service. Deliverable: "&amp;'Project Plan'!AA92</f>
        <v>Task: Field app shell and offline sync service. Deliverable: Test report</v>
      </c>
    </row>
    <row r="67" customFormat="false" ht="15" hidden="false" customHeight="false" outlineLevel="0" collapsed="false">
      <c r="A67" s="50" t="str">
        <f aca="false">'Project Plan'!B94&amp;" "&amp;'Project Plan'!E94</f>
        <v>3.17.1 Detailed design and contracts</v>
      </c>
      <c r="B67" s="6" t="s">
        <v>1036</v>
      </c>
      <c r="C67" s="52" t="n">
        <f aca="false">'Project Plan'!K94</f>
        <v>46395</v>
      </c>
      <c r="D67" s="52" t="n">
        <f aca="false">'Project Plan'!L94</f>
        <v>46407</v>
      </c>
      <c r="E67" s="50" t="str">
        <f aca="false">'Project Plan'!H94</f>
        <v>ARC</v>
      </c>
      <c r="F67" s="53" t="n">
        <f aca="false">'Project Plan'!Z94</f>
        <v>4.6</v>
      </c>
      <c r="G67" s="6" t="s">
        <v>1030</v>
      </c>
      <c r="H67" s="50" t="str">
        <f aca="false">IF('Project Plan'!AB94="Done","Completed",IF('Project Plan'!AB94="Not started","Not started","In progress"))</f>
        <v>Not started</v>
      </c>
      <c r="I67" s="50" t="str">
        <f aca="false">"Task: Reporting warehouse, ELT and Superset dashboards. Deliverable: "&amp;'Project Plan'!AA94</f>
        <v>Task: Reporting warehouse, ELT and Superset dashboards. Deliverable: Design note, OpenAPI and event schemas</v>
      </c>
    </row>
    <row r="68" customFormat="false" ht="15" hidden="false" customHeight="false" outlineLevel="0" collapsed="false">
      <c r="A68" s="50" t="str">
        <f aca="false">'Project Plan'!B95&amp;" "&amp;'Project Plan'!E95</f>
        <v>3.17.2 Build and unit tests</v>
      </c>
      <c r="B68" s="6" t="s">
        <v>1036</v>
      </c>
      <c r="C68" s="52" t="n">
        <f aca="false">'Project Plan'!K95</f>
        <v>46408</v>
      </c>
      <c r="D68" s="52" t="n">
        <f aca="false">'Project Plan'!L95</f>
        <v>46444</v>
      </c>
      <c r="E68" s="50" t="str">
        <f aca="false">'Project Plan'!H95</f>
        <v>BE</v>
      </c>
      <c r="F68" s="53" t="n">
        <f aca="false">'Project Plan'!Z95</f>
        <v>31.05</v>
      </c>
      <c r="G68" s="6" t="s">
        <v>1030</v>
      </c>
      <c r="H68" s="50" t="str">
        <f aca="false">IF('Project Plan'!AB95="Done","Completed",IF('Project Plan'!AB95="Not started","Not started","In progress"))</f>
        <v>Not started</v>
      </c>
      <c r="I68" s="50" t="str">
        <f aca="false">"Task: Reporting warehouse, ELT and Superset dashboards. Deliverable: "&amp;'Project Plan'!AA95</f>
        <v>Task: Reporting warehouse, ELT and Superset dashboards. Deliverable: Working service</v>
      </c>
    </row>
    <row r="69" customFormat="false" ht="15" hidden="false" customHeight="false" outlineLevel="0" collapsed="false">
      <c r="A69" s="50" t="str">
        <f aca="false">'Project Plan'!B96&amp;" "&amp;'Project Plan'!E96</f>
        <v>3.17.3 Component, security and contract tests</v>
      </c>
      <c r="B69" s="6" t="s">
        <v>1036</v>
      </c>
      <c r="C69" s="52" t="n">
        <f aca="false">'Project Plan'!K96</f>
        <v>46443</v>
      </c>
      <c r="D69" s="52" t="n">
        <f aca="false">'Project Plan'!L96</f>
        <v>46457</v>
      </c>
      <c r="E69" s="50" t="str">
        <f aca="false">'Project Plan'!H96</f>
        <v>QA</v>
      </c>
      <c r="F69" s="53" t="n">
        <f aca="false">'Project Plan'!Z96</f>
        <v>6.9</v>
      </c>
      <c r="G69" s="6" t="s">
        <v>1030</v>
      </c>
      <c r="H69" s="50" t="str">
        <f aca="false">IF('Project Plan'!AB96="Done","Completed",IF('Project Plan'!AB96="Not started","Not started","In progress"))</f>
        <v>Not started</v>
      </c>
      <c r="I69" s="50" t="str">
        <f aca="false">"Task: Reporting warehouse, ELT and Superset dashboards. Deliverable: "&amp;'Project Plan'!AA96</f>
        <v>Task: Reporting warehouse, ELT and Superset dashboards. Deliverable: Test report</v>
      </c>
    </row>
    <row r="70" customFormat="false" ht="15" hidden="false" customHeight="false" outlineLevel="0" collapsed="false">
      <c r="A70" s="50" t="str">
        <f aca="false">'Project Plan'!B98&amp;" "&amp;'Project Plan'!E98</f>
        <v>3.18.1 Detailed design and contracts</v>
      </c>
      <c r="B70" s="6" t="s">
        <v>1036</v>
      </c>
      <c r="C70" s="52" t="n">
        <f aca="false">'Project Plan'!K98</f>
        <v>46350</v>
      </c>
      <c r="D70" s="52" t="n">
        <f aca="false">'Project Plan'!L98</f>
        <v>46359</v>
      </c>
      <c r="E70" s="50" t="str">
        <f aca="false">'Project Plan'!H98</f>
        <v>ARC</v>
      </c>
      <c r="F70" s="53" t="n">
        <f aca="false">'Project Plan'!Z98</f>
        <v>2.3</v>
      </c>
      <c r="G70" s="6" t="s">
        <v>1030</v>
      </c>
      <c r="H70" s="50" t="str">
        <f aca="false">IF('Project Plan'!AB98="Done","Completed",IF('Project Plan'!AB98="Not started","Not started","In progress"))</f>
        <v>Not started</v>
      </c>
      <c r="I70" s="50" t="str">
        <f aca="false">"Task: Observability: OpenTelemetry, Prometheus, Grafana, Loki. Deliverable: "&amp;'Project Plan'!AA98</f>
        <v>Task: Observability: OpenTelemetry, Prometheus, Grafana, Loki. Deliverable: Design note, OpenAPI and event schemas</v>
      </c>
    </row>
    <row r="71" customFormat="false" ht="15" hidden="false" customHeight="false" outlineLevel="0" collapsed="false">
      <c r="A71" s="50" t="str">
        <f aca="false">'Project Plan'!B99&amp;" "&amp;'Project Plan'!E99</f>
        <v>3.18.2 Build and unit tests</v>
      </c>
      <c r="B71" s="6" t="s">
        <v>1036</v>
      </c>
      <c r="C71" s="52" t="n">
        <f aca="false">'Project Plan'!K99</f>
        <v>46359</v>
      </c>
      <c r="D71" s="52" t="n">
        <f aca="false">'Project Plan'!L99</f>
        <v>46392</v>
      </c>
      <c r="E71" s="50" t="str">
        <f aca="false">'Project Plan'!H99</f>
        <v>DEV</v>
      </c>
      <c r="F71" s="53" t="n">
        <f aca="false">'Project Plan'!Z99</f>
        <v>17.25</v>
      </c>
      <c r="G71" s="6" t="s">
        <v>1030</v>
      </c>
      <c r="H71" s="50" t="str">
        <f aca="false">IF('Project Plan'!AB99="Done","Completed",IF('Project Plan'!AB99="Not started","Not started","In progress"))</f>
        <v>Not started</v>
      </c>
      <c r="I71" s="50" t="str">
        <f aca="false">"Task: Observability: OpenTelemetry, Prometheus, Grafana, Loki. Deliverable: "&amp;'Project Plan'!AA99</f>
        <v>Task: Observability: OpenTelemetry, Prometheus, Grafana, Loki. Deliverable: Working service</v>
      </c>
    </row>
    <row r="72" customFormat="false" ht="15" hidden="false" customHeight="false" outlineLevel="0" collapsed="false">
      <c r="A72" s="50" t="str">
        <f aca="false">'Project Plan'!B100&amp;" "&amp;'Project Plan'!E100</f>
        <v>3.18.3 Component, security and contract tests</v>
      </c>
      <c r="B72" s="6" t="s">
        <v>1036</v>
      </c>
      <c r="C72" s="52" t="n">
        <f aca="false">'Project Plan'!K100</f>
        <v>46391</v>
      </c>
      <c r="D72" s="52" t="n">
        <f aca="false">'Project Plan'!L100</f>
        <v>46402</v>
      </c>
      <c r="E72" s="50" t="str">
        <f aca="false">'Project Plan'!H100</f>
        <v>QA</v>
      </c>
      <c r="F72" s="53" t="n">
        <f aca="false">'Project Plan'!Z100</f>
        <v>3.45</v>
      </c>
      <c r="G72" s="6" t="s">
        <v>1030</v>
      </c>
      <c r="H72" s="50" t="str">
        <f aca="false">IF('Project Plan'!AB100="Done","Completed",IF('Project Plan'!AB100="Not started","Not started","In progress"))</f>
        <v>Not started</v>
      </c>
      <c r="I72" s="50" t="str">
        <f aca="false">"Task: Observability: OpenTelemetry, Prometheus, Grafana, Loki. Deliverable: "&amp;'Project Plan'!AA100</f>
        <v>Task: Observability: OpenTelemetry, Prometheus, Grafana, Loki. Deliverable: Test report</v>
      </c>
    </row>
    <row r="73" customFormat="false" ht="15" hidden="false" customHeight="false" outlineLevel="0" collapsed="false">
      <c r="A73" s="50" t="str">
        <f aca="false">'Project Plan'!B102&amp;" "&amp;'Project Plan'!E102</f>
        <v>3.19.1 Production cluster in State Data Centre</v>
      </c>
      <c r="B73" s="6" t="s">
        <v>1036</v>
      </c>
      <c r="C73" s="52" t="n">
        <f aca="false">'Project Plan'!K102</f>
        <v>46384</v>
      </c>
      <c r="D73" s="52" t="n">
        <f aca="false">'Project Plan'!L102</f>
        <v>46423</v>
      </c>
      <c r="E73" s="50" t="str">
        <f aca="false">'Project Plan'!H102</f>
        <v>DEV</v>
      </c>
      <c r="F73" s="53" t="n">
        <f aca="false">'Project Plan'!Z102</f>
        <v>24.15</v>
      </c>
      <c r="G73" s="6" t="s">
        <v>1030</v>
      </c>
      <c r="H73" s="50" t="str">
        <f aca="false">IF('Project Plan'!AB102="Done","Completed",IF('Project Plan'!AB102="Not started","Not started","In progress"))</f>
        <v>Not started</v>
      </c>
      <c r="I73" s="50" t="str">
        <f aca="false">"Task: Infrastructure and security (production). Deliverable: "&amp;'Project Plan'!AA102</f>
        <v>Task: Infrastructure and security (production). Deliverable: Production environment</v>
      </c>
    </row>
    <row r="74" customFormat="false" ht="15" hidden="false" customHeight="false" outlineLevel="0" collapsed="false">
      <c r="A74" s="50" t="str">
        <f aca="false">'Project Plan'!B103&amp;" "&amp;'Project Plan'!E103</f>
        <v>3.19.2 DR site, replication and backup</v>
      </c>
      <c r="B74" s="6" t="s">
        <v>1036</v>
      </c>
      <c r="C74" s="52" t="n">
        <f aca="false">'Project Plan'!K103</f>
        <v>46412</v>
      </c>
      <c r="D74" s="52" t="n">
        <f aca="false">'Project Plan'!L103</f>
        <v>46444</v>
      </c>
      <c r="E74" s="50" t="str">
        <f aca="false">'Project Plan'!H103</f>
        <v>DEV</v>
      </c>
      <c r="F74" s="53" t="n">
        <f aca="false">'Project Plan'!Z103</f>
        <v>16.1</v>
      </c>
      <c r="G74" s="6" t="s">
        <v>1030</v>
      </c>
      <c r="H74" s="50" t="str">
        <f aca="false">IF('Project Plan'!AB103="Done","Completed",IF('Project Plan'!AB103="Not started","Not started","In progress"))</f>
        <v>Not started</v>
      </c>
      <c r="I74" s="50" t="str">
        <f aca="false">"Task: Infrastructure and security (production). Deliverable: "&amp;'Project Plan'!AA103</f>
        <v>Task: Infrastructure and security (production). Deliverable: DR environment</v>
      </c>
    </row>
    <row r="75" customFormat="false" ht="15" hidden="false" customHeight="false" outlineLevel="0" collapsed="false">
      <c r="A75" s="50" t="str">
        <f aca="false">'Project Plan'!B104&amp;" "&amp;'Project Plan'!E104</f>
        <v>3.19.3 HSM, secrets (OpenBao), hardening and network policies</v>
      </c>
      <c r="B75" s="6" t="s">
        <v>1036</v>
      </c>
      <c r="C75" s="52" t="n">
        <f aca="false">'Project Plan'!K104</f>
        <v>46398</v>
      </c>
      <c r="D75" s="52" t="n">
        <f aca="false">'Project Plan'!L104</f>
        <v>46430</v>
      </c>
      <c r="E75" s="50" t="str">
        <f aca="false">'Project Plan'!H104</f>
        <v>DEV</v>
      </c>
      <c r="F75" s="53" t="n">
        <f aca="false">'Project Plan'!Z104</f>
        <v>14.95</v>
      </c>
      <c r="G75" s="6" t="s">
        <v>1030</v>
      </c>
      <c r="H75" s="50" t="str">
        <f aca="false">IF('Project Plan'!AB104="Done","Completed",IF('Project Plan'!AB104="Not started","Not started","In progress"))</f>
        <v>Not started</v>
      </c>
      <c r="I75" s="50" t="str">
        <f aca="false">"Task: Infrastructure and security (production). Deliverable: "&amp;'Project Plan'!AA104</f>
        <v>Task: Infrastructure and security (production). Deliverable: Hardening checklist</v>
      </c>
    </row>
    <row r="76" customFormat="false" ht="15" hidden="false" customHeight="false" outlineLevel="0" collapsed="false">
      <c r="A76" s="50" t="str">
        <f aca="false">'Project Plan'!B105&amp;" "&amp;'Project Plan'!E105</f>
        <v>3.19.4 SIEM (Wazuh) and NTP to NIC/NPL time servers</v>
      </c>
      <c r="B76" s="6" t="s">
        <v>1036</v>
      </c>
      <c r="C76" s="52" t="n">
        <f aca="false">'Project Plan'!K105</f>
        <v>46412</v>
      </c>
      <c r="D76" s="52" t="n">
        <f aca="false">'Project Plan'!L105</f>
        <v>46437</v>
      </c>
      <c r="E76" s="50" t="str">
        <f aca="false">'Project Plan'!H105</f>
        <v>DEV</v>
      </c>
      <c r="F76" s="53" t="n">
        <f aca="false">'Project Plan'!Z105</f>
        <v>9.2</v>
      </c>
      <c r="G76" s="6" t="s">
        <v>1030</v>
      </c>
      <c r="H76" s="50" t="str">
        <f aca="false">IF('Project Plan'!AB105="Done","Completed",IF('Project Plan'!AB105="Not started","Not started","In progress"))</f>
        <v>Not started</v>
      </c>
      <c r="I76" s="50" t="str">
        <f aca="false">"Task: Infrastructure and security (production). Deliverable: "&amp;'Project Plan'!AA105</f>
        <v>Task: Infrastructure and security (production). Deliverable: SIEM live</v>
      </c>
    </row>
    <row r="77" customFormat="false" ht="15" hidden="false" customHeight="false" outlineLevel="0" collapsed="false">
      <c r="A77" s="50" t="str">
        <f aca="false">'Project Plan'!B108&amp;" "&amp;'Project Plan'!E108</f>
        <v>4.1.1 Process validation workshops and to-be sign-off</v>
      </c>
      <c r="B77" s="6" t="s">
        <v>1037</v>
      </c>
      <c r="C77" s="52" t="n">
        <f aca="false">'Project Plan'!K108</f>
        <v>46356</v>
      </c>
      <c r="D77" s="52" t="n">
        <f aca="false">'Project Plan'!L108</f>
        <v>46372</v>
      </c>
      <c r="E77" s="50" t="str">
        <f aca="false">'Project Plan'!H108</f>
        <v>BA</v>
      </c>
      <c r="F77" s="53" t="n">
        <f aca="false">'Project Plan'!Z108</f>
        <v>21.85</v>
      </c>
      <c r="G77" s="6" t="s">
        <v>1030</v>
      </c>
      <c r="H77" s="50" t="str">
        <f aca="false">IF('Project Plan'!AB108="Done","Completed",IF('Project Plan'!AB108="Not started","Not started","In progress"))</f>
        <v>Not started</v>
      </c>
      <c r="I77" s="50" t="str">
        <f aca="false">"Task: Module 1: Property Tax &amp; Revenue Management. Deliverable: "&amp;'Project Plan'!AA108</f>
        <v>Task: Module 1: Property Tax &amp; Revenue Management. Deliverable: Signed process maps</v>
      </c>
    </row>
    <row r="78" customFormat="false" ht="15" hidden="false" customHeight="false" outlineLevel="0" collapsed="false">
      <c r="A78" s="50" t="str">
        <f aca="false">'Project Plan'!B109&amp;" "&amp;'Project Plan'!E109</f>
        <v>4.1.2 LLD, data model and API/event contracts</v>
      </c>
      <c r="B78" s="6" t="s">
        <v>1037</v>
      </c>
      <c r="C78" s="52" t="n">
        <f aca="false">'Project Plan'!K109</f>
        <v>46367</v>
      </c>
      <c r="D78" s="52" t="n">
        <f aca="false">'Project Plan'!L109</f>
        <v>46385</v>
      </c>
      <c r="E78" s="50" t="str">
        <f aca="false">'Project Plan'!H109</f>
        <v>ARC</v>
      </c>
      <c r="F78" s="53" t="n">
        <f aca="false">'Project Plan'!Z109</f>
        <v>20.7</v>
      </c>
      <c r="G78" s="6" t="s">
        <v>1030</v>
      </c>
      <c r="H78" s="50" t="str">
        <f aca="false">IF('Project Plan'!AB109="Done","Completed",IF('Project Plan'!AB109="Not started","Not started","In progress"))</f>
        <v>Not started</v>
      </c>
      <c r="I78" s="50" t="str">
        <f aca="false">"Task: Module 1: Property Tax &amp; Revenue Management. Deliverable: "&amp;'Project Plan'!AA109</f>
        <v>Task: Module 1: Property Tax &amp; Revenue Management. Deliverable: LLD, OpenAPI, schemas</v>
      </c>
    </row>
    <row r="79" customFormat="false" ht="15" hidden="false" customHeight="false" outlineLevel="0" collapsed="false">
      <c r="A79" s="50" t="str">
        <f aca="false">'Project Plan'!B110&amp;" "&amp;'Project Plan'!E110</f>
        <v>4.1.3 UX wireframes and UI design</v>
      </c>
      <c r="B79" s="6" t="s">
        <v>1037</v>
      </c>
      <c r="C79" s="52" t="n">
        <f aca="false">'Project Plan'!K110</f>
        <v>46367</v>
      </c>
      <c r="D79" s="52" t="n">
        <f aca="false">'Project Plan'!L110</f>
        <v>46385</v>
      </c>
      <c r="E79" s="50" t="str">
        <f aca="false">'Project Plan'!H110</f>
        <v>FE</v>
      </c>
      <c r="F79" s="53" t="n">
        <f aca="false">'Project Plan'!Z110</f>
        <v>17.25</v>
      </c>
      <c r="G79" s="6" t="s">
        <v>1030</v>
      </c>
      <c r="H79" s="50" t="str">
        <f aca="false">IF('Project Plan'!AB110="Done","Completed",IF('Project Plan'!AB110="Not started","Not started","In progress"))</f>
        <v>Not started</v>
      </c>
      <c r="I79" s="50" t="str">
        <f aca="false">"Task: Module 1: Property Tax &amp; Revenue Management. Deliverable: "&amp;'Project Plan'!AA110</f>
        <v>Task: Module 1: Property Tax &amp; Revenue Management. Deliverable: Approved wireframes</v>
      </c>
    </row>
    <row r="80" customFormat="false" ht="15" hidden="false" customHeight="false" outlineLevel="0" collapsed="false">
      <c r="A80" s="50" t="str">
        <f aca="false">'Project Plan'!B111&amp;" "&amp;'Project Plan'!E111</f>
        <v>4.1.4 Database schema, domain logic and APIs</v>
      </c>
      <c r="B80" s="6" t="s">
        <v>1037</v>
      </c>
      <c r="C80" s="52" t="n">
        <f aca="false">'Project Plan'!K111</f>
        <v>46384</v>
      </c>
      <c r="D80" s="52" t="n">
        <f aca="false">'Project Plan'!L111</f>
        <v>46448</v>
      </c>
      <c r="E80" s="50" t="str">
        <f aca="false">'Project Plan'!H111</f>
        <v>BE</v>
      </c>
      <c r="F80" s="53" t="n">
        <f aca="false">'Project Plan'!Z111</f>
        <v>60.95</v>
      </c>
      <c r="G80" s="6" t="s">
        <v>1030</v>
      </c>
      <c r="H80" s="50" t="str">
        <f aca="false">IF('Project Plan'!AB111="Done","Completed",IF('Project Plan'!AB111="Not started","Not started","In progress"))</f>
        <v>Not started</v>
      </c>
      <c r="I80" s="50" t="str">
        <f aca="false">"Task: Module 1: Property Tax &amp; Revenue Management. Deliverable: "&amp;'Project Plan'!AA111</f>
        <v>Task: Module 1: Property Tax &amp; Revenue Management. Deliverable: Service build</v>
      </c>
    </row>
    <row r="81" customFormat="false" ht="15" hidden="false" customHeight="false" outlineLevel="0" collapsed="false">
      <c r="A81" s="50" t="str">
        <f aca="false">'Project Plan'!B112&amp;" "&amp;'Project Plan'!E112</f>
        <v>4.1.5 Workflows (BPMN) and rules (DMN) configuration</v>
      </c>
      <c r="B81" s="6" t="s">
        <v>1037</v>
      </c>
      <c r="C81" s="52" t="n">
        <f aca="false">'Project Plan'!K112</f>
        <v>46402</v>
      </c>
      <c r="D81" s="52" t="n">
        <f aca="false">'Project Plan'!L112</f>
        <v>46449</v>
      </c>
      <c r="E81" s="50" t="str">
        <f aca="false">'Project Plan'!H112</f>
        <v>BE</v>
      </c>
      <c r="F81" s="53" t="n">
        <f aca="false">'Project Plan'!Z112</f>
        <v>28.75</v>
      </c>
      <c r="G81" s="6" t="s">
        <v>1030</v>
      </c>
      <c r="H81" s="50" t="str">
        <f aca="false">IF('Project Plan'!AB112="Done","Completed",IF('Project Plan'!AB112="Not started","Not started","In progress"))</f>
        <v>Not started</v>
      </c>
      <c r="I81" s="50" t="str">
        <f aca="false">"Task: Module 1: Property Tax &amp; Revenue Management. Deliverable: "&amp;'Project Plan'!AA112</f>
        <v>Task: Module 1: Property Tax &amp; Revenue Management. Deliverable: Deployed workflows and decision tables</v>
      </c>
    </row>
    <row r="82" customFormat="false" ht="15" hidden="false" customHeight="false" outlineLevel="0" collapsed="false">
      <c r="A82" s="50" t="str">
        <f aca="false">'Project Plan'!B113&amp;" "&amp;'Project Plan'!E113</f>
        <v>4.1.6 Staff console screens</v>
      </c>
      <c r="B82" s="6" t="s">
        <v>1037</v>
      </c>
      <c r="C82" s="52" t="n">
        <f aca="false">'Project Plan'!K113</f>
        <v>46394</v>
      </c>
      <c r="D82" s="52" t="n">
        <f aca="false">'Project Plan'!L113</f>
        <v>46456</v>
      </c>
      <c r="E82" s="50" t="str">
        <f aca="false">'Project Plan'!H113</f>
        <v>FE</v>
      </c>
      <c r="F82" s="53" t="n">
        <f aca="false">'Project Plan'!Z113</f>
        <v>50.6</v>
      </c>
      <c r="G82" s="6" t="s">
        <v>1030</v>
      </c>
      <c r="H82" s="50" t="str">
        <f aca="false">IF('Project Plan'!AB113="Done","Completed",IF('Project Plan'!AB113="Not started","Not started","In progress"))</f>
        <v>Not started</v>
      </c>
      <c r="I82" s="50" t="str">
        <f aca="false">"Task: Module 1: Property Tax &amp; Revenue Management. Deliverable: "&amp;'Project Plan'!AA113</f>
        <v>Task: Module 1: Property Tax &amp; Revenue Management. Deliverable: Staff screens</v>
      </c>
    </row>
    <row r="83" customFormat="false" ht="15" hidden="false" customHeight="false" outlineLevel="0" collapsed="false">
      <c r="A83" s="50" t="str">
        <f aca="false">'Project Plan'!B114&amp;" "&amp;'Project Plan'!E114</f>
        <v>4.1.7 Citizen portal and app services</v>
      </c>
      <c r="B83" s="6" t="s">
        <v>1037</v>
      </c>
      <c r="C83" s="52" t="n">
        <f aca="false">'Project Plan'!K114</f>
        <v>46409</v>
      </c>
      <c r="D83" s="52" t="n">
        <f aca="false">'Project Plan'!L114</f>
        <v>46456</v>
      </c>
      <c r="E83" s="50" t="str">
        <f aca="false">'Project Plan'!H114</f>
        <v>FE</v>
      </c>
      <c r="F83" s="53" t="n">
        <f aca="false">'Project Plan'!Z114</f>
        <v>36.8</v>
      </c>
      <c r="G83" s="6" t="s">
        <v>1030</v>
      </c>
      <c r="H83" s="50" t="str">
        <f aca="false">IF('Project Plan'!AB114="Done","Completed",IF('Project Plan'!AB114="Not started","Not started","In progress"))</f>
        <v>Not started</v>
      </c>
      <c r="I83" s="50" t="str">
        <f aca="false">"Task: Module 1: Property Tax &amp; Revenue Management. Deliverable: "&amp;'Project Plan'!AA114</f>
        <v>Task: Module 1: Property Tax &amp; Revenue Management. Deliverable: Citizen services live in MyGWMC</v>
      </c>
    </row>
    <row r="84" customFormat="false" ht="15" hidden="false" customHeight="false" outlineLevel="0" collapsed="false">
      <c r="A84" s="50" t="str">
        <f aca="false">'Project Plan'!B115&amp;" "&amp;'Project Plan'!E115</f>
        <v>4.1.8 Field app tasks (offline)</v>
      </c>
      <c r="B84" s="6" t="s">
        <v>1037</v>
      </c>
      <c r="C84" s="52" t="n">
        <f aca="false">'Project Plan'!K115</f>
        <v>46409</v>
      </c>
      <c r="D84" s="52" t="n">
        <f aca="false">'Project Plan'!L115</f>
        <v>46456</v>
      </c>
      <c r="E84" s="50" t="str">
        <f aca="false">'Project Plan'!H115</f>
        <v>MOB</v>
      </c>
      <c r="F84" s="53" t="n">
        <f aca="false">'Project Plan'!Z115</f>
        <v>24.15</v>
      </c>
      <c r="G84" s="6" t="s">
        <v>1030</v>
      </c>
      <c r="H84" s="50" t="str">
        <f aca="false">IF('Project Plan'!AB115="Done","Completed",IF('Project Plan'!AB115="Not started","Not started","In progress"))</f>
        <v>Not started</v>
      </c>
      <c r="I84" s="50" t="str">
        <f aca="false">"Task: Module 1: Property Tax &amp; Revenue Management. Deliverable: "&amp;'Project Plan'!AA115</f>
        <v>Task: Module 1: Property Tax &amp; Revenue Management. Deliverable: Field app plug-in</v>
      </c>
    </row>
    <row r="85" customFormat="false" ht="15" hidden="false" customHeight="false" outlineLevel="0" collapsed="false">
      <c r="A85" s="50" t="str">
        <f aca="false">'Project Plan'!B116&amp;" "&amp;'Project Plan'!E116</f>
        <v>4.1.9 GIS layers, map views and spatial checks</v>
      </c>
      <c r="B85" s="6" t="s">
        <v>1037</v>
      </c>
      <c r="C85" s="52" t="n">
        <f aca="false">'Project Plan'!K116</f>
        <v>46394</v>
      </c>
      <c r="D85" s="52" t="n">
        <f aca="false">'Project Plan'!L116</f>
        <v>46448</v>
      </c>
      <c r="E85" s="50" t="str">
        <f aca="false">'Project Plan'!H116</f>
        <v>GIS</v>
      </c>
      <c r="F85" s="53" t="n">
        <f aca="false">'Project Plan'!Z116</f>
        <v>20.7</v>
      </c>
      <c r="G85" s="6" t="s">
        <v>1030</v>
      </c>
      <c r="H85" s="50" t="str">
        <f aca="false">IF('Project Plan'!AB116="Done","Completed",IF('Project Plan'!AB116="Not started","Not started","In progress"))</f>
        <v>Not started</v>
      </c>
      <c r="I85" s="50" t="str">
        <f aca="false">"Task: Module 1: Property Tax &amp; Revenue Management. Deliverable: "&amp;'Project Plan'!AA116</f>
        <v>Task: Module 1: Property Tax &amp; Revenue Management. Deliverable: Layers and map features</v>
      </c>
    </row>
    <row r="86" customFormat="false" ht="15" hidden="false" customHeight="false" outlineLevel="0" collapsed="false">
      <c r="A86" s="50" t="str">
        <f aca="false">'Project Plan'!B117&amp;" "&amp;'Project Plan'!E117</f>
        <v>4.1.10 Module interfaces (16 I-xx links): events and APIs</v>
      </c>
      <c r="B86" s="6" t="s">
        <v>1037</v>
      </c>
      <c r="C86" s="52" t="n">
        <f aca="false">'Project Plan'!K117</f>
        <v>46419</v>
      </c>
      <c r="D86" s="52" t="n">
        <f aca="false">'Project Plan'!L117</f>
        <v>46461</v>
      </c>
      <c r="E86" s="50" t="str">
        <f aca="false">'Project Plan'!H117</f>
        <v>BE</v>
      </c>
      <c r="F86" s="53" t="n">
        <f aca="false">'Project Plan'!Z117</f>
        <v>27.6</v>
      </c>
      <c r="G86" s="6" t="s">
        <v>1030</v>
      </c>
      <c r="H86" s="50" t="str">
        <f aca="false">IF('Project Plan'!AB117="Done","Completed",IF('Project Plan'!AB117="Not started","Not started","In progress"))</f>
        <v>Not started</v>
      </c>
      <c r="I86" s="50" t="str">
        <f aca="false">"Task: Module 1: Property Tax &amp; Revenue Management. Deliverable: "&amp;'Project Plan'!AA117</f>
        <v>Task: Module 1: Property Tax &amp; Revenue Management. Deliverable: Contract-tested interfaces</v>
      </c>
    </row>
    <row r="87" customFormat="false" ht="15" hidden="false" customHeight="false" outlineLevel="0" collapsed="false">
      <c r="A87" s="50" t="str">
        <f aca="false">'Project Plan'!B118&amp;" "&amp;'Project Plan'!E118</f>
        <v>4.1.11 External system adapters (7)</v>
      </c>
      <c r="B87" s="6" t="s">
        <v>1037</v>
      </c>
      <c r="C87" s="52" t="n">
        <f aca="false">'Project Plan'!K118</f>
        <v>46409</v>
      </c>
      <c r="D87" s="52" t="n">
        <f aca="false">'Project Plan'!L118</f>
        <v>46461</v>
      </c>
      <c r="E87" s="50" t="str">
        <f aca="false">'Project Plan'!H118</f>
        <v>BE</v>
      </c>
      <c r="F87" s="53" t="n">
        <f aca="false">'Project Plan'!Z118</f>
        <v>48.3</v>
      </c>
      <c r="G87" s="6" t="s">
        <v>1030</v>
      </c>
      <c r="H87" s="50" t="str">
        <f aca="false">IF('Project Plan'!AB118="Done","Completed",IF('Project Plan'!AB118="Not started","Not started","In progress"))</f>
        <v>Not started</v>
      </c>
      <c r="I87" s="50" t="str">
        <f aca="false">"Task: Module 1: Property Tax &amp; Revenue Management. Deliverable: "&amp;'Project Plan'!AA118</f>
        <v>Task: Module 1: Property Tax &amp; Revenue Management. Deliverable: Adapters tested with provider sandboxes</v>
      </c>
    </row>
    <row r="88" customFormat="false" ht="15" hidden="false" customHeight="false" outlineLevel="0" collapsed="false">
      <c r="A88" s="50" t="str">
        <f aca="false">'Project Plan'!B119&amp;" "&amp;'Project Plan'!E119</f>
        <v>4.1.12 Reports, dashboards, notices and templates (all active languages)</v>
      </c>
      <c r="B88" s="6" t="s">
        <v>1037</v>
      </c>
      <c r="C88" s="52" t="n">
        <f aca="false">'Project Plan'!K119</f>
        <v>46434</v>
      </c>
      <c r="D88" s="52" t="n">
        <f aca="false">'Project Plan'!L119</f>
        <v>46463</v>
      </c>
      <c r="E88" s="50" t="str">
        <f aca="false">'Project Plan'!H119</f>
        <v>BE</v>
      </c>
      <c r="F88" s="53" t="n">
        <f aca="false">'Project Plan'!Z119</f>
        <v>20.7</v>
      </c>
      <c r="G88" s="6" t="s">
        <v>1030</v>
      </c>
      <c r="H88" s="50" t="str">
        <f aca="false">IF('Project Plan'!AB119="Done","Completed",IF('Project Plan'!AB119="Not started","Not started","In progress"))</f>
        <v>Not started</v>
      </c>
      <c r="I88" s="50" t="str">
        <f aca="false">"Task: Module 1: Property Tax &amp; Revenue Management. Deliverable: "&amp;'Project Plan'!AA119</f>
        <v>Task: Module 1: Property Tax &amp; Revenue Management. Deliverable: Reports and templates</v>
      </c>
    </row>
    <row r="89" customFormat="false" ht="15" hidden="false" customHeight="false" outlineLevel="0" collapsed="false">
      <c r="A89" s="50" t="str">
        <f aca="false">'Project Plan'!B120&amp;" "&amp;'Project Plan'!E120</f>
        <v>4.1.13 Data migration: CDMA property, demand and arrears</v>
      </c>
      <c r="B89" s="6" t="s">
        <v>1037</v>
      </c>
      <c r="C89" s="52" t="n">
        <f aca="false">'Project Plan'!K120</f>
        <v>46402</v>
      </c>
      <c r="D89" s="52" t="n">
        <f aca="false">'Project Plan'!L120</f>
        <v>46471</v>
      </c>
      <c r="E89" s="50" t="str">
        <f aca="false">'Project Plan'!H120</f>
        <v>DATA</v>
      </c>
      <c r="F89" s="53" t="n">
        <f aca="false">'Project Plan'!Z120</f>
        <v>28.75</v>
      </c>
      <c r="G89" s="6" t="s">
        <v>1030</v>
      </c>
      <c r="H89" s="50" t="str">
        <f aca="false">IF('Project Plan'!AB120="Done","Completed",IF('Project Plan'!AB120="Not started","Not started","In progress"))</f>
        <v>Not started</v>
      </c>
      <c r="I89" s="50" t="str">
        <f aca="false">"Task: Module 1: Property Tax &amp; Revenue Management. Deliverable: "&amp;'Project Plan'!AA120</f>
        <v>Task: Module 1: Property Tax &amp; Revenue Management. Deliverable: Migration scripts and reconciliation report</v>
      </c>
    </row>
    <row r="90" customFormat="false" ht="15" hidden="false" customHeight="false" outlineLevel="0" collapsed="false">
      <c r="A90" s="50" t="str">
        <f aca="false">'Project Plan'!B121&amp;" "&amp;'Project Plan'!E121</f>
        <v>4.1.14 System integration testing</v>
      </c>
      <c r="B90" s="6" t="s">
        <v>1037</v>
      </c>
      <c r="C90" s="52" t="n">
        <f aca="false">'Project Plan'!K121</f>
        <v>46451</v>
      </c>
      <c r="D90" s="52" t="n">
        <f aca="false">'Project Plan'!L121</f>
        <v>46476</v>
      </c>
      <c r="E90" s="50" t="str">
        <f aca="false">'Project Plan'!H121</f>
        <v>QA</v>
      </c>
      <c r="F90" s="53" t="n">
        <f aca="false">'Project Plan'!Z121</f>
        <v>41.4</v>
      </c>
      <c r="G90" s="6" t="s">
        <v>1030</v>
      </c>
      <c r="H90" s="50" t="str">
        <f aca="false">IF('Project Plan'!AB121="Done","Completed",IF('Project Plan'!AB121="Not started","Not started","In progress"))</f>
        <v>Not started</v>
      </c>
      <c r="I90" s="50" t="str">
        <f aca="false">"Task: Module 1: Property Tax &amp; Revenue Management. Deliverable: "&amp;'Project Plan'!AA121</f>
        <v>Task: Module 1: Property Tax &amp; Revenue Management. Deliverable: SIT report</v>
      </c>
    </row>
    <row r="91" customFormat="false" ht="15" hidden="false" customHeight="false" outlineLevel="0" collapsed="false">
      <c r="A91" s="50" t="str">
        <f aca="false">'Project Plan'!B122&amp;" "&amp;'Project Plan'!E122</f>
        <v>4.1.15 Defect fixing and regression</v>
      </c>
      <c r="B91" s="6" t="s">
        <v>1037</v>
      </c>
      <c r="C91" s="52" t="n">
        <f aca="false">'Project Plan'!K122</f>
        <v>46457</v>
      </c>
      <c r="D91" s="52" t="n">
        <f aca="false">'Project Plan'!L122</f>
        <v>46486</v>
      </c>
      <c r="E91" s="50" t="str">
        <f aca="false">'Project Plan'!H122</f>
        <v>BE</v>
      </c>
      <c r="F91" s="53" t="n">
        <f aca="false">'Project Plan'!Z122</f>
        <v>34.5</v>
      </c>
      <c r="G91" s="6" t="s">
        <v>1030</v>
      </c>
      <c r="H91" s="50" t="str">
        <f aca="false">IF('Project Plan'!AB122="Done","Completed",IF('Project Plan'!AB122="Not started","Not started","In progress"))</f>
        <v>Not started</v>
      </c>
      <c r="I91" s="50" t="str">
        <f aca="false">"Task: Module 1: Property Tax &amp; Revenue Management. Deliverable: "&amp;'Project Plan'!AA122</f>
        <v>Task: Module 1: Property Tax &amp; Revenue Management. Deliverable: Closed defects</v>
      </c>
    </row>
    <row r="92" customFormat="false" ht="15" hidden="false" customHeight="false" outlineLevel="0" collapsed="false">
      <c r="A92" s="50" t="str">
        <f aca="false">'Project Plan'!B123&amp;" "&amp;'Project Plan'!E123</f>
        <v>4.1.16 UAT support with GWMC department</v>
      </c>
      <c r="B92" s="6" t="s">
        <v>1037</v>
      </c>
      <c r="C92" s="52" t="n">
        <f aca="false">'Project Plan'!K123</f>
        <v>46477</v>
      </c>
      <c r="D92" s="52" t="n">
        <f aca="false">'Project Plan'!L123</f>
        <v>46491</v>
      </c>
      <c r="E92" s="50" t="str">
        <f aca="false">'Project Plan'!H123</f>
        <v>BA</v>
      </c>
      <c r="F92" s="53" t="n">
        <f aca="false">'Project Plan'!Z123</f>
        <v>20.7</v>
      </c>
      <c r="G92" s="6" t="s">
        <v>1030</v>
      </c>
      <c r="H92" s="50" t="str">
        <f aca="false">IF('Project Plan'!AB123="Done","Completed",IF('Project Plan'!AB123="Not started","Not started","In progress"))</f>
        <v>Not started</v>
      </c>
      <c r="I92" s="50" t="str">
        <f aca="false">"Task: Module 1: Property Tax &amp; Revenue Management. Deliverable: "&amp;'Project Plan'!AA123</f>
        <v>Task: Module 1: Property Tax &amp; Revenue Management. Deliverable: UAT sign-off</v>
      </c>
    </row>
    <row r="93" customFormat="false" ht="15" hidden="false" customHeight="false" outlineLevel="0" collapsed="false">
      <c r="A93" s="50" t="str">
        <f aca="false">'Project Plan'!B124&amp;" "&amp;'Project Plan'!E124</f>
        <v>4.1.17 Training material and department training</v>
      </c>
      <c r="B93" s="6" t="s">
        <v>1037</v>
      </c>
      <c r="C93" s="52" t="n">
        <f aca="false">'Project Plan'!K124</f>
        <v>46482</v>
      </c>
      <c r="D93" s="52" t="n">
        <f aca="false">'Project Plan'!L124</f>
        <v>46496</v>
      </c>
      <c r="E93" s="50" t="str">
        <f aca="false">'Project Plan'!H124</f>
        <v>TRN</v>
      </c>
      <c r="F93" s="53" t="n">
        <f aca="false">'Project Plan'!Z124</f>
        <v>17.25</v>
      </c>
      <c r="G93" s="6" t="s">
        <v>1030</v>
      </c>
      <c r="H93" s="50" t="str">
        <f aca="false">IF('Project Plan'!AB124="Done","Completed",IF('Project Plan'!AB124="Not started","Not started","In progress"))</f>
        <v>Not started</v>
      </c>
      <c r="I93" s="50" t="str">
        <f aca="false">"Task: Module 1: Property Tax &amp; Revenue Management. Deliverable: "&amp;'Project Plan'!AA124</f>
        <v>Task: Module 1: Property Tax &amp; Revenue Management. Deliverable: Trained users, manuals in Telugu and English</v>
      </c>
    </row>
    <row r="94" customFormat="false" ht="15" hidden="false" customHeight="false" outlineLevel="0" collapsed="false">
      <c r="A94" s="50" t="str">
        <f aca="false">'Project Plan'!B126&amp;" "&amp;'Project Plan'!E126</f>
        <v>4.2.1 Process validation workshops and to-be sign-off</v>
      </c>
      <c r="B94" s="6" t="s">
        <v>1038</v>
      </c>
      <c r="C94" s="52" t="n">
        <f aca="false">'Project Plan'!K126</f>
        <v>46356</v>
      </c>
      <c r="D94" s="52" t="n">
        <f aca="false">'Project Plan'!L126</f>
        <v>46372</v>
      </c>
      <c r="E94" s="50" t="str">
        <f aca="false">'Project Plan'!H126</f>
        <v>BA</v>
      </c>
      <c r="F94" s="53" t="n">
        <f aca="false">'Project Plan'!Z126</f>
        <v>19.55</v>
      </c>
      <c r="G94" s="6" t="s">
        <v>1030</v>
      </c>
      <c r="H94" s="50" t="str">
        <f aca="false">IF('Project Plan'!AB126="Done","Completed",IF('Project Plan'!AB126="Not started","Not started","In progress"))</f>
        <v>Not started</v>
      </c>
      <c r="I94" s="50" t="str">
        <f aca="false">"Task: Module 2: Water, Sewerage &amp; Utility Billing. Deliverable: "&amp;'Project Plan'!AA126</f>
        <v>Task: Module 2: Water, Sewerage &amp; Utility Billing. Deliverable: Signed process maps</v>
      </c>
    </row>
    <row r="95" customFormat="false" ht="15" hidden="false" customHeight="false" outlineLevel="0" collapsed="false">
      <c r="A95" s="50" t="str">
        <f aca="false">'Project Plan'!B127&amp;" "&amp;'Project Plan'!E127</f>
        <v>4.2.2 LLD, data model and API/event contracts</v>
      </c>
      <c r="B95" s="6" t="s">
        <v>1038</v>
      </c>
      <c r="C95" s="52" t="n">
        <f aca="false">'Project Plan'!K127</f>
        <v>46367</v>
      </c>
      <c r="D95" s="52" t="n">
        <f aca="false">'Project Plan'!L127</f>
        <v>46385</v>
      </c>
      <c r="E95" s="50" t="str">
        <f aca="false">'Project Plan'!H127</f>
        <v>ARC</v>
      </c>
      <c r="F95" s="53" t="n">
        <f aca="false">'Project Plan'!Z127</f>
        <v>18.4</v>
      </c>
      <c r="G95" s="6" t="s">
        <v>1030</v>
      </c>
      <c r="H95" s="50" t="str">
        <f aca="false">IF('Project Plan'!AB127="Done","Completed",IF('Project Plan'!AB127="Not started","Not started","In progress"))</f>
        <v>Not started</v>
      </c>
      <c r="I95" s="50" t="str">
        <f aca="false">"Task: Module 2: Water, Sewerage &amp; Utility Billing. Deliverable: "&amp;'Project Plan'!AA127</f>
        <v>Task: Module 2: Water, Sewerage &amp; Utility Billing. Deliverable: LLD, OpenAPI, schemas</v>
      </c>
    </row>
    <row r="96" customFormat="false" ht="15" hidden="false" customHeight="false" outlineLevel="0" collapsed="false">
      <c r="A96" s="50" t="str">
        <f aca="false">'Project Plan'!B128&amp;" "&amp;'Project Plan'!E128</f>
        <v>4.2.3 UX wireframes and UI design</v>
      </c>
      <c r="B96" s="6" t="s">
        <v>1038</v>
      </c>
      <c r="C96" s="52" t="n">
        <f aca="false">'Project Plan'!K128</f>
        <v>46367</v>
      </c>
      <c r="D96" s="52" t="n">
        <f aca="false">'Project Plan'!L128</f>
        <v>46385</v>
      </c>
      <c r="E96" s="50" t="str">
        <f aca="false">'Project Plan'!H128</f>
        <v>FE</v>
      </c>
      <c r="F96" s="53" t="n">
        <f aca="false">'Project Plan'!Z128</f>
        <v>14.95</v>
      </c>
      <c r="G96" s="6" t="s">
        <v>1030</v>
      </c>
      <c r="H96" s="50" t="str">
        <f aca="false">IF('Project Plan'!AB128="Done","Completed",IF('Project Plan'!AB128="Not started","Not started","In progress"))</f>
        <v>Not started</v>
      </c>
      <c r="I96" s="50" t="str">
        <f aca="false">"Task: Module 2: Water, Sewerage &amp; Utility Billing. Deliverable: "&amp;'Project Plan'!AA128</f>
        <v>Task: Module 2: Water, Sewerage &amp; Utility Billing. Deliverable: Approved wireframes</v>
      </c>
    </row>
    <row r="97" customFormat="false" ht="15" hidden="false" customHeight="false" outlineLevel="0" collapsed="false">
      <c r="A97" s="50" t="str">
        <f aca="false">'Project Plan'!B129&amp;" "&amp;'Project Plan'!E129</f>
        <v>4.2.4 Database schema, domain logic and APIs</v>
      </c>
      <c r="B97" s="6" t="s">
        <v>1038</v>
      </c>
      <c r="C97" s="52" t="n">
        <f aca="false">'Project Plan'!K129</f>
        <v>46384</v>
      </c>
      <c r="D97" s="52" t="n">
        <f aca="false">'Project Plan'!L129</f>
        <v>46448</v>
      </c>
      <c r="E97" s="50" t="str">
        <f aca="false">'Project Plan'!H129</f>
        <v>BE</v>
      </c>
      <c r="F97" s="53" t="n">
        <f aca="false">'Project Plan'!Z129</f>
        <v>57.5</v>
      </c>
      <c r="G97" s="6" t="s">
        <v>1030</v>
      </c>
      <c r="H97" s="50" t="str">
        <f aca="false">IF('Project Plan'!AB129="Done","Completed",IF('Project Plan'!AB129="Not started","Not started","In progress"))</f>
        <v>Not started</v>
      </c>
      <c r="I97" s="50" t="str">
        <f aca="false">"Task: Module 2: Water, Sewerage &amp; Utility Billing. Deliverable: "&amp;'Project Plan'!AA129</f>
        <v>Task: Module 2: Water, Sewerage &amp; Utility Billing. Deliverable: Service build</v>
      </c>
    </row>
    <row r="98" customFormat="false" ht="15" hidden="false" customHeight="false" outlineLevel="0" collapsed="false">
      <c r="A98" s="50" t="str">
        <f aca="false">'Project Plan'!B130&amp;" "&amp;'Project Plan'!E130</f>
        <v>4.2.5 Workflows (BPMN) and rules (DMN) configuration</v>
      </c>
      <c r="B98" s="6" t="s">
        <v>1038</v>
      </c>
      <c r="C98" s="52" t="n">
        <f aca="false">'Project Plan'!K130</f>
        <v>46402</v>
      </c>
      <c r="D98" s="52" t="n">
        <f aca="false">'Project Plan'!L130</f>
        <v>46449</v>
      </c>
      <c r="E98" s="50" t="str">
        <f aca="false">'Project Plan'!H130</f>
        <v>BE</v>
      </c>
      <c r="F98" s="53" t="n">
        <f aca="false">'Project Plan'!Z130</f>
        <v>27.6</v>
      </c>
      <c r="G98" s="6" t="s">
        <v>1030</v>
      </c>
      <c r="H98" s="50" t="str">
        <f aca="false">IF('Project Plan'!AB130="Done","Completed",IF('Project Plan'!AB130="Not started","Not started","In progress"))</f>
        <v>Not started</v>
      </c>
      <c r="I98" s="50" t="str">
        <f aca="false">"Task: Module 2: Water, Sewerage &amp; Utility Billing. Deliverable: "&amp;'Project Plan'!AA130</f>
        <v>Task: Module 2: Water, Sewerage &amp; Utility Billing. Deliverable: Deployed workflows and decision tables</v>
      </c>
    </row>
    <row r="99" customFormat="false" ht="15" hidden="false" customHeight="false" outlineLevel="0" collapsed="false">
      <c r="A99" s="50" t="str">
        <f aca="false">'Project Plan'!B131&amp;" "&amp;'Project Plan'!E131</f>
        <v>4.2.6 Staff console screens</v>
      </c>
      <c r="B99" s="6" t="s">
        <v>1038</v>
      </c>
      <c r="C99" s="52" t="n">
        <f aca="false">'Project Plan'!K131</f>
        <v>46394</v>
      </c>
      <c r="D99" s="52" t="n">
        <f aca="false">'Project Plan'!L131</f>
        <v>46456</v>
      </c>
      <c r="E99" s="50" t="str">
        <f aca="false">'Project Plan'!H131</f>
        <v>FE</v>
      </c>
      <c r="F99" s="53" t="n">
        <f aca="false">'Project Plan'!Z131</f>
        <v>48.3</v>
      </c>
      <c r="G99" s="6" t="s">
        <v>1030</v>
      </c>
      <c r="H99" s="50" t="str">
        <f aca="false">IF('Project Plan'!AB131="Done","Completed",IF('Project Plan'!AB131="Not started","Not started","In progress"))</f>
        <v>Not started</v>
      </c>
      <c r="I99" s="50" t="str">
        <f aca="false">"Task: Module 2: Water, Sewerage &amp; Utility Billing. Deliverable: "&amp;'Project Plan'!AA131</f>
        <v>Task: Module 2: Water, Sewerage &amp; Utility Billing. Deliverable: Staff screens</v>
      </c>
    </row>
    <row r="100" customFormat="false" ht="15" hidden="false" customHeight="false" outlineLevel="0" collapsed="false">
      <c r="A100" s="50" t="str">
        <f aca="false">'Project Plan'!B132&amp;" "&amp;'Project Plan'!E132</f>
        <v>4.2.7 Citizen portal and app services</v>
      </c>
      <c r="B100" s="6" t="s">
        <v>1038</v>
      </c>
      <c r="C100" s="52" t="n">
        <f aca="false">'Project Plan'!K132</f>
        <v>46409</v>
      </c>
      <c r="D100" s="52" t="n">
        <f aca="false">'Project Plan'!L132</f>
        <v>46456</v>
      </c>
      <c r="E100" s="50" t="str">
        <f aca="false">'Project Plan'!H132</f>
        <v>FE</v>
      </c>
      <c r="F100" s="53" t="n">
        <f aca="false">'Project Plan'!Z132</f>
        <v>34.5</v>
      </c>
      <c r="G100" s="6" t="s">
        <v>1030</v>
      </c>
      <c r="H100" s="50" t="str">
        <f aca="false">IF('Project Plan'!AB132="Done","Completed",IF('Project Plan'!AB132="Not started","Not started","In progress"))</f>
        <v>Not started</v>
      </c>
      <c r="I100" s="50" t="str">
        <f aca="false">"Task: Module 2: Water, Sewerage &amp; Utility Billing. Deliverable: "&amp;'Project Plan'!AA132</f>
        <v>Task: Module 2: Water, Sewerage &amp; Utility Billing. Deliverable: Citizen services live in MyGWMC</v>
      </c>
    </row>
    <row r="101" customFormat="false" ht="15" hidden="false" customHeight="false" outlineLevel="0" collapsed="false">
      <c r="A101" s="50" t="str">
        <f aca="false">'Project Plan'!B133&amp;" "&amp;'Project Plan'!E133</f>
        <v>4.2.8 Field app tasks (offline)</v>
      </c>
      <c r="B101" s="6" t="s">
        <v>1038</v>
      </c>
      <c r="C101" s="52" t="n">
        <f aca="false">'Project Plan'!K133</f>
        <v>46409</v>
      </c>
      <c r="D101" s="52" t="n">
        <f aca="false">'Project Plan'!L133</f>
        <v>46456</v>
      </c>
      <c r="E101" s="50" t="str">
        <f aca="false">'Project Plan'!H133</f>
        <v>MOB</v>
      </c>
      <c r="F101" s="53" t="n">
        <f aca="false">'Project Plan'!Z133</f>
        <v>23</v>
      </c>
      <c r="G101" s="6" t="s">
        <v>1030</v>
      </c>
      <c r="H101" s="50" t="str">
        <f aca="false">IF('Project Plan'!AB133="Done","Completed",IF('Project Plan'!AB133="Not started","Not started","In progress"))</f>
        <v>Not started</v>
      </c>
      <c r="I101" s="50" t="str">
        <f aca="false">"Task: Module 2: Water, Sewerage &amp; Utility Billing. Deliverable: "&amp;'Project Plan'!AA133</f>
        <v>Task: Module 2: Water, Sewerage &amp; Utility Billing. Deliverable: Field app plug-in</v>
      </c>
    </row>
    <row r="102" customFormat="false" ht="15" hidden="false" customHeight="false" outlineLevel="0" collapsed="false">
      <c r="A102" s="50" t="str">
        <f aca="false">'Project Plan'!B134&amp;" "&amp;'Project Plan'!E134</f>
        <v>4.2.9 GIS layers, map views and spatial checks</v>
      </c>
      <c r="B102" s="6" t="s">
        <v>1038</v>
      </c>
      <c r="C102" s="52" t="n">
        <f aca="false">'Project Plan'!K134</f>
        <v>46394</v>
      </c>
      <c r="D102" s="52" t="n">
        <f aca="false">'Project Plan'!L134</f>
        <v>46448</v>
      </c>
      <c r="E102" s="50" t="str">
        <f aca="false">'Project Plan'!H134</f>
        <v>GIS</v>
      </c>
      <c r="F102" s="53" t="n">
        <f aca="false">'Project Plan'!Z134</f>
        <v>19.55</v>
      </c>
      <c r="G102" s="6" t="s">
        <v>1030</v>
      </c>
      <c r="H102" s="50" t="str">
        <f aca="false">IF('Project Plan'!AB134="Done","Completed",IF('Project Plan'!AB134="Not started","Not started","In progress"))</f>
        <v>Not started</v>
      </c>
      <c r="I102" s="50" t="str">
        <f aca="false">"Task: Module 2: Water, Sewerage &amp; Utility Billing. Deliverable: "&amp;'Project Plan'!AA134</f>
        <v>Task: Module 2: Water, Sewerage &amp; Utility Billing. Deliverable: Layers and map features</v>
      </c>
    </row>
    <row r="103" customFormat="false" ht="15" hidden="false" customHeight="false" outlineLevel="0" collapsed="false">
      <c r="A103" s="50" t="str">
        <f aca="false">'Project Plan'!B135&amp;" "&amp;'Project Plan'!E135</f>
        <v>4.2.10 Module interfaces (17 I-xx links): events and APIs</v>
      </c>
      <c r="B103" s="6" t="s">
        <v>1038</v>
      </c>
      <c r="C103" s="52" t="n">
        <f aca="false">'Project Plan'!K135</f>
        <v>46419</v>
      </c>
      <c r="D103" s="52" t="n">
        <f aca="false">'Project Plan'!L135</f>
        <v>46461</v>
      </c>
      <c r="E103" s="50" t="str">
        <f aca="false">'Project Plan'!H135</f>
        <v>BE</v>
      </c>
      <c r="F103" s="53" t="n">
        <f aca="false">'Project Plan'!Z135</f>
        <v>29.9</v>
      </c>
      <c r="G103" s="6" t="s">
        <v>1030</v>
      </c>
      <c r="H103" s="50" t="str">
        <f aca="false">IF('Project Plan'!AB135="Done","Completed",IF('Project Plan'!AB135="Not started","Not started","In progress"))</f>
        <v>Not started</v>
      </c>
      <c r="I103" s="50" t="str">
        <f aca="false">"Task: Module 2: Water, Sewerage &amp; Utility Billing. Deliverable: "&amp;'Project Plan'!AA135</f>
        <v>Task: Module 2: Water, Sewerage &amp; Utility Billing. Deliverable: Contract-tested interfaces</v>
      </c>
    </row>
    <row r="104" customFormat="false" ht="15" hidden="false" customHeight="false" outlineLevel="0" collapsed="false">
      <c r="A104" s="50" t="str">
        <f aca="false">'Project Plan'!B136&amp;" "&amp;'Project Plan'!E136</f>
        <v>4.2.11 External system adapters (2)</v>
      </c>
      <c r="B104" s="6" t="s">
        <v>1038</v>
      </c>
      <c r="C104" s="52" t="n">
        <f aca="false">'Project Plan'!K136</f>
        <v>46409</v>
      </c>
      <c r="D104" s="52" t="n">
        <f aca="false">'Project Plan'!L136</f>
        <v>46461</v>
      </c>
      <c r="E104" s="50" t="str">
        <f aca="false">'Project Plan'!H136</f>
        <v>BE</v>
      </c>
      <c r="F104" s="53" t="n">
        <f aca="false">'Project Plan'!Z136</f>
        <v>13.8</v>
      </c>
      <c r="G104" s="6" t="s">
        <v>1030</v>
      </c>
      <c r="H104" s="50" t="str">
        <f aca="false">IF('Project Plan'!AB136="Done","Completed",IF('Project Plan'!AB136="Not started","Not started","In progress"))</f>
        <v>Not started</v>
      </c>
      <c r="I104" s="50" t="str">
        <f aca="false">"Task: Module 2: Water, Sewerage &amp; Utility Billing. Deliverable: "&amp;'Project Plan'!AA136</f>
        <v>Task: Module 2: Water, Sewerage &amp; Utility Billing. Deliverable: Adapters tested with provider sandboxes</v>
      </c>
    </row>
    <row r="105" customFormat="false" ht="15" hidden="false" customHeight="false" outlineLevel="0" collapsed="false">
      <c r="A105" s="50" t="str">
        <f aca="false">'Project Plan'!B137&amp;" "&amp;'Project Plan'!E137</f>
        <v>4.2.12 Reports, dashboards, notices and templates (all active languages)</v>
      </c>
      <c r="B105" s="6" t="s">
        <v>1038</v>
      </c>
      <c r="C105" s="52" t="n">
        <f aca="false">'Project Plan'!K137</f>
        <v>46434</v>
      </c>
      <c r="D105" s="52" t="n">
        <f aca="false">'Project Plan'!L137</f>
        <v>46463</v>
      </c>
      <c r="E105" s="50" t="str">
        <f aca="false">'Project Plan'!H137</f>
        <v>BE</v>
      </c>
      <c r="F105" s="53" t="n">
        <f aca="false">'Project Plan'!Z137</f>
        <v>19.55</v>
      </c>
      <c r="G105" s="6" t="s">
        <v>1030</v>
      </c>
      <c r="H105" s="50" t="str">
        <f aca="false">IF('Project Plan'!AB137="Done","Completed",IF('Project Plan'!AB137="Not started","Not started","In progress"))</f>
        <v>Not started</v>
      </c>
      <c r="I105" s="50" t="str">
        <f aca="false">"Task: Module 2: Water, Sewerage &amp; Utility Billing. Deliverable: "&amp;'Project Plan'!AA137</f>
        <v>Task: Module 2: Water, Sewerage &amp; Utility Billing. Deliverable: Reports and templates</v>
      </c>
    </row>
    <row r="106" customFormat="false" ht="15" hidden="false" customHeight="false" outlineLevel="0" collapsed="false">
      <c r="A106" s="50" t="str">
        <f aca="false">'Project Plan'!B138&amp;" "&amp;'Project Plan'!E138</f>
        <v>4.2.13 Data migration: consumer, meter and arrears data</v>
      </c>
      <c r="B106" s="6" t="s">
        <v>1038</v>
      </c>
      <c r="C106" s="52" t="n">
        <f aca="false">'Project Plan'!K138</f>
        <v>46402</v>
      </c>
      <c r="D106" s="52" t="n">
        <f aca="false">'Project Plan'!L138</f>
        <v>46471</v>
      </c>
      <c r="E106" s="50" t="str">
        <f aca="false">'Project Plan'!H138</f>
        <v>DATA</v>
      </c>
      <c r="F106" s="53" t="n">
        <f aca="false">'Project Plan'!Z138</f>
        <v>26.45</v>
      </c>
      <c r="G106" s="6" t="s">
        <v>1030</v>
      </c>
      <c r="H106" s="50" t="str">
        <f aca="false">IF('Project Plan'!AB138="Done","Completed",IF('Project Plan'!AB138="Not started","Not started","In progress"))</f>
        <v>Not started</v>
      </c>
      <c r="I106" s="50" t="str">
        <f aca="false">"Task: Module 2: Water, Sewerage &amp; Utility Billing. Deliverable: "&amp;'Project Plan'!AA138</f>
        <v>Task: Module 2: Water, Sewerage &amp; Utility Billing. Deliverable: Migration scripts and reconciliation report</v>
      </c>
    </row>
    <row r="107" customFormat="false" ht="15" hidden="false" customHeight="false" outlineLevel="0" collapsed="false">
      <c r="A107" s="50" t="str">
        <f aca="false">'Project Plan'!B139&amp;" "&amp;'Project Plan'!E139</f>
        <v>4.2.14 System integration testing</v>
      </c>
      <c r="B107" s="6" t="s">
        <v>1038</v>
      </c>
      <c r="C107" s="52" t="n">
        <f aca="false">'Project Plan'!K139</f>
        <v>46451</v>
      </c>
      <c r="D107" s="52" t="n">
        <f aca="false">'Project Plan'!L139</f>
        <v>46476</v>
      </c>
      <c r="E107" s="50" t="str">
        <f aca="false">'Project Plan'!H139</f>
        <v>QA</v>
      </c>
      <c r="F107" s="53" t="n">
        <f aca="false">'Project Plan'!Z139</f>
        <v>39.1</v>
      </c>
      <c r="G107" s="6" t="s">
        <v>1030</v>
      </c>
      <c r="H107" s="50" t="str">
        <f aca="false">IF('Project Plan'!AB139="Done","Completed",IF('Project Plan'!AB139="Not started","Not started","In progress"))</f>
        <v>Not started</v>
      </c>
      <c r="I107" s="50" t="str">
        <f aca="false">"Task: Module 2: Water, Sewerage &amp; Utility Billing. Deliverable: "&amp;'Project Plan'!AA139</f>
        <v>Task: Module 2: Water, Sewerage &amp; Utility Billing. Deliverable: SIT report</v>
      </c>
    </row>
    <row r="108" customFormat="false" ht="15" hidden="false" customHeight="false" outlineLevel="0" collapsed="false">
      <c r="A108" s="50" t="str">
        <f aca="false">'Project Plan'!B140&amp;" "&amp;'Project Plan'!E140</f>
        <v>4.2.15 Defect fixing and regression</v>
      </c>
      <c r="B108" s="6" t="s">
        <v>1038</v>
      </c>
      <c r="C108" s="52" t="n">
        <f aca="false">'Project Plan'!K140</f>
        <v>46457</v>
      </c>
      <c r="D108" s="52" t="n">
        <f aca="false">'Project Plan'!L140</f>
        <v>46486</v>
      </c>
      <c r="E108" s="50" t="str">
        <f aca="false">'Project Plan'!H140</f>
        <v>BE</v>
      </c>
      <c r="F108" s="53" t="n">
        <f aca="false">'Project Plan'!Z140</f>
        <v>32.2</v>
      </c>
      <c r="G108" s="6" t="s">
        <v>1030</v>
      </c>
      <c r="H108" s="50" t="str">
        <f aca="false">IF('Project Plan'!AB140="Done","Completed",IF('Project Plan'!AB140="Not started","Not started","In progress"))</f>
        <v>Not started</v>
      </c>
      <c r="I108" s="50" t="str">
        <f aca="false">"Task: Module 2: Water, Sewerage &amp; Utility Billing. Deliverable: "&amp;'Project Plan'!AA140</f>
        <v>Task: Module 2: Water, Sewerage &amp; Utility Billing. Deliverable: Closed defects</v>
      </c>
    </row>
    <row r="109" customFormat="false" ht="15" hidden="false" customHeight="false" outlineLevel="0" collapsed="false">
      <c r="A109" s="50" t="str">
        <f aca="false">'Project Plan'!B141&amp;" "&amp;'Project Plan'!E141</f>
        <v>4.2.16 UAT support with GWMC department</v>
      </c>
      <c r="B109" s="6" t="s">
        <v>1038</v>
      </c>
      <c r="C109" s="52" t="n">
        <f aca="false">'Project Plan'!K141</f>
        <v>46477</v>
      </c>
      <c r="D109" s="52" t="n">
        <f aca="false">'Project Plan'!L141</f>
        <v>46491</v>
      </c>
      <c r="E109" s="50" t="str">
        <f aca="false">'Project Plan'!H141</f>
        <v>BA</v>
      </c>
      <c r="F109" s="53" t="n">
        <f aca="false">'Project Plan'!Z141</f>
        <v>18.4</v>
      </c>
      <c r="G109" s="6" t="s">
        <v>1030</v>
      </c>
      <c r="H109" s="50" t="str">
        <f aca="false">IF('Project Plan'!AB141="Done","Completed",IF('Project Plan'!AB141="Not started","Not started","In progress"))</f>
        <v>Not started</v>
      </c>
      <c r="I109" s="50" t="str">
        <f aca="false">"Task: Module 2: Water, Sewerage &amp; Utility Billing. Deliverable: "&amp;'Project Plan'!AA141</f>
        <v>Task: Module 2: Water, Sewerage &amp; Utility Billing. Deliverable: UAT sign-off</v>
      </c>
    </row>
    <row r="110" customFormat="false" ht="15" hidden="false" customHeight="false" outlineLevel="0" collapsed="false">
      <c r="A110" s="50" t="str">
        <f aca="false">'Project Plan'!B142&amp;" "&amp;'Project Plan'!E142</f>
        <v>4.2.17 Training material and department training</v>
      </c>
      <c r="B110" s="6" t="s">
        <v>1038</v>
      </c>
      <c r="C110" s="52" t="n">
        <f aca="false">'Project Plan'!K142</f>
        <v>46482</v>
      </c>
      <c r="D110" s="52" t="n">
        <f aca="false">'Project Plan'!L142</f>
        <v>46496</v>
      </c>
      <c r="E110" s="50" t="str">
        <f aca="false">'Project Plan'!H142</f>
        <v>TRN</v>
      </c>
      <c r="F110" s="53" t="n">
        <f aca="false">'Project Plan'!Z142</f>
        <v>14.95</v>
      </c>
      <c r="G110" s="6" t="s">
        <v>1030</v>
      </c>
      <c r="H110" s="50" t="str">
        <f aca="false">IF('Project Plan'!AB142="Done","Completed",IF('Project Plan'!AB142="Not started","Not started","In progress"))</f>
        <v>Not started</v>
      </c>
      <c r="I110" s="50" t="str">
        <f aca="false">"Task: Module 2: Water, Sewerage &amp; Utility Billing. Deliverable: "&amp;'Project Plan'!AA142</f>
        <v>Task: Module 2: Water, Sewerage &amp; Utility Billing. Deliverable: Trained users, manuals in Telugu and English</v>
      </c>
    </row>
    <row r="111" customFormat="false" ht="15" hidden="false" customHeight="false" outlineLevel="0" collapsed="false">
      <c r="A111" s="50" t="str">
        <f aca="false">'Project Plan'!B144&amp;" "&amp;'Project Plan'!E144</f>
        <v>4.3.1 Process validation workshops and to-be sign-off</v>
      </c>
      <c r="B111" s="6" t="s">
        <v>1039</v>
      </c>
      <c r="C111" s="52" t="n">
        <f aca="false">'Project Plan'!K144</f>
        <v>46356</v>
      </c>
      <c r="D111" s="52" t="n">
        <f aca="false">'Project Plan'!L144</f>
        <v>46372</v>
      </c>
      <c r="E111" s="50" t="str">
        <f aca="false">'Project Plan'!H144</f>
        <v>BA</v>
      </c>
      <c r="F111" s="53" t="n">
        <f aca="false">'Project Plan'!Z144</f>
        <v>18.4</v>
      </c>
      <c r="G111" s="6" t="s">
        <v>1030</v>
      </c>
      <c r="H111" s="50" t="str">
        <f aca="false">IF('Project Plan'!AB144="Done","Completed",IF('Project Plan'!AB144="Not started","Not started","In progress"))</f>
        <v>Not started</v>
      </c>
      <c r="I111" s="50" t="str">
        <f aca="false">"Task: Module 3: Citizen Service Desk, Grievance &amp; RTI. Deliverable: "&amp;'Project Plan'!AA144</f>
        <v>Task: Module 3: Citizen Service Desk, Grievance &amp; RTI. Deliverable: Signed process maps</v>
      </c>
    </row>
    <row r="112" customFormat="false" ht="15" hidden="false" customHeight="false" outlineLevel="0" collapsed="false">
      <c r="A112" s="50" t="str">
        <f aca="false">'Project Plan'!B145&amp;" "&amp;'Project Plan'!E145</f>
        <v>4.3.2 LLD, data model and API/event contracts</v>
      </c>
      <c r="B112" s="6" t="s">
        <v>1039</v>
      </c>
      <c r="C112" s="52" t="n">
        <f aca="false">'Project Plan'!K145</f>
        <v>46367</v>
      </c>
      <c r="D112" s="52" t="n">
        <f aca="false">'Project Plan'!L145</f>
        <v>46385</v>
      </c>
      <c r="E112" s="50" t="str">
        <f aca="false">'Project Plan'!H145</f>
        <v>ARC</v>
      </c>
      <c r="F112" s="53" t="n">
        <f aca="false">'Project Plan'!Z145</f>
        <v>18.4</v>
      </c>
      <c r="G112" s="6" t="s">
        <v>1030</v>
      </c>
      <c r="H112" s="50" t="str">
        <f aca="false">IF('Project Plan'!AB145="Done","Completed",IF('Project Plan'!AB145="Not started","Not started","In progress"))</f>
        <v>Not started</v>
      </c>
      <c r="I112" s="50" t="str">
        <f aca="false">"Task: Module 3: Citizen Service Desk, Grievance &amp; RTI. Deliverable: "&amp;'Project Plan'!AA145</f>
        <v>Task: Module 3: Citizen Service Desk, Grievance &amp; RTI. Deliverable: LLD, OpenAPI, schemas</v>
      </c>
    </row>
    <row r="113" customFormat="false" ht="15" hidden="false" customHeight="false" outlineLevel="0" collapsed="false">
      <c r="A113" s="50" t="str">
        <f aca="false">'Project Plan'!B146&amp;" "&amp;'Project Plan'!E146</f>
        <v>4.3.3 UX wireframes and UI design</v>
      </c>
      <c r="B113" s="6" t="s">
        <v>1039</v>
      </c>
      <c r="C113" s="52" t="n">
        <f aca="false">'Project Plan'!K146</f>
        <v>46367</v>
      </c>
      <c r="D113" s="52" t="n">
        <f aca="false">'Project Plan'!L146</f>
        <v>46385</v>
      </c>
      <c r="E113" s="50" t="str">
        <f aca="false">'Project Plan'!H146</f>
        <v>FE</v>
      </c>
      <c r="F113" s="53" t="n">
        <f aca="false">'Project Plan'!Z146</f>
        <v>13.8</v>
      </c>
      <c r="G113" s="6" t="s">
        <v>1030</v>
      </c>
      <c r="H113" s="50" t="str">
        <f aca="false">IF('Project Plan'!AB146="Done","Completed",IF('Project Plan'!AB146="Not started","Not started","In progress"))</f>
        <v>Not started</v>
      </c>
      <c r="I113" s="50" t="str">
        <f aca="false">"Task: Module 3: Citizen Service Desk, Grievance &amp; RTI. Deliverable: "&amp;'Project Plan'!AA146</f>
        <v>Task: Module 3: Citizen Service Desk, Grievance &amp; RTI. Deliverable: Approved wireframes</v>
      </c>
    </row>
    <row r="114" customFormat="false" ht="15" hidden="false" customHeight="false" outlineLevel="0" collapsed="false">
      <c r="A114" s="50" t="str">
        <f aca="false">'Project Plan'!B147&amp;" "&amp;'Project Plan'!E147</f>
        <v>4.3.4 Database schema, domain logic and APIs</v>
      </c>
      <c r="B114" s="6" t="s">
        <v>1039</v>
      </c>
      <c r="C114" s="52" t="n">
        <f aca="false">'Project Plan'!K147</f>
        <v>46384</v>
      </c>
      <c r="D114" s="52" t="n">
        <f aca="false">'Project Plan'!L147</f>
        <v>46448</v>
      </c>
      <c r="E114" s="50" t="str">
        <f aca="false">'Project Plan'!H147</f>
        <v>BE</v>
      </c>
      <c r="F114" s="53" t="n">
        <f aca="false">'Project Plan'!Z147</f>
        <v>51.75</v>
      </c>
      <c r="G114" s="6" t="s">
        <v>1030</v>
      </c>
      <c r="H114" s="50" t="str">
        <f aca="false">IF('Project Plan'!AB147="Done","Completed",IF('Project Plan'!AB147="Not started","Not started","In progress"))</f>
        <v>Not started</v>
      </c>
      <c r="I114" s="50" t="str">
        <f aca="false">"Task: Module 3: Citizen Service Desk, Grievance &amp; RTI. Deliverable: "&amp;'Project Plan'!AA147</f>
        <v>Task: Module 3: Citizen Service Desk, Grievance &amp; RTI. Deliverable: Service build</v>
      </c>
    </row>
    <row r="115" customFormat="false" ht="15" hidden="false" customHeight="false" outlineLevel="0" collapsed="false">
      <c r="A115" s="50" t="str">
        <f aca="false">'Project Plan'!B148&amp;" "&amp;'Project Plan'!E148</f>
        <v>4.3.5 Workflows (BPMN) and rules (DMN) configuration</v>
      </c>
      <c r="B115" s="6" t="s">
        <v>1039</v>
      </c>
      <c r="C115" s="52" t="n">
        <f aca="false">'Project Plan'!K148</f>
        <v>46402</v>
      </c>
      <c r="D115" s="52" t="n">
        <f aca="false">'Project Plan'!L148</f>
        <v>46449</v>
      </c>
      <c r="E115" s="50" t="str">
        <f aca="false">'Project Plan'!H148</f>
        <v>BE</v>
      </c>
      <c r="F115" s="53" t="n">
        <f aca="false">'Project Plan'!Z148</f>
        <v>24.15</v>
      </c>
      <c r="G115" s="6" t="s">
        <v>1030</v>
      </c>
      <c r="H115" s="50" t="str">
        <f aca="false">IF('Project Plan'!AB148="Done","Completed",IF('Project Plan'!AB148="Not started","Not started","In progress"))</f>
        <v>Not started</v>
      </c>
      <c r="I115" s="50" t="str">
        <f aca="false">"Task: Module 3: Citizen Service Desk, Grievance &amp; RTI. Deliverable: "&amp;'Project Plan'!AA148</f>
        <v>Task: Module 3: Citizen Service Desk, Grievance &amp; RTI. Deliverable: Deployed workflows and decision tables</v>
      </c>
    </row>
    <row r="116" customFormat="false" ht="15" hidden="false" customHeight="false" outlineLevel="0" collapsed="false">
      <c r="A116" s="50" t="str">
        <f aca="false">'Project Plan'!B149&amp;" "&amp;'Project Plan'!E149</f>
        <v>4.3.6 Staff console screens</v>
      </c>
      <c r="B116" s="6" t="s">
        <v>1039</v>
      </c>
      <c r="C116" s="52" t="n">
        <f aca="false">'Project Plan'!K149</f>
        <v>46394</v>
      </c>
      <c r="D116" s="52" t="n">
        <f aca="false">'Project Plan'!L149</f>
        <v>46456</v>
      </c>
      <c r="E116" s="50" t="str">
        <f aca="false">'Project Plan'!H149</f>
        <v>FE</v>
      </c>
      <c r="F116" s="53" t="n">
        <f aca="false">'Project Plan'!Z149</f>
        <v>43.7</v>
      </c>
      <c r="G116" s="6" t="s">
        <v>1030</v>
      </c>
      <c r="H116" s="50" t="str">
        <f aca="false">IF('Project Plan'!AB149="Done","Completed",IF('Project Plan'!AB149="Not started","Not started","In progress"))</f>
        <v>Not started</v>
      </c>
      <c r="I116" s="50" t="str">
        <f aca="false">"Task: Module 3: Citizen Service Desk, Grievance &amp; RTI. Deliverable: "&amp;'Project Plan'!AA149</f>
        <v>Task: Module 3: Citizen Service Desk, Grievance &amp; RTI. Deliverable: Staff screens</v>
      </c>
    </row>
    <row r="117" customFormat="false" ht="15" hidden="false" customHeight="false" outlineLevel="0" collapsed="false">
      <c r="A117" s="50" t="str">
        <f aca="false">'Project Plan'!B150&amp;" "&amp;'Project Plan'!E150</f>
        <v>4.3.7 Citizen portal and app services</v>
      </c>
      <c r="B117" s="6" t="s">
        <v>1039</v>
      </c>
      <c r="C117" s="52" t="n">
        <f aca="false">'Project Plan'!K150</f>
        <v>46409</v>
      </c>
      <c r="D117" s="52" t="n">
        <f aca="false">'Project Plan'!L150</f>
        <v>46456</v>
      </c>
      <c r="E117" s="50" t="str">
        <f aca="false">'Project Plan'!H150</f>
        <v>FE</v>
      </c>
      <c r="F117" s="53" t="n">
        <f aca="false">'Project Plan'!Z150</f>
        <v>31.05</v>
      </c>
      <c r="G117" s="6" t="s">
        <v>1030</v>
      </c>
      <c r="H117" s="50" t="str">
        <f aca="false">IF('Project Plan'!AB150="Done","Completed",IF('Project Plan'!AB150="Not started","Not started","In progress"))</f>
        <v>Not started</v>
      </c>
      <c r="I117" s="50" t="str">
        <f aca="false">"Task: Module 3: Citizen Service Desk, Grievance &amp; RTI. Deliverable: "&amp;'Project Plan'!AA150</f>
        <v>Task: Module 3: Citizen Service Desk, Grievance &amp; RTI. Deliverable: Citizen services live in MyGWMC</v>
      </c>
    </row>
    <row r="118" customFormat="false" ht="15" hidden="false" customHeight="false" outlineLevel="0" collapsed="false">
      <c r="A118" s="50" t="str">
        <f aca="false">'Project Plan'!B151&amp;" "&amp;'Project Plan'!E151</f>
        <v>4.3.8 GIS layers, map views and spatial checks</v>
      </c>
      <c r="B118" s="6" t="s">
        <v>1039</v>
      </c>
      <c r="C118" s="52" t="n">
        <f aca="false">'Project Plan'!K151</f>
        <v>46394</v>
      </c>
      <c r="D118" s="52" t="n">
        <f aca="false">'Project Plan'!L151</f>
        <v>46448</v>
      </c>
      <c r="E118" s="50" t="str">
        <f aca="false">'Project Plan'!H151</f>
        <v>GIS</v>
      </c>
      <c r="F118" s="53" t="n">
        <f aca="false">'Project Plan'!Z151</f>
        <v>17.25</v>
      </c>
      <c r="G118" s="6" t="s">
        <v>1030</v>
      </c>
      <c r="H118" s="50" t="str">
        <f aca="false">IF('Project Plan'!AB151="Done","Completed",IF('Project Plan'!AB151="Not started","Not started","In progress"))</f>
        <v>Not started</v>
      </c>
      <c r="I118" s="50" t="str">
        <f aca="false">"Task: Module 3: Citizen Service Desk, Grievance &amp; RTI. Deliverable: "&amp;'Project Plan'!AA151</f>
        <v>Task: Module 3: Citizen Service Desk, Grievance &amp; RTI. Deliverable: Layers and map features</v>
      </c>
    </row>
    <row r="119" customFormat="false" ht="15" hidden="false" customHeight="false" outlineLevel="0" collapsed="false">
      <c r="A119" s="50" t="str">
        <f aca="false">'Project Plan'!B152&amp;" "&amp;'Project Plan'!E152</f>
        <v>4.3.9 Module interfaces (5 I-xx links): events and APIs</v>
      </c>
      <c r="B119" s="6" t="s">
        <v>1039</v>
      </c>
      <c r="C119" s="52" t="n">
        <f aca="false">'Project Plan'!K152</f>
        <v>46419</v>
      </c>
      <c r="D119" s="52" t="n">
        <f aca="false">'Project Plan'!L152</f>
        <v>46461</v>
      </c>
      <c r="E119" s="50" t="str">
        <f aca="false">'Project Plan'!H152</f>
        <v>BE</v>
      </c>
      <c r="F119" s="53" t="n">
        <f aca="false">'Project Plan'!Z152</f>
        <v>9.2</v>
      </c>
      <c r="G119" s="6" t="s">
        <v>1030</v>
      </c>
      <c r="H119" s="50" t="str">
        <f aca="false">IF('Project Plan'!AB152="Done","Completed",IF('Project Plan'!AB152="Not started","Not started","In progress"))</f>
        <v>Not started</v>
      </c>
      <c r="I119" s="50" t="str">
        <f aca="false">"Task: Module 3: Citizen Service Desk, Grievance &amp; RTI. Deliverable: "&amp;'Project Plan'!AA152</f>
        <v>Task: Module 3: Citizen Service Desk, Grievance &amp; RTI. Deliverable: Contract-tested interfaces</v>
      </c>
    </row>
    <row r="120" customFormat="false" ht="15" hidden="false" customHeight="false" outlineLevel="0" collapsed="false">
      <c r="A120" s="50" t="str">
        <f aca="false">'Project Plan'!B153&amp;" "&amp;'Project Plan'!E153</f>
        <v>4.3.10 External system adapters (6)</v>
      </c>
      <c r="B120" s="6" t="s">
        <v>1039</v>
      </c>
      <c r="C120" s="52" t="n">
        <f aca="false">'Project Plan'!K153</f>
        <v>46409</v>
      </c>
      <c r="D120" s="52" t="n">
        <f aca="false">'Project Plan'!L153</f>
        <v>46461</v>
      </c>
      <c r="E120" s="50" t="str">
        <f aca="false">'Project Plan'!H153</f>
        <v>BE</v>
      </c>
      <c r="F120" s="53" t="n">
        <f aca="false">'Project Plan'!Z153</f>
        <v>41.4</v>
      </c>
      <c r="G120" s="6" t="s">
        <v>1030</v>
      </c>
      <c r="H120" s="50" t="str">
        <f aca="false">IF('Project Plan'!AB153="Done","Completed",IF('Project Plan'!AB153="Not started","Not started","In progress"))</f>
        <v>Not started</v>
      </c>
      <c r="I120" s="50" t="str">
        <f aca="false">"Task: Module 3: Citizen Service Desk, Grievance &amp; RTI. Deliverable: "&amp;'Project Plan'!AA153</f>
        <v>Task: Module 3: Citizen Service Desk, Grievance &amp; RTI. Deliverable: Adapters tested with provider sandboxes</v>
      </c>
    </row>
    <row r="121" customFormat="false" ht="15" hidden="false" customHeight="false" outlineLevel="0" collapsed="false">
      <c r="A121" s="50" t="str">
        <f aca="false">'Project Plan'!B154&amp;" "&amp;'Project Plan'!E154</f>
        <v>4.3.11 Reports, dashboards, notices and templates (all active languages)</v>
      </c>
      <c r="B121" s="6" t="s">
        <v>1039</v>
      </c>
      <c r="C121" s="52" t="n">
        <f aca="false">'Project Plan'!K154</f>
        <v>46434</v>
      </c>
      <c r="D121" s="52" t="n">
        <f aca="false">'Project Plan'!L154</f>
        <v>46463</v>
      </c>
      <c r="E121" s="50" t="str">
        <f aca="false">'Project Plan'!H154</f>
        <v>BE</v>
      </c>
      <c r="F121" s="53" t="n">
        <f aca="false">'Project Plan'!Z154</f>
        <v>17.25</v>
      </c>
      <c r="G121" s="6" t="s">
        <v>1030</v>
      </c>
      <c r="H121" s="50" t="str">
        <f aca="false">IF('Project Plan'!AB154="Done","Completed",IF('Project Plan'!AB154="Not started","Not started","In progress"))</f>
        <v>Not started</v>
      </c>
      <c r="I121" s="50" t="str">
        <f aca="false">"Task: Module 3: Citizen Service Desk, Grievance &amp; RTI. Deliverable: "&amp;'Project Plan'!AA154</f>
        <v>Task: Module 3: Citizen Service Desk, Grievance &amp; RTI. Deliverable: Reports and templates</v>
      </c>
    </row>
    <row r="122" customFormat="false" ht="15" hidden="false" customHeight="false" outlineLevel="0" collapsed="false">
      <c r="A122" s="50" t="str">
        <f aca="false">'Project Plan'!B155&amp;" "&amp;'Project Plan'!E155</f>
        <v>4.3.12 System integration testing</v>
      </c>
      <c r="B122" s="6" t="s">
        <v>1039</v>
      </c>
      <c r="C122" s="52" t="n">
        <f aca="false">'Project Plan'!K155</f>
        <v>46451</v>
      </c>
      <c r="D122" s="52" t="n">
        <f aca="false">'Project Plan'!L155</f>
        <v>46476</v>
      </c>
      <c r="E122" s="50" t="str">
        <f aca="false">'Project Plan'!H155</f>
        <v>QA</v>
      </c>
      <c r="F122" s="53" t="n">
        <f aca="false">'Project Plan'!Z155</f>
        <v>34.5</v>
      </c>
      <c r="G122" s="6" t="s">
        <v>1030</v>
      </c>
      <c r="H122" s="50" t="str">
        <f aca="false">IF('Project Plan'!AB155="Done","Completed",IF('Project Plan'!AB155="Not started","Not started","In progress"))</f>
        <v>Not started</v>
      </c>
      <c r="I122" s="50" t="str">
        <f aca="false">"Task: Module 3: Citizen Service Desk, Grievance &amp; RTI. Deliverable: "&amp;'Project Plan'!AA155</f>
        <v>Task: Module 3: Citizen Service Desk, Grievance &amp; RTI. Deliverable: SIT report</v>
      </c>
    </row>
    <row r="123" customFormat="false" ht="15" hidden="false" customHeight="false" outlineLevel="0" collapsed="false">
      <c r="A123" s="50" t="str">
        <f aca="false">'Project Plan'!B156&amp;" "&amp;'Project Plan'!E156</f>
        <v>4.3.13 Defect fixing and regression</v>
      </c>
      <c r="B123" s="6" t="s">
        <v>1039</v>
      </c>
      <c r="C123" s="52" t="n">
        <f aca="false">'Project Plan'!K156</f>
        <v>46457</v>
      </c>
      <c r="D123" s="52" t="n">
        <f aca="false">'Project Plan'!L156</f>
        <v>46486</v>
      </c>
      <c r="E123" s="50" t="str">
        <f aca="false">'Project Plan'!H156</f>
        <v>BE</v>
      </c>
      <c r="F123" s="53" t="n">
        <f aca="false">'Project Plan'!Z156</f>
        <v>29.9</v>
      </c>
      <c r="G123" s="6" t="s">
        <v>1030</v>
      </c>
      <c r="H123" s="50" t="str">
        <f aca="false">IF('Project Plan'!AB156="Done","Completed",IF('Project Plan'!AB156="Not started","Not started","In progress"))</f>
        <v>Not started</v>
      </c>
      <c r="I123" s="50" t="str">
        <f aca="false">"Task: Module 3: Citizen Service Desk, Grievance &amp; RTI. Deliverable: "&amp;'Project Plan'!AA156</f>
        <v>Task: Module 3: Citizen Service Desk, Grievance &amp; RTI. Deliverable: Closed defects</v>
      </c>
    </row>
    <row r="124" customFormat="false" ht="15" hidden="false" customHeight="false" outlineLevel="0" collapsed="false">
      <c r="A124" s="50" t="str">
        <f aca="false">'Project Plan'!B157&amp;" "&amp;'Project Plan'!E157</f>
        <v>4.3.14 UAT support with GWMC department</v>
      </c>
      <c r="B124" s="6" t="s">
        <v>1039</v>
      </c>
      <c r="C124" s="52" t="n">
        <f aca="false">'Project Plan'!K157</f>
        <v>46477</v>
      </c>
      <c r="D124" s="52" t="n">
        <f aca="false">'Project Plan'!L157</f>
        <v>46491</v>
      </c>
      <c r="E124" s="50" t="str">
        <f aca="false">'Project Plan'!H157</f>
        <v>BA</v>
      </c>
      <c r="F124" s="53" t="n">
        <f aca="false">'Project Plan'!Z157</f>
        <v>18.4</v>
      </c>
      <c r="G124" s="6" t="s">
        <v>1030</v>
      </c>
      <c r="H124" s="50" t="str">
        <f aca="false">IF('Project Plan'!AB157="Done","Completed",IF('Project Plan'!AB157="Not started","Not started","In progress"))</f>
        <v>Not started</v>
      </c>
      <c r="I124" s="50" t="str">
        <f aca="false">"Task: Module 3: Citizen Service Desk, Grievance &amp; RTI. Deliverable: "&amp;'Project Plan'!AA157</f>
        <v>Task: Module 3: Citizen Service Desk, Grievance &amp; RTI. Deliverable: UAT sign-off</v>
      </c>
    </row>
    <row r="125" customFormat="false" ht="15" hidden="false" customHeight="false" outlineLevel="0" collapsed="false">
      <c r="A125" s="50" t="str">
        <f aca="false">'Project Plan'!B158&amp;" "&amp;'Project Plan'!E158</f>
        <v>4.3.15 Training material and department training</v>
      </c>
      <c r="B125" s="6" t="s">
        <v>1039</v>
      </c>
      <c r="C125" s="52" t="n">
        <f aca="false">'Project Plan'!K158</f>
        <v>46482</v>
      </c>
      <c r="D125" s="52" t="n">
        <f aca="false">'Project Plan'!L158</f>
        <v>46496</v>
      </c>
      <c r="E125" s="50" t="str">
        <f aca="false">'Project Plan'!H158</f>
        <v>TRN</v>
      </c>
      <c r="F125" s="53" t="n">
        <f aca="false">'Project Plan'!Z158</f>
        <v>13.8</v>
      </c>
      <c r="G125" s="6" t="s">
        <v>1030</v>
      </c>
      <c r="H125" s="50" t="str">
        <f aca="false">IF('Project Plan'!AB158="Done","Completed",IF('Project Plan'!AB158="Not started","Not started","In progress"))</f>
        <v>Not started</v>
      </c>
      <c r="I125" s="50" t="str">
        <f aca="false">"Task: Module 3: Citizen Service Desk, Grievance &amp; RTI. Deliverable: "&amp;'Project Plan'!AA158</f>
        <v>Task: Module 3: Citizen Service Desk, Grievance &amp; RTI. Deliverable: Trained users, manuals in Telugu and English</v>
      </c>
    </row>
    <row r="126" customFormat="false" ht="15" hidden="false" customHeight="false" outlineLevel="0" collapsed="false">
      <c r="A126" s="50" t="str">
        <f aca="false">'Project Plan'!B160&amp;" "&amp;'Project Plan'!E160</f>
        <v>4.4.1 Process validation workshops and to-be sign-off</v>
      </c>
      <c r="B126" s="6" t="s">
        <v>1040</v>
      </c>
      <c r="C126" s="52" t="n">
        <f aca="false">'Project Plan'!K160</f>
        <v>46356</v>
      </c>
      <c r="D126" s="52" t="n">
        <f aca="false">'Project Plan'!L160</f>
        <v>46372</v>
      </c>
      <c r="E126" s="50" t="str">
        <f aca="false">'Project Plan'!H160</f>
        <v>BA</v>
      </c>
      <c r="F126" s="53" t="n">
        <f aca="false">'Project Plan'!Z160</f>
        <v>18.4</v>
      </c>
      <c r="G126" s="6" t="s">
        <v>1030</v>
      </c>
      <c r="H126" s="50" t="str">
        <f aca="false">IF('Project Plan'!AB160="Done","Completed",IF('Project Plan'!AB160="Not started","Not started","In progress"))</f>
        <v>Not started</v>
      </c>
      <c r="I126" s="50" t="str">
        <f aca="false">"Task: Module 4: Finance &amp; Accounting. Deliverable: "&amp;'Project Plan'!AA160</f>
        <v>Task: Module 4: Finance &amp; Accounting. Deliverable: Signed process maps</v>
      </c>
    </row>
    <row r="127" customFormat="false" ht="15" hidden="false" customHeight="false" outlineLevel="0" collapsed="false">
      <c r="A127" s="50" t="str">
        <f aca="false">'Project Plan'!B161&amp;" "&amp;'Project Plan'!E161</f>
        <v>4.4.2 LLD, data model and API/event contracts</v>
      </c>
      <c r="B127" s="6" t="s">
        <v>1040</v>
      </c>
      <c r="C127" s="52" t="n">
        <f aca="false">'Project Plan'!K161</f>
        <v>46367</v>
      </c>
      <c r="D127" s="52" t="n">
        <f aca="false">'Project Plan'!L161</f>
        <v>46385</v>
      </c>
      <c r="E127" s="50" t="str">
        <f aca="false">'Project Plan'!H161</f>
        <v>ARC</v>
      </c>
      <c r="F127" s="53" t="n">
        <f aca="false">'Project Plan'!Z161</f>
        <v>18.4</v>
      </c>
      <c r="G127" s="6" t="s">
        <v>1030</v>
      </c>
      <c r="H127" s="50" t="str">
        <f aca="false">IF('Project Plan'!AB161="Done","Completed",IF('Project Plan'!AB161="Not started","Not started","In progress"))</f>
        <v>Not started</v>
      </c>
      <c r="I127" s="50" t="str">
        <f aca="false">"Task: Module 4: Finance &amp; Accounting. Deliverable: "&amp;'Project Plan'!AA161</f>
        <v>Task: Module 4: Finance &amp; Accounting. Deliverable: LLD, OpenAPI, schemas</v>
      </c>
    </row>
    <row r="128" customFormat="false" ht="15" hidden="false" customHeight="false" outlineLevel="0" collapsed="false">
      <c r="A128" s="50" t="str">
        <f aca="false">'Project Plan'!B162&amp;" "&amp;'Project Plan'!E162</f>
        <v>4.4.3 UX wireframes and UI design</v>
      </c>
      <c r="B128" s="6" t="s">
        <v>1040</v>
      </c>
      <c r="C128" s="52" t="n">
        <f aca="false">'Project Plan'!K162</f>
        <v>46367</v>
      </c>
      <c r="D128" s="52" t="n">
        <f aca="false">'Project Plan'!L162</f>
        <v>46385</v>
      </c>
      <c r="E128" s="50" t="str">
        <f aca="false">'Project Plan'!H162</f>
        <v>FE</v>
      </c>
      <c r="F128" s="53" t="n">
        <f aca="false">'Project Plan'!Z162</f>
        <v>13.8</v>
      </c>
      <c r="G128" s="6" t="s">
        <v>1030</v>
      </c>
      <c r="H128" s="50" t="str">
        <f aca="false">IF('Project Plan'!AB162="Done","Completed",IF('Project Plan'!AB162="Not started","Not started","In progress"))</f>
        <v>Not started</v>
      </c>
      <c r="I128" s="50" t="str">
        <f aca="false">"Task: Module 4: Finance &amp; Accounting. Deliverable: "&amp;'Project Plan'!AA162</f>
        <v>Task: Module 4: Finance &amp; Accounting. Deliverable: Approved wireframes</v>
      </c>
    </row>
    <row r="129" customFormat="false" ht="15" hidden="false" customHeight="false" outlineLevel="0" collapsed="false">
      <c r="A129" s="50" t="str">
        <f aca="false">'Project Plan'!B163&amp;" "&amp;'Project Plan'!E163</f>
        <v>4.4.4 Database schema, domain logic and APIs</v>
      </c>
      <c r="B129" s="6" t="s">
        <v>1040</v>
      </c>
      <c r="C129" s="52" t="n">
        <f aca="false">'Project Plan'!K163</f>
        <v>46384</v>
      </c>
      <c r="D129" s="52" t="n">
        <f aca="false">'Project Plan'!L163</f>
        <v>46448</v>
      </c>
      <c r="E129" s="50" t="str">
        <f aca="false">'Project Plan'!H163</f>
        <v>BE</v>
      </c>
      <c r="F129" s="53" t="n">
        <f aca="false">'Project Plan'!Z163</f>
        <v>51.75</v>
      </c>
      <c r="G129" s="6" t="s">
        <v>1030</v>
      </c>
      <c r="H129" s="50" t="str">
        <f aca="false">IF('Project Plan'!AB163="Done","Completed",IF('Project Plan'!AB163="Not started","Not started","In progress"))</f>
        <v>Not started</v>
      </c>
      <c r="I129" s="50" t="str">
        <f aca="false">"Task: Module 4: Finance &amp; Accounting. Deliverable: "&amp;'Project Plan'!AA163</f>
        <v>Task: Module 4: Finance &amp; Accounting. Deliverable: Service build</v>
      </c>
    </row>
    <row r="130" customFormat="false" ht="15" hidden="false" customHeight="false" outlineLevel="0" collapsed="false">
      <c r="A130" s="50" t="str">
        <f aca="false">'Project Plan'!B164&amp;" "&amp;'Project Plan'!E164</f>
        <v>4.4.5 Workflows (BPMN) and rules (DMN) configuration</v>
      </c>
      <c r="B130" s="6" t="s">
        <v>1040</v>
      </c>
      <c r="C130" s="52" t="n">
        <f aca="false">'Project Plan'!K164</f>
        <v>46402</v>
      </c>
      <c r="D130" s="52" t="n">
        <f aca="false">'Project Plan'!L164</f>
        <v>46449</v>
      </c>
      <c r="E130" s="50" t="str">
        <f aca="false">'Project Plan'!H164</f>
        <v>BE</v>
      </c>
      <c r="F130" s="53" t="n">
        <f aca="false">'Project Plan'!Z164</f>
        <v>24.15</v>
      </c>
      <c r="G130" s="6" t="s">
        <v>1030</v>
      </c>
      <c r="H130" s="50" t="str">
        <f aca="false">IF('Project Plan'!AB164="Done","Completed",IF('Project Plan'!AB164="Not started","Not started","In progress"))</f>
        <v>Not started</v>
      </c>
      <c r="I130" s="50" t="str">
        <f aca="false">"Task: Module 4: Finance &amp; Accounting. Deliverable: "&amp;'Project Plan'!AA164</f>
        <v>Task: Module 4: Finance &amp; Accounting. Deliverable: Deployed workflows and decision tables</v>
      </c>
    </row>
    <row r="131" customFormat="false" ht="15" hidden="false" customHeight="false" outlineLevel="0" collapsed="false">
      <c r="A131" s="50" t="str">
        <f aca="false">'Project Plan'!B165&amp;" "&amp;'Project Plan'!E165</f>
        <v>4.4.6 Staff console screens</v>
      </c>
      <c r="B131" s="6" t="s">
        <v>1040</v>
      </c>
      <c r="C131" s="52" t="n">
        <f aca="false">'Project Plan'!K165</f>
        <v>46394</v>
      </c>
      <c r="D131" s="52" t="n">
        <f aca="false">'Project Plan'!L165</f>
        <v>46456</v>
      </c>
      <c r="E131" s="50" t="str">
        <f aca="false">'Project Plan'!H165</f>
        <v>FE</v>
      </c>
      <c r="F131" s="53" t="n">
        <f aca="false">'Project Plan'!Z165</f>
        <v>43.7</v>
      </c>
      <c r="G131" s="6" t="s">
        <v>1030</v>
      </c>
      <c r="H131" s="50" t="str">
        <f aca="false">IF('Project Plan'!AB165="Done","Completed",IF('Project Plan'!AB165="Not started","Not started","In progress"))</f>
        <v>Not started</v>
      </c>
      <c r="I131" s="50" t="str">
        <f aca="false">"Task: Module 4: Finance &amp; Accounting. Deliverable: "&amp;'Project Plan'!AA165</f>
        <v>Task: Module 4: Finance &amp; Accounting. Deliverable: Staff screens</v>
      </c>
    </row>
    <row r="132" customFormat="false" ht="15" hidden="false" customHeight="false" outlineLevel="0" collapsed="false">
      <c r="A132" s="50" t="str">
        <f aca="false">'Project Plan'!B166&amp;" "&amp;'Project Plan'!E166</f>
        <v>4.4.7 Module interfaces (10 I-xx links): events and APIs</v>
      </c>
      <c r="B132" s="6" t="s">
        <v>1040</v>
      </c>
      <c r="C132" s="52" t="n">
        <f aca="false">'Project Plan'!K166</f>
        <v>46419</v>
      </c>
      <c r="D132" s="52" t="n">
        <f aca="false">'Project Plan'!L166</f>
        <v>46461</v>
      </c>
      <c r="E132" s="50" t="str">
        <f aca="false">'Project Plan'!H166</f>
        <v>BE</v>
      </c>
      <c r="F132" s="53" t="n">
        <f aca="false">'Project Plan'!Z166</f>
        <v>17.25</v>
      </c>
      <c r="G132" s="6" t="s">
        <v>1030</v>
      </c>
      <c r="H132" s="50" t="str">
        <f aca="false">IF('Project Plan'!AB166="Done","Completed",IF('Project Plan'!AB166="Not started","Not started","In progress"))</f>
        <v>Not started</v>
      </c>
      <c r="I132" s="50" t="str">
        <f aca="false">"Task: Module 4: Finance &amp; Accounting. Deliverable: "&amp;'Project Plan'!AA166</f>
        <v>Task: Module 4: Finance &amp; Accounting. Deliverable: Contract-tested interfaces</v>
      </c>
    </row>
    <row r="133" customFormat="false" ht="15" hidden="false" customHeight="false" outlineLevel="0" collapsed="false">
      <c r="A133" s="50" t="str">
        <f aca="false">'Project Plan'!B167&amp;" "&amp;'Project Plan'!E167</f>
        <v>4.4.8 External system adapters (5)</v>
      </c>
      <c r="B133" s="6" t="s">
        <v>1040</v>
      </c>
      <c r="C133" s="52" t="n">
        <f aca="false">'Project Plan'!K167</f>
        <v>46409</v>
      </c>
      <c r="D133" s="52" t="n">
        <f aca="false">'Project Plan'!L167</f>
        <v>46461</v>
      </c>
      <c r="E133" s="50" t="str">
        <f aca="false">'Project Plan'!H167</f>
        <v>BE</v>
      </c>
      <c r="F133" s="53" t="n">
        <f aca="false">'Project Plan'!Z167</f>
        <v>34.5</v>
      </c>
      <c r="G133" s="6" t="s">
        <v>1030</v>
      </c>
      <c r="H133" s="50" t="str">
        <f aca="false">IF('Project Plan'!AB167="Done","Completed",IF('Project Plan'!AB167="Not started","Not started","In progress"))</f>
        <v>Not started</v>
      </c>
      <c r="I133" s="50" t="str">
        <f aca="false">"Task: Module 4: Finance &amp; Accounting. Deliverable: "&amp;'Project Plan'!AA167</f>
        <v>Task: Module 4: Finance &amp; Accounting. Deliverable: Adapters tested with provider sandboxes</v>
      </c>
    </row>
    <row r="134" customFormat="false" ht="15" hidden="false" customHeight="false" outlineLevel="0" collapsed="false">
      <c r="A134" s="50" t="str">
        <f aca="false">'Project Plan'!B168&amp;" "&amp;'Project Plan'!E168</f>
        <v>4.4.9 Reports, dashboards, notices and templates (all active languages)</v>
      </c>
      <c r="B134" s="6" t="s">
        <v>1040</v>
      </c>
      <c r="C134" s="52" t="n">
        <f aca="false">'Project Plan'!K168</f>
        <v>46434</v>
      </c>
      <c r="D134" s="52" t="n">
        <f aca="false">'Project Plan'!L168</f>
        <v>46463</v>
      </c>
      <c r="E134" s="50" t="str">
        <f aca="false">'Project Plan'!H168</f>
        <v>BE</v>
      </c>
      <c r="F134" s="53" t="n">
        <f aca="false">'Project Plan'!Z168</f>
        <v>17.25</v>
      </c>
      <c r="G134" s="6" t="s">
        <v>1030</v>
      </c>
      <c r="H134" s="50" t="str">
        <f aca="false">IF('Project Plan'!AB168="Done","Completed",IF('Project Plan'!AB168="Not started","Not started","In progress"))</f>
        <v>Not started</v>
      </c>
      <c r="I134" s="50" t="str">
        <f aca="false">"Task: Module 4: Finance &amp; Accounting. Deliverable: "&amp;'Project Plan'!AA168</f>
        <v>Task: Module 4: Finance &amp; Accounting. Deliverable: Reports and templates</v>
      </c>
    </row>
    <row r="135" customFormat="false" ht="15" hidden="false" customHeight="false" outlineLevel="0" collapsed="false">
      <c r="A135" s="50" t="str">
        <f aca="false">'Project Plan'!B169&amp;" "&amp;'Project Plan'!E169</f>
        <v>4.4.10 Data migration: opening balances, budgets, vendors</v>
      </c>
      <c r="B135" s="6" t="s">
        <v>1040</v>
      </c>
      <c r="C135" s="52" t="n">
        <f aca="false">'Project Plan'!K169</f>
        <v>46402</v>
      </c>
      <c r="D135" s="52" t="n">
        <f aca="false">'Project Plan'!L169</f>
        <v>46471</v>
      </c>
      <c r="E135" s="50" t="str">
        <f aca="false">'Project Plan'!H169</f>
        <v>DATA</v>
      </c>
      <c r="F135" s="53" t="n">
        <f aca="false">'Project Plan'!Z169</f>
        <v>24.15</v>
      </c>
      <c r="G135" s="6" t="s">
        <v>1030</v>
      </c>
      <c r="H135" s="50" t="str">
        <f aca="false">IF('Project Plan'!AB169="Done","Completed",IF('Project Plan'!AB169="Not started","Not started","In progress"))</f>
        <v>Not started</v>
      </c>
      <c r="I135" s="50" t="str">
        <f aca="false">"Task: Module 4: Finance &amp; Accounting. Deliverable: "&amp;'Project Plan'!AA169</f>
        <v>Task: Module 4: Finance &amp; Accounting. Deliverable: Migration scripts and reconciliation report</v>
      </c>
    </row>
    <row r="136" customFormat="false" ht="15" hidden="false" customHeight="false" outlineLevel="0" collapsed="false">
      <c r="A136" s="50" t="str">
        <f aca="false">'Project Plan'!B170&amp;" "&amp;'Project Plan'!E170</f>
        <v>4.4.11 System integration testing</v>
      </c>
      <c r="B136" s="6" t="s">
        <v>1040</v>
      </c>
      <c r="C136" s="52" t="n">
        <f aca="false">'Project Plan'!K170</f>
        <v>46451</v>
      </c>
      <c r="D136" s="52" t="n">
        <f aca="false">'Project Plan'!L170</f>
        <v>46476</v>
      </c>
      <c r="E136" s="50" t="str">
        <f aca="false">'Project Plan'!H170</f>
        <v>QA</v>
      </c>
      <c r="F136" s="53" t="n">
        <f aca="false">'Project Plan'!Z170</f>
        <v>34.5</v>
      </c>
      <c r="G136" s="6" t="s">
        <v>1030</v>
      </c>
      <c r="H136" s="50" t="str">
        <f aca="false">IF('Project Plan'!AB170="Done","Completed",IF('Project Plan'!AB170="Not started","Not started","In progress"))</f>
        <v>Not started</v>
      </c>
      <c r="I136" s="50" t="str">
        <f aca="false">"Task: Module 4: Finance &amp; Accounting. Deliverable: "&amp;'Project Plan'!AA170</f>
        <v>Task: Module 4: Finance &amp; Accounting. Deliverable: SIT report</v>
      </c>
    </row>
    <row r="137" customFormat="false" ht="15" hidden="false" customHeight="false" outlineLevel="0" collapsed="false">
      <c r="A137" s="50" t="str">
        <f aca="false">'Project Plan'!B171&amp;" "&amp;'Project Plan'!E171</f>
        <v>4.4.12 Defect fixing and regression</v>
      </c>
      <c r="B137" s="6" t="s">
        <v>1040</v>
      </c>
      <c r="C137" s="52" t="n">
        <f aca="false">'Project Plan'!K171</f>
        <v>46457</v>
      </c>
      <c r="D137" s="52" t="n">
        <f aca="false">'Project Plan'!L171</f>
        <v>46486</v>
      </c>
      <c r="E137" s="50" t="str">
        <f aca="false">'Project Plan'!H171</f>
        <v>BE</v>
      </c>
      <c r="F137" s="53" t="n">
        <f aca="false">'Project Plan'!Z171</f>
        <v>29.9</v>
      </c>
      <c r="G137" s="6" t="s">
        <v>1030</v>
      </c>
      <c r="H137" s="50" t="str">
        <f aca="false">IF('Project Plan'!AB171="Done","Completed",IF('Project Plan'!AB171="Not started","Not started","In progress"))</f>
        <v>Not started</v>
      </c>
      <c r="I137" s="50" t="str">
        <f aca="false">"Task: Module 4: Finance &amp; Accounting. Deliverable: "&amp;'Project Plan'!AA171</f>
        <v>Task: Module 4: Finance &amp; Accounting. Deliverable: Closed defects</v>
      </c>
    </row>
    <row r="138" customFormat="false" ht="15" hidden="false" customHeight="false" outlineLevel="0" collapsed="false">
      <c r="A138" s="50" t="str">
        <f aca="false">'Project Plan'!B172&amp;" "&amp;'Project Plan'!E172</f>
        <v>4.4.13 UAT support with GWMC department</v>
      </c>
      <c r="B138" s="6" t="s">
        <v>1040</v>
      </c>
      <c r="C138" s="52" t="n">
        <f aca="false">'Project Plan'!K172</f>
        <v>46477</v>
      </c>
      <c r="D138" s="52" t="n">
        <f aca="false">'Project Plan'!L172</f>
        <v>46491</v>
      </c>
      <c r="E138" s="50" t="str">
        <f aca="false">'Project Plan'!H172</f>
        <v>BA</v>
      </c>
      <c r="F138" s="53" t="n">
        <f aca="false">'Project Plan'!Z172</f>
        <v>18.4</v>
      </c>
      <c r="G138" s="6" t="s">
        <v>1030</v>
      </c>
      <c r="H138" s="50" t="str">
        <f aca="false">IF('Project Plan'!AB172="Done","Completed",IF('Project Plan'!AB172="Not started","Not started","In progress"))</f>
        <v>Not started</v>
      </c>
      <c r="I138" s="50" t="str">
        <f aca="false">"Task: Module 4: Finance &amp; Accounting. Deliverable: "&amp;'Project Plan'!AA172</f>
        <v>Task: Module 4: Finance &amp; Accounting. Deliverable: UAT sign-off</v>
      </c>
    </row>
    <row r="139" customFormat="false" ht="15" hidden="false" customHeight="false" outlineLevel="0" collapsed="false">
      <c r="A139" s="50" t="str">
        <f aca="false">'Project Plan'!B173&amp;" "&amp;'Project Plan'!E173</f>
        <v>4.4.14 Training material and department training</v>
      </c>
      <c r="B139" s="6" t="s">
        <v>1040</v>
      </c>
      <c r="C139" s="52" t="n">
        <f aca="false">'Project Plan'!K173</f>
        <v>46482</v>
      </c>
      <c r="D139" s="52" t="n">
        <f aca="false">'Project Plan'!L173</f>
        <v>46496</v>
      </c>
      <c r="E139" s="50" t="str">
        <f aca="false">'Project Plan'!H173</f>
        <v>TRN</v>
      </c>
      <c r="F139" s="53" t="n">
        <f aca="false">'Project Plan'!Z173</f>
        <v>13.8</v>
      </c>
      <c r="G139" s="6" t="s">
        <v>1030</v>
      </c>
      <c r="H139" s="50" t="str">
        <f aca="false">IF('Project Plan'!AB173="Done","Completed",IF('Project Plan'!AB173="Not started","Not started","In progress"))</f>
        <v>Not started</v>
      </c>
      <c r="I139" s="50" t="str">
        <f aca="false">"Task: Module 4: Finance &amp; Accounting. Deliverable: "&amp;'Project Plan'!AA173</f>
        <v>Task: Module 4: Finance &amp; Accounting. Deliverable: Trained users, manuals in Telugu and English</v>
      </c>
    </row>
    <row r="140" customFormat="false" ht="15" hidden="false" customHeight="false" outlineLevel="0" collapsed="false">
      <c r="A140" s="50" t="str">
        <f aca="false">'Project Plan'!B175&amp;" "&amp;'Project Plan'!E175</f>
        <v>4.5.1 Process validation workshops and to-be sign-off</v>
      </c>
      <c r="B140" s="6" t="s">
        <v>1041</v>
      </c>
      <c r="C140" s="52" t="n">
        <f aca="false">'Project Plan'!K175</f>
        <v>46356</v>
      </c>
      <c r="D140" s="52" t="n">
        <f aca="false">'Project Plan'!L175</f>
        <v>46372</v>
      </c>
      <c r="E140" s="50" t="str">
        <f aca="false">'Project Plan'!H175</f>
        <v>BA</v>
      </c>
      <c r="F140" s="53" t="n">
        <f aca="false">'Project Plan'!Z175</f>
        <v>18.4</v>
      </c>
      <c r="G140" s="6" t="s">
        <v>1030</v>
      </c>
      <c r="H140" s="50" t="str">
        <f aca="false">IF('Project Plan'!AB175="Done","Completed",IF('Project Plan'!AB175="Not started","Not started","In progress"))</f>
        <v>Not started</v>
      </c>
      <c r="I140" s="50" t="str">
        <f aca="false">"Task: Module 9: Document Management System. Deliverable: "&amp;'Project Plan'!AA175</f>
        <v>Task: Module 9: Document Management System. Deliverable: Signed process maps</v>
      </c>
    </row>
    <row r="141" customFormat="false" ht="15" hidden="false" customHeight="false" outlineLevel="0" collapsed="false">
      <c r="A141" s="50" t="str">
        <f aca="false">'Project Plan'!B176&amp;" "&amp;'Project Plan'!E176</f>
        <v>4.5.2 LLD, data model and API/event contracts</v>
      </c>
      <c r="B141" s="6" t="s">
        <v>1041</v>
      </c>
      <c r="C141" s="52" t="n">
        <f aca="false">'Project Plan'!K176</f>
        <v>46367</v>
      </c>
      <c r="D141" s="52" t="n">
        <f aca="false">'Project Plan'!L176</f>
        <v>46385</v>
      </c>
      <c r="E141" s="50" t="str">
        <f aca="false">'Project Plan'!H176</f>
        <v>ARC</v>
      </c>
      <c r="F141" s="53" t="n">
        <f aca="false">'Project Plan'!Z176</f>
        <v>18.4</v>
      </c>
      <c r="G141" s="6" t="s">
        <v>1030</v>
      </c>
      <c r="H141" s="50" t="str">
        <f aca="false">IF('Project Plan'!AB176="Done","Completed",IF('Project Plan'!AB176="Not started","Not started","In progress"))</f>
        <v>Not started</v>
      </c>
      <c r="I141" s="50" t="str">
        <f aca="false">"Task: Module 9: Document Management System. Deliverable: "&amp;'Project Plan'!AA176</f>
        <v>Task: Module 9: Document Management System. Deliverable: LLD, OpenAPI, schemas</v>
      </c>
    </row>
    <row r="142" customFormat="false" ht="15" hidden="false" customHeight="false" outlineLevel="0" collapsed="false">
      <c r="A142" s="50" t="str">
        <f aca="false">'Project Plan'!B177&amp;" "&amp;'Project Plan'!E177</f>
        <v>4.5.3 UX wireframes and UI design</v>
      </c>
      <c r="B142" s="6" t="s">
        <v>1041</v>
      </c>
      <c r="C142" s="52" t="n">
        <f aca="false">'Project Plan'!K177</f>
        <v>46367</v>
      </c>
      <c r="D142" s="52" t="n">
        <f aca="false">'Project Plan'!L177</f>
        <v>46385</v>
      </c>
      <c r="E142" s="50" t="str">
        <f aca="false">'Project Plan'!H177</f>
        <v>FE</v>
      </c>
      <c r="F142" s="53" t="n">
        <f aca="false">'Project Plan'!Z177</f>
        <v>13.8</v>
      </c>
      <c r="G142" s="6" t="s">
        <v>1030</v>
      </c>
      <c r="H142" s="50" t="str">
        <f aca="false">IF('Project Plan'!AB177="Done","Completed",IF('Project Plan'!AB177="Not started","Not started","In progress"))</f>
        <v>Not started</v>
      </c>
      <c r="I142" s="50" t="str">
        <f aca="false">"Task: Module 9: Document Management System. Deliverable: "&amp;'Project Plan'!AA177</f>
        <v>Task: Module 9: Document Management System. Deliverable: Approved wireframes</v>
      </c>
    </row>
    <row r="143" customFormat="false" ht="15" hidden="false" customHeight="false" outlineLevel="0" collapsed="false">
      <c r="A143" s="50" t="str">
        <f aca="false">'Project Plan'!B178&amp;" "&amp;'Project Plan'!E178</f>
        <v>4.5.4 Database schema, domain logic and APIs</v>
      </c>
      <c r="B143" s="6" t="s">
        <v>1041</v>
      </c>
      <c r="C143" s="52" t="n">
        <f aca="false">'Project Plan'!K178</f>
        <v>46384</v>
      </c>
      <c r="D143" s="52" t="n">
        <f aca="false">'Project Plan'!L178</f>
        <v>46448</v>
      </c>
      <c r="E143" s="50" t="str">
        <f aca="false">'Project Plan'!H178</f>
        <v>BE</v>
      </c>
      <c r="F143" s="53" t="n">
        <f aca="false">'Project Plan'!Z178</f>
        <v>52.9</v>
      </c>
      <c r="G143" s="6" t="s">
        <v>1030</v>
      </c>
      <c r="H143" s="50" t="str">
        <f aca="false">IF('Project Plan'!AB178="Done","Completed",IF('Project Plan'!AB178="Not started","Not started","In progress"))</f>
        <v>Not started</v>
      </c>
      <c r="I143" s="50" t="str">
        <f aca="false">"Task: Module 9: Document Management System. Deliverable: "&amp;'Project Plan'!AA178</f>
        <v>Task: Module 9: Document Management System. Deliverable: Service build</v>
      </c>
    </row>
    <row r="144" customFormat="false" ht="15" hidden="false" customHeight="false" outlineLevel="0" collapsed="false">
      <c r="A144" s="50" t="str">
        <f aca="false">'Project Plan'!B179&amp;" "&amp;'Project Plan'!E179</f>
        <v>4.5.5 Workflows (BPMN) and rules (DMN) configuration</v>
      </c>
      <c r="B144" s="6" t="s">
        <v>1041</v>
      </c>
      <c r="C144" s="52" t="n">
        <f aca="false">'Project Plan'!K179</f>
        <v>46402</v>
      </c>
      <c r="D144" s="52" t="n">
        <f aca="false">'Project Plan'!L179</f>
        <v>46449</v>
      </c>
      <c r="E144" s="50" t="str">
        <f aca="false">'Project Plan'!H179</f>
        <v>BE</v>
      </c>
      <c r="F144" s="53" t="n">
        <f aca="false">'Project Plan'!Z179</f>
        <v>24.15</v>
      </c>
      <c r="G144" s="6" t="s">
        <v>1030</v>
      </c>
      <c r="H144" s="50" t="str">
        <f aca="false">IF('Project Plan'!AB179="Done","Completed",IF('Project Plan'!AB179="Not started","Not started","In progress"))</f>
        <v>Not started</v>
      </c>
      <c r="I144" s="50" t="str">
        <f aca="false">"Task: Module 9: Document Management System. Deliverable: "&amp;'Project Plan'!AA179</f>
        <v>Task: Module 9: Document Management System. Deliverable: Deployed workflows and decision tables</v>
      </c>
    </row>
    <row r="145" customFormat="false" ht="15" hidden="false" customHeight="false" outlineLevel="0" collapsed="false">
      <c r="A145" s="50" t="str">
        <f aca="false">'Project Plan'!B180&amp;" "&amp;'Project Plan'!E180</f>
        <v>4.5.6 Staff console screens</v>
      </c>
      <c r="B145" s="6" t="s">
        <v>1041</v>
      </c>
      <c r="C145" s="52" t="n">
        <f aca="false">'Project Plan'!K180</f>
        <v>46394</v>
      </c>
      <c r="D145" s="52" t="n">
        <f aca="false">'Project Plan'!L180</f>
        <v>46456</v>
      </c>
      <c r="E145" s="50" t="str">
        <f aca="false">'Project Plan'!H180</f>
        <v>FE</v>
      </c>
      <c r="F145" s="53" t="n">
        <f aca="false">'Project Plan'!Z180</f>
        <v>43.7</v>
      </c>
      <c r="G145" s="6" t="s">
        <v>1030</v>
      </c>
      <c r="H145" s="50" t="str">
        <f aca="false">IF('Project Plan'!AB180="Done","Completed",IF('Project Plan'!AB180="Not started","Not started","In progress"))</f>
        <v>Not started</v>
      </c>
      <c r="I145" s="50" t="str">
        <f aca="false">"Task: Module 9: Document Management System. Deliverable: "&amp;'Project Plan'!AA180</f>
        <v>Task: Module 9: Document Management System. Deliverable: Staff screens</v>
      </c>
    </row>
    <row r="146" customFormat="false" ht="15" hidden="false" customHeight="false" outlineLevel="0" collapsed="false">
      <c r="A146" s="50" t="str">
        <f aca="false">'Project Plan'!B181&amp;" "&amp;'Project Plan'!E181</f>
        <v>4.5.7 Citizen portal and app services</v>
      </c>
      <c r="B146" s="6" t="s">
        <v>1041</v>
      </c>
      <c r="C146" s="52" t="n">
        <f aca="false">'Project Plan'!K181</f>
        <v>46409</v>
      </c>
      <c r="D146" s="52" t="n">
        <f aca="false">'Project Plan'!L181</f>
        <v>46456</v>
      </c>
      <c r="E146" s="50" t="str">
        <f aca="false">'Project Plan'!H181</f>
        <v>FE</v>
      </c>
      <c r="F146" s="53" t="n">
        <f aca="false">'Project Plan'!Z181</f>
        <v>31.05</v>
      </c>
      <c r="G146" s="6" t="s">
        <v>1030</v>
      </c>
      <c r="H146" s="50" t="str">
        <f aca="false">IF('Project Plan'!AB181="Done","Completed",IF('Project Plan'!AB181="Not started","Not started","In progress"))</f>
        <v>Not started</v>
      </c>
      <c r="I146" s="50" t="str">
        <f aca="false">"Task: Module 9: Document Management System. Deliverable: "&amp;'Project Plan'!AA181</f>
        <v>Task: Module 9: Document Management System. Deliverable: Citizen services live in MyGWMC</v>
      </c>
    </row>
    <row r="147" customFormat="false" ht="15" hidden="false" customHeight="false" outlineLevel="0" collapsed="false">
      <c r="A147" s="50" t="str">
        <f aca="false">'Project Plan'!B182&amp;" "&amp;'Project Plan'!E182</f>
        <v>4.5.8 Module interfaces (3 I-xx links): events and APIs</v>
      </c>
      <c r="B147" s="6" t="s">
        <v>1041</v>
      </c>
      <c r="C147" s="52" t="n">
        <f aca="false">'Project Plan'!K182</f>
        <v>46419</v>
      </c>
      <c r="D147" s="52" t="n">
        <f aca="false">'Project Plan'!L182</f>
        <v>46461</v>
      </c>
      <c r="E147" s="50" t="str">
        <f aca="false">'Project Plan'!H182</f>
        <v>BE</v>
      </c>
      <c r="F147" s="53" t="n">
        <f aca="false">'Project Plan'!Z182</f>
        <v>4.6</v>
      </c>
      <c r="G147" s="6" t="s">
        <v>1030</v>
      </c>
      <c r="H147" s="50" t="str">
        <f aca="false">IF('Project Plan'!AB182="Done","Completed",IF('Project Plan'!AB182="Not started","Not started","In progress"))</f>
        <v>Not started</v>
      </c>
      <c r="I147" s="50" t="str">
        <f aca="false">"Task: Module 9: Document Management System. Deliverable: "&amp;'Project Plan'!AA182</f>
        <v>Task: Module 9: Document Management System. Deliverable: Contract-tested interfaces</v>
      </c>
    </row>
    <row r="148" customFormat="false" ht="15" hidden="false" customHeight="false" outlineLevel="0" collapsed="false">
      <c r="A148" s="50" t="str">
        <f aca="false">'Project Plan'!B183&amp;" "&amp;'Project Plan'!E183</f>
        <v>4.5.9 External system adapters (5)</v>
      </c>
      <c r="B148" s="6" t="s">
        <v>1041</v>
      </c>
      <c r="C148" s="52" t="n">
        <f aca="false">'Project Plan'!K183</f>
        <v>46409</v>
      </c>
      <c r="D148" s="52" t="n">
        <f aca="false">'Project Plan'!L183</f>
        <v>46461</v>
      </c>
      <c r="E148" s="50" t="str">
        <f aca="false">'Project Plan'!H183</f>
        <v>BE</v>
      </c>
      <c r="F148" s="53" t="n">
        <f aca="false">'Project Plan'!Z183</f>
        <v>34.5</v>
      </c>
      <c r="G148" s="6" t="s">
        <v>1030</v>
      </c>
      <c r="H148" s="50" t="str">
        <f aca="false">IF('Project Plan'!AB183="Done","Completed",IF('Project Plan'!AB183="Not started","Not started","In progress"))</f>
        <v>Not started</v>
      </c>
      <c r="I148" s="50" t="str">
        <f aca="false">"Task: Module 9: Document Management System. Deliverable: "&amp;'Project Plan'!AA183</f>
        <v>Task: Module 9: Document Management System. Deliverable: Adapters tested with provider sandboxes</v>
      </c>
    </row>
    <row r="149" customFormat="false" ht="15" hidden="false" customHeight="false" outlineLevel="0" collapsed="false">
      <c r="A149" s="50" t="str">
        <f aca="false">'Project Plan'!B184&amp;" "&amp;'Project Plan'!E184</f>
        <v>4.5.10 Reports, dashboards, notices and templates (all active languages)</v>
      </c>
      <c r="B149" s="6" t="s">
        <v>1041</v>
      </c>
      <c r="C149" s="52" t="n">
        <f aca="false">'Project Plan'!K184</f>
        <v>46434</v>
      </c>
      <c r="D149" s="52" t="n">
        <f aca="false">'Project Plan'!L184</f>
        <v>46463</v>
      </c>
      <c r="E149" s="50" t="str">
        <f aca="false">'Project Plan'!H184</f>
        <v>BE</v>
      </c>
      <c r="F149" s="53" t="n">
        <f aca="false">'Project Plan'!Z184</f>
        <v>17.25</v>
      </c>
      <c r="G149" s="6" t="s">
        <v>1030</v>
      </c>
      <c r="H149" s="50" t="str">
        <f aca="false">IF('Project Plan'!AB184="Done","Completed",IF('Project Plan'!AB184="Not started","Not started","In progress"))</f>
        <v>Not started</v>
      </c>
      <c r="I149" s="50" t="str">
        <f aca="false">"Task: Module 9: Document Management System. Deliverable: "&amp;'Project Plan'!AA184</f>
        <v>Task: Module 9: Document Management System. Deliverable: Reports and templates</v>
      </c>
    </row>
    <row r="150" customFormat="false" ht="15" hidden="false" customHeight="false" outlineLevel="0" collapsed="false">
      <c r="A150" s="50" t="str">
        <f aca="false">'Project Plan'!B185&amp;" "&amp;'Project Plan'!E185</f>
        <v>4.5.11 Data migration: legacy files for scanning and indexing</v>
      </c>
      <c r="B150" s="6" t="s">
        <v>1041</v>
      </c>
      <c r="C150" s="52" t="n">
        <f aca="false">'Project Plan'!K185</f>
        <v>46402</v>
      </c>
      <c r="D150" s="52" t="n">
        <f aca="false">'Project Plan'!L185</f>
        <v>46471</v>
      </c>
      <c r="E150" s="50" t="str">
        <f aca="false">'Project Plan'!H185</f>
        <v>DATA</v>
      </c>
      <c r="F150" s="53" t="n">
        <f aca="false">'Project Plan'!Z185</f>
        <v>24.15</v>
      </c>
      <c r="G150" s="6" t="s">
        <v>1030</v>
      </c>
      <c r="H150" s="50" t="str">
        <f aca="false">IF('Project Plan'!AB185="Done","Completed",IF('Project Plan'!AB185="Not started","Not started","In progress"))</f>
        <v>Not started</v>
      </c>
      <c r="I150" s="50" t="str">
        <f aca="false">"Task: Module 9: Document Management System. Deliverable: "&amp;'Project Plan'!AA185</f>
        <v>Task: Module 9: Document Management System. Deliverable: Migration scripts and reconciliation report</v>
      </c>
    </row>
    <row r="151" customFormat="false" ht="15" hidden="false" customHeight="false" outlineLevel="0" collapsed="false">
      <c r="A151" s="50" t="str">
        <f aca="false">'Project Plan'!B186&amp;" "&amp;'Project Plan'!E186</f>
        <v>4.5.12 System integration testing</v>
      </c>
      <c r="B151" s="6" t="s">
        <v>1041</v>
      </c>
      <c r="C151" s="52" t="n">
        <f aca="false">'Project Plan'!K186</f>
        <v>46451</v>
      </c>
      <c r="D151" s="52" t="n">
        <f aca="false">'Project Plan'!L186</f>
        <v>46476</v>
      </c>
      <c r="E151" s="50" t="str">
        <f aca="false">'Project Plan'!H186</f>
        <v>QA</v>
      </c>
      <c r="F151" s="53" t="n">
        <f aca="false">'Project Plan'!Z186</f>
        <v>34.5</v>
      </c>
      <c r="G151" s="6" t="s">
        <v>1030</v>
      </c>
      <c r="H151" s="50" t="str">
        <f aca="false">IF('Project Plan'!AB186="Done","Completed",IF('Project Plan'!AB186="Not started","Not started","In progress"))</f>
        <v>Not started</v>
      </c>
      <c r="I151" s="50" t="str">
        <f aca="false">"Task: Module 9: Document Management System. Deliverable: "&amp;'Project Plan'!AA186</f>
        <v>Task: Module 9: Document Management System. Deliverable: SIT report</v>
      </c>
    </row>
    <row r="152" customFormat="false" ht="15" hidden="false" customHeight="false" outlineLevel="0" collapsed="false">
      <c r="A152" s="50" t="str">
        <f aca="false">'Project Plan'!B187&amp;" "&amp;'Project Plan'!E187</f>
        <v>4.5.13 Defect fixing and regression</v>
      </c>
      <c r="B152" s="6" t="s">
        <v>1041</v>
      </c>
      <c r="C152" s="52" t="n">
        <f aca="false">'Project Plan'!K187</f>
        <v>46457</v>
      </c>
      <c r="D152" s="52" t="n">
        <f aca="false">'Project Plan'!L187</f>
        <v>46486</v>
      </c>
      <c r="E152" s="50" t="str">
        <f aca="false">'Project Plan'!H187</f>
        <v>BE</v>
      </c>
      <c r="F152" s="53" t="n">
        <f aca="false">'Project Plan'!Z187</f>
        <v>29.9</v>
      </c>
      <c r="G152" s="6" t="s">
        <v>1030</v>
      </c>
      <c r="H152" s="50" t="str">
        <f aca="false">IF('Project Plan'!AB187="Done","Completed",IF('Project Plan'!AB187="Not started","Not started","In progress"))</f>
        <v>Not started</v>
      </c>
      <c r="I152" s="50" t="str">
        <f aca="false">"Task: Module 9: Document Management System. Deliverable: "&amp;'Project Plan'!AA187</f>
        <v>Task: Module 9: Document Management System. Deliverable: Closed defects</v>
      </c>
    </row>
    <row r="153" customFormat="false" ht="15" hidden="false" customHeight="false" outlineLevel="0" collapsed="false">
      <c r="A153" s="50" t="str">
        <f aca="false">'Project Plan'!B188&amp;" "&amp;'Project Plan'!E188</f>
        <v>4.5.14 UAT support with GWMC department</v>
      </c>
      <c r="B153" s="6" t="s">
        <v>1041</v>
      </c>
      <c r="C153" s="52" t="n">
        <f aca="false">'Project Plan'!K188</f>
        <v>46477</v>
      </c>
      <c r="D153" s="52" t="n">
        <f aca="false">'Project Plan'!L188</f>
        <v>46491</v>
      </c>
      <c r="E153" s="50" t="str">
        <f aca="false">'Project Plan'!H188</f>
        <v>BA</v>
      </c>
      <c r="F153" s="53" t="n">
        <f aca="false">'Project Plan'!Z188</f>
        <v>18.4</v>
      </c>
      <c r="G153" s="6" t="s">
        <v>1030</v>
      </c>
      <c r="H153" s="50" t="str">
        <f aca="false">IF('Project Plan'!AB188="Done","Completed",IF('Project Plan'!AB188="Not started","Not started","In progress"))</f>
        <v>Not started</v>
      </c>
      <c r="I153" s="50" t="str">
        <f aca="false">"Task: Module 9: Document Management System. Deliverable: "&amp;'Project Plan'!AA188</f>
        <v>Task: Module 9: Document Management System. Deliverable: UAT sign-off</v>
      </c>
    </row>
    <row r="154" customFormat="false" ht="15" hidden="false" customHeight="false" outlineLevel="0" collapsed="false">
      <c r="A154" s="50" t="str">
        <f aca="false">'Project Plan'!B189&amp;" "&amp;'Project Plan'!E189</f>
        <v>4.5.15 Training material and department training</v>
      </c>
      <c r="B154" s="6" t="s">
        <v>1041</v>
      </c>
      <c r="C154" s="52" t="n">
        <f aca="false">'Project Plan'!K189</f>
        <v>46482</v>
      </c>
      <c r="D154" s="52" t="n">
        <f aca="false">'Project Plan'!L189</f>
        <v>46496</v>
      </c>
      <c r="E154" s="50" t="str">
        <f aca="false">'Project Plan'!H189</f>
        <v>TRN</v>
      </c>
      <c r="F154" s="53" t="n">
        <f aca="false">'Project Plan'!Z189</f>
        <v>13.8</v>
      </c>
      <c r="G154" s="6" t="s">
        <v>1030</v>
      </c>
      <c r="H154" s="50" t="str">
        <f aca="false">IF('Project Plan'!AB189="Done","Completed",IF('Project Plan'!AB189="Not started","Not started","In progress"))</f>
        <v>Not started</v>
      </c>
      <c r="I154" s="50" t="str">
        <f aca="false">"Task: Module 9: Document Management System. Deliverable: "&amp;'Project Plan'!AA189</f>
        <v>Task: Module 9: Document Management System. Deliverable: Trained users, manuals in Telugu and English</v>
      </c>
    </row>
    <row r="155" customFormat="false" ht="15" hidden="false" customHeight="false" outlineLevel="0" collapsed="false">
      <c r="A155" s="50" t="str">
        <f aca="false">'Project Plan'!B191&amp;" "&amp;'Project Plan'!E191</f>
        <v>4.6.1 End-to-end integration testing (SRS E2E scenarios)</v>
      </c>
      <c r="B155" s="6" t="s">
        <v>1042</v>
      </c>
      <c r="C155" s="52" t="n">
        <f aca="false">'Project Plan'!K191</f>
        <v>46469</v>
      </c>
      <c r="D155" s="52" t="n">
        <f aca="false">'Project Plan'!L191</f>
        <v>46483</v>
      </c>
      <c r="E155" s="50" t="str">
        <f aca="false">'Project Plan'!H191</f>
        <v>QA</v>
      </c>
      <c r="F155" s="53" t="n">
        <f aca="false">'Project Plan'!Z191</f>
        <v>34.5</v>
      </c>
      <c r="G155" s="6" t="s">
        <v>1030</v>
      </c>
      <c r="H155" s="50" t="str">
        <f aca="false">IF('Project Plan'!AB191="Done","Completed",IF('Project Plan'!AB191="Not started","Not started","In progress"))</f>
        <v>Not started</v>
      </c>
      <c r="I155" s="50" t="str">
        <f aca="false">"Task: Phase 1 release, testing and go-live. Deliverable: "&amp;'Project Plan'!AA191</f>
        <v>Task: Phase 1 release, testing and go-live. Deliverable: E2E report</v>
      </c>
    </row>
    <row r="156" customFormat="false" ht="15" hidden="false" customHeight="false" outlineLevel="0" collapsed="false">
      <c r="A156" s="50" t="str">
        <f aca="false">'Project Plan'!B192&amp;" "&amp;'Project Plan'!E192</f>
        <v>4.6.2 Performance and load testing (NFR-001/002)</v>
      </c>
      <c r="B156" s="6" t="s">
        <v>1042</v>
      </c>
      <c r="C156" s="52" t="n">
        <f aca="false">'Project Plan'!K192</f>
        <v>46472</v>
      </c>
      <c r="D156" s="52" t="n">
        <f aca="false">'Project Plan'!L192</f>
        <v>46483</v>
      </c>
      <c r="E156" s="50" t="str">
        <f aca="false">'Project Plan'!H192</f>
        <v>QA</v>
      </c>
      <c r="F156" s="53" t="n">
        <f aca="false">'Project Plan'!Z192</f>
        <v>18.4</v>
      </c>
      <c r="G156" s="6" t="s">
        <v>1030</v>
      </c>
      <c r="H156" s="50" t="str">
        <f aca="false">IF('Project Plan'!AB192="Done","Completed",IF('Project Plan'!AB192="Not started","Not started","In progress"))</f>
        <v>Not started</v>
      </c>
      <c r="I156" s="50" t="str">
        <f aca="false">"Task: Phase 1 release, testing and go-live. Deliverable: "&amp;'Project Plan'!AA192</f>
        <v>Task: Phase 1 release, testing and go-live. Deliverable: Performance report</v>
      </c>
    </row>
    <row r="157" customFormat="false" ht="15" hidden="false" customHeight="false" outlineLevel="0" collapsed="false">
      <c r="A157" s="50" t="str">
        <f aca="false">'Project Plan'!B193&amp;" "&amp;'Project Plan'!E193</f>
        <v>4.6.3 Security audit by CERT-In empanelled auditor and fixes</v>
      </c>
      <c r="B157" s="6" t="s">
        <v>1042</v>
      </c>
      <c r="C157" s="52" t="n">
        <f aca="false">'Project Plan'!K193</f>
        <v>46477</v>
      </c>
      <c r="D157" s="52" t="n">
        <f aca="false">'Project Plan'!L193</f>
        <v>46491</v>
      </c>
      <c r="E157" s="50" t="str">
        <f aca="false">'Project Plan'!H193</f>
        <v>QA</v>
      </c>
      <c r="F157" s="53" t="n">
        <f aca="false">'Project Plan'!Z193</f>
        <v>24.15</v>
      </c>
      <c r="G157" s="6" t="s">
        <v>1030</v>
      </c>
      <c r="H157" s="50" t="str">
        <f aca="false">IF('Project Plan'!AB193="Done","Completed",IF('Project Plan'!AB193="Not started","Not started","In progress"))</f>
        <v>Not started</v>
      </c>
      <c r="I157" s="50" t="str">
        <f aca="false">"Task: Phase 1 release, testing and go-live. Deliverable: "&amp;'Project Plan'!AA193</f>
        <v>Task: Phase 1 release, testing and go-live. Deliverable: Audit certificate</v>
      </c>
    </row>
    <row r="158" customFormat="false" ht="15" hidden="false" customHeight="false" outlineLevel="0" collapsed="false">
      <c r="A158" s="50" t="str">
        <f aca="false">'Project Plan'!B194&amp;" "&amp;'Project Plan'!E194</f>
        <v>4.6.4 Training of trainers and end-user training programme</v>
      </c>
      <c r="B158" s="6" t="s">
        <v>1042</v>
      </c>
      <c r="C158" s="52" t="n">
        <f aca="false">'Project Plan'!K194</f>
        <v>46484</v>
      </c>
      <c r="D158" s="52" t="n">
        <f aca="false">'Project Plan'!L194</f>
        <v>46498</v>
      </c>
      <c r="E158" s="50" t="str">
        <f aca="false">'Project Plan'!H194</f>
        <v>TRN</v>
      </c>
      <c r="F158" s="53" t="n">
        <f aca="false">'Project Plan'!Z194</f>
        <v>23</v>
      </c>
      <c r="G158" s="6" t="s">
        <v>1030</v>
      </c>
      <c r="H158" s="50" t="str">
        <f aca="false">IF('Project Plan'!AB194="Done","Completed",IF('Project Plan'!AB194="Not started","Not started","In progress"))</f>
        <v>Not started</v>
      </c>
      <c r="I158" s="50" t="str">
        <f aca="false">"Task: Phase 1 release, testing and go-live. Deliverable: "&amp;'Project Plan'!AA194</f>
        <v>Task: Phase 1 release, testing and go-live. Deliverable: Training attendance and feedback</v>
      </c>
    </row>
    <row r="159" customFormat="false" ht="15" hidden="false" customHeight="false" outlineLevel="0" collapsed="false">
      <c r="A159" s="50" t="str">
        <f aca="false">'Project Plan'!B195&amp;" "&amp;'Project Plan'!E195</f>
        <v>4.6.5 Migration dress rehearsal and cut-over plan</v>
      </c>
      <c r="B159" s="6" t="s">
        <v>1042</v>
      </c>
      <c r="C159" s="52" t="n">
        <f aca="false">'Project Plan'!K195</f>
        <v>46486</v>
      </c>
      <c r="D159" s="52" t="n">
        <f aca="false">'Project Plan'!L195</f>
        <v>46496</v>
      </c>
      <c r="E159" s="50" t="str">
        <f aca="false">'Project Plan'!H195</f>
        <v>DATA</v>
      </c>
      <c r="F159" s="53" t="n">
        <f aca="false">'Project Plan'!Z195</f>
        <v>14.95</v>
      </c>
      <c r="G159" s="6" t="s">
        <v>1030</v>
      </c>
      <c r="H159" s="50" t="str">
        <f aca="false">IF('Project Plan'!AB195="Done","Completed",IF('Project Plan'!AB195="Not started","Not started","In progress"))</f>
        <v>Not started</v>
      </c>
      <c r="I159" s="50" t="str">
        <f aca="false">"Task: Phase 1 release, testing and go-live. Deliverable: "&amp;'Project Plan'!AA195</f>
        <v>Task: Phase 1 release, testing and go-live. Deliverable: Cut-over runbook</v>
      </c>
    </row>
    <row r="160" customFormat="false" ht="15" hidden="false" customHeight="false" outlineLevel="0" collapsed="false">
      <c r="A160" s="50" t="str">
        <f aca="false">'Project Plan'!B196&amp;" "&amp;'Project Plan'!E196</f>
        <v>4.6.6 Production deployment and cut-over</v>
      </c>
      <c r="B160" s="6" t="s">
        <v>1042</v>
      </c>
      <c r="C160" s="52" t="n">
        <f aca="false">'Project Plan'!K196</f>
        <v>46497</v>
      </c>
      <c r="D160" s="52" t="n">
        <f aca="false">'Project Plan'!L196</f>
        <v>46498</v>
      </c>
      <c r="E160" s="50" t="str">
        <f aca="false">'Project Plan'!H196</f>
        <v>DEV</v>
      </c>
      <c r="F160" s="53" t="n">
        <f aca="false">'Project Plan'!Z196</f>
        <v>18.4</v>
      </c>
      <c r="G160" s="6" t="s">
        <v>1030</v>
      </c>
      <c r="H160" s="50" t="str">
        <f aca="false">IF('Project Plan'!AB196="Done","Completed",IF('Project Plan'!AB196="Not started","Not started","In progress"))</f>
        <v>Not started</v>
      </c>
      <c r="I160" s="50" t="str">
        <f aca="false">"Task: Phase 1 release, testing and go-live. Deliverable: "&amp;'Project Plan'!AA196</f>
        <v>Task: Phase 1 release, testing and go-live. Deliverable: Go-live</v>
      </c>
    </row>
    <row r="161" customFormat="false" ht="15" hidden="false" customHeight="false" outlineLevel="0" collapsed="false">
      <c r="A161" s="50" t="str">
        <f aca="false">'Project Plan'!B197&amp;" "&amp;'Project Plan'!E197</f>
        <v>4.7 M1: Phase 1 go-live</v>
      </c>
      <c r="B161" s="6" t="s">
        <v>1043</v>
      </c>
      <c r="C161" s="52" t="n">
        <f aca="false">'Project Plan'!K197</f>
        <v>46499</v>
      </c>
      <c r="D161" s="52" t="n">
        <f aca="false">'Project Plan'!L197</f>
        <v>46499</v>
      </c>
      <c r="E161" s="50" t="n">
        <f aca="false">'Project Plan'!H197</f>
        <v>0</v>
      </c>
      <c r="F161" s="53" t="n">
        <f aca="false">'Project Plan'!Z197</f>
        <v>0</v>
      </c>
      <c r="G161" s="6" t="s">
        <v>1035</v>
      </c>
      <c r="H161" s="50" t="str">
        <f aca="false">IF('Project Plan'!AB197="Done","Completed",IF('Project Plan'!AB197="Not started","Not started","In progress"))</f>
        <v>Not started</v>
      </c>
      <c r="I161" s="50" t="str">
        <f aca="false">"Task: Phase 1: Foundation and revenue core. Deliverable: "&amp;'Project Plan'!AA197</f>
        <v>Task: Phase 1: Foundation and revenue core. Deliverable: </v>
      </c>
    </row>
    <row r="162" customFormat="false" ht="15" hidden="false" customHeight="false" outlineLevel="0" collapsed="false">
      <c r="A162" s="50" t="str">
        <f aca="false">'Project Plan'!B198&amp;" "&amp;'Project Plan'!E198</f>
        <v>4.7.1 Hypercare and stabilisation (4 weeks)</v>
      </c>
      <c r="B162" s="6" t="s">
        <v>1042</v>
      </c>
      <c r="C162" s="52" t="n">
        <f aca="false">'Project Plan'!K198</f>
        <v>46499</v>
      </c>
      <c r="D162" s="52" t="n">
        <f aca="false">'Project Plan'!L198</f>
        <v>46521</v>
      </c>
      <c r="E162" s="50" t="str">
        <f aca="false">'Project Plan'!H198</f>
        <v>BE</v>
      </c>
      <c r="F162" s="53" t="n">
        <f aca="false">'Project Plan'!Z198</f>
        <v>33.35</v>
      </c>
      <c r="G162" s="6" t="s">
        <v>1030</v>
      </c>
      <c r="H162" s="50" t="str">
        <f aca="false">IF('Project Plan'!AB198="Done","Completed",IF('Project Plan'!AB198="Not started","Not started","In progress"))</f>
        <v>Not started</v>
      </c>
      <c r="I162" s="50" t="str">
        <f aca="false">"Task: M1: Phase 1 go-live. Deliverable: "&amp;'Project Plan'!AA198</f>
        <v>Task: M1: Phase 1 go-live. Deliverable: Hypercare closure report</v>
      </c>
    </row>
    <row r="163" customFormat="false" ht="15" hidden="false" customHeight="false" outlineLevel="0" collapsed="false">
      <c r="A163" s="50" t="str">
        <f aca="false">'Project Plan'!B199&amp;" "&amp;'Project Plan'!E199</f>
        <v>4.8 Phase 1 acceptance and sign-off</v>
      </c>
      <c r="B163" s="6" t="s">
        <v>1043</v>
      </c>
      <c r="C163" s="52" t="n">
        <f aca="false">'Project Plan'!K199</f>
        <v>46521</v>
      </c>
      <c r="D163" s="52" t="n">
        <f aca="false">'Project Plan'!L199</f>
        <v>46521</v>
      </c>
      <c r="E163" s="50" t="n">
        <f aca="false">'Project Plan'!H199</f>
        <v>0</v>
      </c>
      <c r="F163" s="53" t="n">
        <f aca="false">'Project Plan'!Z199</f>
        <v>0</v>
      </c>
      <c r="G163" s="6" t="s">
        <v>1035</v>
      </c>
      <c r="H163" s="50" t="str">
        <f aca="false">IF('Project Plan'!AB199="Done","Completed",IF('Project Plan'!AB199="Not started","Not started","In progress"))</f>
        <v>Not started</v>
      </c>
      <c r="I163" s="50" t="str">
        <f aca="false">"Task: Phase 1: Foundation and revenue core. Deliverable: "&amp;'Project Plan'!AA199</f>
        <v>Task: Phase 1: Foundation and revenue core. Deliverable: </v>
      </c>
    </row>
    <row r="164" customFormat="false" ht="15" hidden="false" customHeight="false" outlineLevel="0" collapsed="false">
      <c r="A164" s="50" t="str">
        <f aca="false">'Project Plan'!B200&amp;" "&amp;'Project Plan'!E200</f>
        <v>4.9 Phase 1 build mid-point (next phase design may start)</v>
      </c>
      <c r="B164" s="6" t="s">
        <v>1043</v>
      </c>
      <c r="C164" s="52" t="n">
        <f aca="false">'Project Plan'!K200</f>
        <v>46434</v>
      </c>
      <c r="D164" s="52" t="n">
        <f aca="false">'Project Plan'!L200</f>
        <v>46434</v>
      </c>
      <c r="E164" s="50" t="n">
        <f aca="false">'Project Plan'!H200</f>
        <v>0</v>
      </c>
      <c r="F164" s="53" t="n">
        <f aca="false">'Project Plan'!Z200</f>
        <v>0</v>
      </c>
      <c r="G164" s="6" t="s">
        <v>1035</v>
      </c>
      <c r="H164" s="50" t="str">
        <f aca="false">IF('Project Plan'!AB200="Done","Completed",IF('Project Plan'!AB200="Not started","Not started","In progress"))</f>
        <v>Not started</v>
      </c>
      <c r="I164" s="50" t="str">
        <f aca="false">"Task: Phase 1: Foundation and revenue core. Deliverable: "&amp;'Project Plan'!AA200</f>
        <v>Task: Phase 1: Foundation and revenue core. Deliverable: </v>
      </c>
    </row>
    <row r="165" customFormat="false" ht="15" hidden="false" customHeight="false" outlineLevel="0" collapsed="false">
      <c r="A165" s="50" t="str">
        <f aca="false">'Project Plan'!B203&amp;" "&amp;'Project Plan'!E203</f>
        <v>5.1.1 GIS elevation and 3D service (DTM, DSM, 3D Tiles)</v>
      </c>
      <c r="B165" s="6" t="s">
        <v>1044</v>
      </c>
      <c r="C165" s="52" t="n">
        <f aca="false">'Project Plan'!K203</f>
        <v>46469</v>
      </c>
      <c r="D165" s="52" t="n">
        <f aca="false">'Project Plan'!L203</f>
        <v>46549</v>
      </c>
      <c r="E165" s="50" t="str">
        <f aca="false">'Project Plan'!H203</f>
        <v>GIS</v>
      </c>
      <c r="F165" s="53" t="n">
        <f aca="false">'Project Plan'!Z203</f>
        <v>47.15</v>
      </c>
      <c r="G165" s="6" t="s">
        <v>1030</v>
      </c>
      <c r="H165" s="50" t="str">
        <f aca="false">IF('Project Plan'!AB203="Done","Completed",IF('Project Plan'!AB203="Not started","Not started","In progress"))</f>
        <v>Not started</v>
      </c>
      <c r="I165" s="50" t="str">
        <f aca="false">"Task: Platform increments for Phase 2. Deliverable: "&amp;'Project Plan'!AA203</f>
        <v>Task: Platform increments for Phase 2. Deliverable: Platform release</v>
      </c>
    </row>
    <row r="166" customFormat="false" ht="15" hidden="false" customHeight="false" outlineLevel="0" collapsed="false">
      <c r="A166" s="50" t="str">
        <f aca="false">'Project Plan'!B204&amp;" "&amp;'Project Plan'!E204</f>
        <v>5.1.2 Hand over ward and planning layers to Town Planning (I-20)</v>
      </c>
      <c r="B166" s="6" t="s">
        <v>1044</v>
      </c>
      <c r="C166" s="52" t="n">
        <f aca="false">'Project Plan'!K204</f>
        <v>46469</v>
      </c>
      <c r="D166" s="52" t="n">
        <f aca="false">'Project Plan'!L204</f>
        <v>46549</v>
      </c>
      <c r="E166" s="50" t="str">
        <f aca="false">'Project Plan'!H204</f>
        <v>GIS</v>
      </c>
      <c r="F166" s="53" t="n">
        <f aca="false">'Project Plan'!Z204</f>
        <v>14.95</v>
      </c>
      <c r="G166" s="6" t="s">
        <v>1030</v>
      </c>
      <c r="H166" s="50" t="str">
        <f aca="false">IF('Project Plan'!AB204="Done","Completed",IF('Project Plan'!AB204="Not started","Not started","In progress"))</f>
        <v>Not started</v>
      </c>
      <c r="I166" s="50" t="str">
        <f aca="false">"Task: Platform increments for Phase 2. Deliverable: "&amp;'Project Plan'!AA204</f>
        <v>Task: Platform increments for Phase 2. Deliverable: Platform release</v>
      </c>
    </row>
    <row r="167" customFormat="false" ht="15" hidden="false" customHeight="false" outlineLevel="0" collapsed="false">
      <c r="A167" s="50" t="str">
        <f aca="false">'Project Plan'!B206&amp;" "&amp;'Project Plan'!E206</f>
        <v>5.2.1 Process validation workshops and to-be sign-off</v>
      </c>
      <c r="B167" s="6" t="s">
        <v>1045</v>
      </c>
      <c r="C167" s="52" t="n">
        <f aca="false">'Project Plan'!K206</f>
        <v>46450</v>
      </c>
      <c r="D167" s="52" t="n">
        <f aca="false">'Project Plan'!L206</f>
        <v>46471</v>
      </c>
      <c r="E167" s="50" t="str">
        <f aca="false">'Project Plan'!H206</f>
        <v>BA</v>
      </c>
      <c r="F167" s="53" t="n">
        <f aca="false">'Project Plan'!Z206</f>
        <v>16.1</v>
      </c>
      <c r="G167" s="6" t="s">
        <v>1030</v>
      </c>
      <c r="H167" s="50" t="str">
        <f aca="false">IF('Project Plan'!AB206="Done","Completed",IF('Project Plan'!AB206="Not started","Not started","In progress"))</f>
        <v>Not started</v>
      </c>
      <c r="I167" s="50" t="str">
        <f aca="false">"Task: Module 5: Trade Licence Management. Deliverable: "&amp;'Project Plan'!AA206</f>
        <v>Task: Module 5: Trade Licence Management. Deliverable: Signed process maps</v>
      </c>
    </row>
    <row r="168" customFormat="false" ht="15" hidden="false" customHeight="false" outlineLevel="0" collapsed="false">
      <c r="A168" s="50" t="str">
        <f aca="false">'Project Plan'!B207&amp;" "&amp;'Project Plan'!E207</f>
        <v>5.2.2 LLD, data model and API/event contracts</v>
      </c>
      <c r="B168" s="6" t="s">
        <v>1045</v>
      </c>
      <c r="C168" s="52" t="n">
        <f aca="false">'Project Plan'!K207</f>
        <v>46465</v>
      </c>
      <c r="D168" s="52" t="n">
        <f aca="false">'Project Plan'!L207</f>
        <v>46486</v>
      </c>
      <c r="E168" s="50" t="str">
        <f aca="false">'Project Plan'!H207</f>
        <v>ARC</v>
      </c>
      <c r="F168" s="53" t="n">
        <f aca="false">'Project Plan'!Z207</f>
        <v>13.8</v>
      </c>
      <c r="G168" s="6" t="s">
        <v>1030</v>
      </c>
      <c r="H168" s="50" t="str">
        <f aca="false">IF('Project Plan'!AB207="Done","Completed",IF('Project Plan'!AB207="Not started","Not started","In progress"))</f>
        <v>Not started</v>
      </c>
      <c r="I168" s="50" t="str">
        <f aca="false">"Task: Module 5: Trade Licence Management. Deliverable: "&amp;'Project Plan'!AA207</f>
        <v>Task: Module 5: Trade Licence Management. Deliverable: LLD, OpenAPI, schemas</v>
      </c>
    </row>
    <row r="169" customFormat="false" ht="15" hidden="false" customHeight="false" outlineLevel="0" collapsed="false">
      <c r="A169" s="50" t="str">
        <f aca="false">'Project Plan'!B208&amp;" "&amp;'Project Plan'!E208</f>
        <v>5.2.3 UX wireframes and UI design</v>
      </c>
      <c r="B169" s="6" t="s">
        <v>1045</v>
      </c>
      <c r="C169" s="52" t="n">
        <f aca="false">'Project Plan'!K208</f>
        <v>46465</v>
      </c>
      <c r="D169" s="52" t="n">
        <f aca="false">'Project Plan'!L208</f>
        <v>46486</v>
      </c>
      <c r="E169" s="50" t="str">
        <f aca="false">'Project Plan'!H208</f>
        <v>FE</v>
      </c>
      <c r="F169" s="53" t="n">
        <f aca="false">'Project Plan'!Z208</f>
        <v>12.65</v>
      </c>
      <c r="G169" s="6" t="s">
        <v>1030</v>
      </c>
      <c r="H169" s="50" t="str">
        <f aca="false">IF('Project Plan'!AB208="Done","Completed",IF('Project Plan'!AB208="Not started","Not started","In progress"))</f>
        <v>Not started</v>
      </c>
      <c r="I169" s="50" t="str">
        <f aca="false">"Task: Module 5: Trade Licence Management. Deliverable: "&amp;'Project Plan'!AA208</f>
        <v>Task: Module 5: Trade Licence Management. Deliverable: Approved wireframes</v>
      </c>
    </row>
    <row r="170" customFormat="false" ht="15" hidden="false" customHeight="false" outlineLevel="0" collapsed="false">
      <c r="A170" s="50" t="str">
        <f aca="false">'Project Plan'!B209&amp;" "&amp;'Project Plan'!E209</f>
        <v>5.2.4 Database schema, domain logic and APIs</v>
      </c>
      <c r="B170" s="6" t="s">
        <v>1045</v>
      </c>
      <c r="C170" s="52" t="n">
        <f aca="false">'Project Plan'!K209</f>
        <v>46484</v>
      </c>
      <c r="D170" s="52" t="n">
        <f aca="false">'Project Plan'!L209</f>
        <v>46560</v>
      </c>
      <c r="E170" s="50" t="str">
        <f aca="false">'Project Plan'!H209</f>
        <v>BE</v>
      </c>
      <c r="F170" s="53" t="n">
        <f aca="false">'Project Plan'!Z209</f>
        <v>44.85</v>
      </c>
      <c r="G170" s="6" t="s">
        <v>1030</v>
      </c>
      <c r="H170" s="50" t="str">
        <f aca="false">IF('Project Plan'!AB209="Done","Completed",IF('Project Plan'!AB209="Not started","Not started","In progress"))</f>
        <v>Not started</v>
      </c>
      <c r="I170" s="50" t="str">
        <f aca="false">"Task: Module 5: Trade Licence Management. Deliverable: "&amp;'Project Plan'!AA209</f>
        <v>Task: Module 5: Trade Licence Management. Deliverable: Service build</v>
      </c>
    </row>
    <row r="171" customFormat="false" ht="15" hidden="false" customHeight="false" outlineLevel="0" collapsed="false">
      <c r="A171" s="50" t="str">
        <f aca="false">'Project Plan'!B210&amp;" "&amp;'Project Plan'!E210</f>
        <v>5.2.5 Workflows (BPMN) and rules (DMN) configuration</v>
      </c>
      <c r="B171" s="6" t="s">
        <v>1045</v>
      </c>
      <c r="C171" s="52" t="n">
        <f aca="false">'Project Plan'!K210</f>
        <v>46506</v>
      </c>
      <c r="D171" s="52" t="n">
        <f aca="false">'Project Plan'!L210</f>
        <v>46561</v>
      </c>
      <c r="E171" s="50" t="str">
        <f aca="false">'Project Plan'!H210</f>
        <v>BE</v>
      </c>
      <c r="F171" s="53" t="n">
        <f aca="false">'Project Plan'!Z210</f>
        <v>20.7</v>
      </c>
      <c r="G171" s="6" t="s">
        <v>1030</v>
      </c>
      <c r="H171" s="50" t="str">
        <f aca="false">IF('Project Plan'!AB210="Done","Completed",IF('Project Plan'!AB210="Not started","Not started","In progress"))</f>
        <v>Not started</v>
      </c>
      <c r="I171" s="50" t="str">
        <f aca="false">"Task: Module 5: Trade Licence Management. Deliverable: "&amp;'Project Plan'!AA210</f>
        <v>Task: Module 5: Trade Licence Management. Deliverable: Deployed workflows and decision tables</v>
      </c>
    </row>
    <row r="172" customFormat="false" ht="15" hidden="false" customHeight="false" outlineLevel="0" collapsed="false">
      <c r="A172" s="50" t="str">
        <f aca="false">'Project Plan'!B211&amp;" "&amp;'Project Plan'!E211</f>
        <v>5.2.6 Staff console screens</v>
      </c>
      <c r="B172" s="6" t="s">
        <v>1045</v>
      </c>
      <c r="C172" s="52" t="n">
        <f aca="false">'Project Plan'!K211</f>
        <v>46497</v>
      </c>
      <c r="D172" s="52" t="n">
        <f aca="false">'Project Plan'!L211</f>
        <v>46569</v>
      </c>
      <c r="E172" s="50" t="str">
        <f aca="false">'Project Plan'!H211</f>
        <v>FE</v>
      </c>
      <c r="F172" s="53" t="n">
        <f aca="false">'Project Plan'!Z211</f>
        <v>36.8</v>
      </c>
      <c r="G172" s="6" t="s">
        <v>1030</v>
      </c>
      <c r="H172" s="50" t="str">
        <f aca="false">IF('Project Plan'!AB211="Done","Completed",IF('Project Plan'!AB211="Not started","Not started","In progress"))</f>
        <v>Not started</v>
      </c>
      <c r="I172" s="50" t="str">
        <f aca="false">"Task: Module 5: Trade Licence Management. Deliverable: "&amp;'Project Plan'!AA211</f>
        <v>Task: Module 5: Trade Licence Management. Deliverable: Staff screens</v>
      </c>
    </row>
    <row r="173" customFormat="false" ht="15" hidden="false" customHeight="false" outlineLevel="0" collapsed="false">
      <c r="A173" s="50" t="str">
        <f aca="false">'Project Plan'!B212&amp;" "&amp;'Project Plan'!E212</f>
        <v>5.2.7 Citizen portal and app services</v>
      </c>
      <c r="B173" s="6" t="s">
        <v>1045</v>
      </c>
      <c r="C173" s="52" t="n">
        <f aca="false">'Project Plan'!K212</f>
        <v>46514</v>
      </c>
      <c r="D173" s="52" t="n">
        <f aca="false">'Project Plan'!L212</f>
        <v>46569</v>
      </c>
      <c r="E173" s="50" t="str">
        <f aca="false">'Project Plan'!H212</f>
        <v>FE</v>
      </c>
      <c r="F173" s="53" t="n">
        <f aca="false">'Project Plan'!Z212</f>
        <v>27.6</v>
      </c>
      <c r="G173" s="6" t="s">
        <v>1030</v>
      </c>
      <c r="H173" s="50" t="str">
        <f aca="false">IF('Project Plan'!AB212="Done","Completed",IF('Project Plan'!AB212="Not started","Not started","In progress"))</f>
        <v>Not started</v>
      </c>
      <c r="I173" s="50" t="str">
        <f aca="false">"Task: Module 5: Trade Licence Management. Deliverable: "&amp;'Project Plan'!AA212</f>
        <v>Task: Module 5: Trade Licence Management. Deliverable: Citizen services live in MyGWMC</v>
      </c>
    </row>
    <row r="174" customFormat="false" ht="15" hidden="false" customHeight="false" outlineLevel="0" collapsed="false">
      <c r="A174" s="50" t="str">
        <f aca="false">'Project Plan'!B213&amp;" "&amp;'Project Plan'!E213</f>
        <v>5.2.8 Field app tasks (offline)</v>
      </c>
      <c r="B174" s="6" t="s">
        <v>1045</v>
      </c>
      <c r="C174" s="52" t="n">
        <f aca="false">'Project Plan'!K213</f>
        <v>46514</v>
      </c>
      <c r="D174" s="52" t="n">
        <f aca="false">'Project Plan'!L213</f>
        <v>46569</v>
      </c>
      <c r="E174" s="50" t="str">
        <f aca="false">'Project Plan'!H213</f>
        <v>MOB</v>
      </c>
      <c r="F174" s="53" t="n">
        <f aca="false">'Project Plan'!Z213</f>
        <v>18.4</v>
      </c>
      <c r="G174" s="6" t="s">
        <v>1030</v>
      </c>
      <c r="H174" s="50" t="str">
        <f aca="false">IF('Project Plan'!AB213="Done","Completed",IF('Project Plan'!AB213="Not started","Not started","In progress"))</f>
        <v>Not started</v>
      </c>
      <c r="I174" s="50" t="str">
        <f aca="false">"Task: Module 5: Trade Licence Management. Deliverable: "&amp;'Project Plan'!AA213</f>
        <v>Task: Module 5: Trade Licence Management. Deliverable: Field app plug-in</v>
      </c>
    </row>
    <row r="175" customFormat="false" ht="15" hidden="false" customHeight="false" outlineLevel="0" collapsed="false">
      <c r="A175" s="50" t="str">
        <f aca="false">'Project Plan'!B214&amp;" "&amp;'Project Plan'!E214</f>
        <v>5.2.9 GIS layers, map views and spatial checks</v>
      </c>
      <c r="B175" s="6" t="s">
        <v>1045</v>
      </c>
      <c r="C175" s="52" t="n">
        <f aca="false">'Project Plan'!K214</f>
        <v>46497</v>
      </c>
      <c r="D175" s="52" t="n">
        <f aca="false">'Project Plan'!L214</f>
        <v>46560</v>
      </c>
      <c r="E175" s="50" t="str">
        <f aca="false">'Project Plan'!H214</f>
        <v>GIS</v>
      </c>
      <c r="F175" s="53" t="n">
        <f aca="false">'Project Plan'!Z214</f>
        <v>14.95</v>
      </c>
      <c r="G175" s="6" t="s">
        <v>1030</v>
      </c>
      <c r="H175" s="50" t="str">
        <f aca="false">IF('Project Plan'!AB214="Done","Completed",IF('Project Plan'!AB214="Not started","Not started","In progress"))</f>
        <v>Not started</v>
      </c>
      <c r="I175" s="50" t="str">
        <f aca="false">"Task: Module 5: Trade Licence Management. Deliverable: "&amp;'Project Plan'!AA214</f>
        <v>Task: Module 5: Trade Licence Management. Deliverable: Layers and map features</v>
      </c>
    </row>
    <row r="176" customFormat="false" ht="15" hidden="false" customHeight="false" outlineLevel="0" collapsed="false">
      <c r="A176" s="50" t="str">
        <f aca="false">'Project Plan'!B215&amp;" "&amp;'Project Plan'!E215</f>
        <v>5.2.10 Module interfaces (10 I-xx links): events and APIs</v>
      </c>
      <c r="B176" s="6" t="s">
        <v>1045</v>
      </c>
      <c r="C176" s="52" t="n">
        <f aca="false">'Project Plan'!K215</f>
        <v>46525</v>
      </c>
      <c r="D176" s="52" t="n">
        <f aca="false">'Project Plan'!L215</f>
        <v>46575</v>
      </c>
      <c r="E176" s="50" t="str">
        <f aca="false">'Project Plan'!H215</f>
        <v>BE</v>
      </c>
      <c r="F176" s="53" t="n">
        <f aca="false">'Project Plan'!Z215</f>
        <v>17.25</v>
      </c>
      <c r="G176" s="6" t="s">
        <v>1030</v>
      </c>
      <c r="H176" s="50" t="str">
        <f aca="false">IF('Project Plan'!AB215="Done","Completed",IF('Project Plan'!AB215="Not started","Not started","In progress"))</f>
        <v>Not started</v>
      </c>
      <c r="I176" s="50" t="str">
        <f aca="false">"Task: Module 5: Trade Licence Management. Deliverable: "&amp;'Project Plan'!AA215</f>
        <v>Task: Module 5: Trade Licence Management. Deliverable: Contract-tested interfaces</v>
      </c>
    </row>
    <row r="177" customFormat="false" ht="15" hidden="false" customHeight="false" outlineLevel="0" collapsed="false">
      <c r="A177" s="50" t="str">
        <f aca="false">'Project Plan'!B216&amp;" "&amp;'Project Plan'!E216</f>
        <v>5.2.11 External system adapters (3)</v>
      </c>
      <c r="B177" s="6" t="s">
        <v>1045</v>
      </c>
      <c r="C177" s="52" t="n">
        <f aca="false">'Project Plan'!K216</f>
        <v>46514</v>
      </c>
      <c r="D177" s="52" t="n">
        <f aca="false">'Project Plan'!L216</f>
        <v>46575</v>
      </c>
      <c r="E177" s="50" t="str">
        <f aca="false">'Project Plan'!H216</f>
        <v>BE</v>
      </c>
      <c r="F177" s="53" t="n">
        <f aca="false">'Project Plan'!Z216</f>
        <v>20.7</v>
      </c>
      <c r="G177" s="6" t="s">
        <v>1030</v>
      </c>
      <c r="H177" s="50" t="str">
        <f aca="false">IF('Project Plan'!AB216="Done","Completed",IF('Project Plan'!AB216="Not started","Not started","In progress"))</f>
        <v>Not started</v>
      </c>
      <c r="I177" s="50" t="str">
        <f aca="false">"Task: Module 5: Trade Licence Management. Deliverable: "&amp;'Project Plan'!AA216</f>
        <v>Task: Module 5: Trade Licence Management. Deliverable: Adapters tested with provider sandboxes</v>
      </c>
    </row>
    <row r="178" customFormat="false" ht="15" hidden="false" customHeight="false" outlineLevel="0" collapsed="false">
      <c r="A178" s="50" t="str">
        <f aca="false">'Project Plan'!B217&amp;" "&amp;'Project Plan'!E217</f>
        <v>5.2.12 Reports, dashboards, notices and templates (all active languages)</v>
      </c>
      <c r="B178" s="6" t="s">
        <v>1045</v>
      </c>
      <c r="C178" s="52" t="n">
        <f aca="false">'Project Plan'!K217</f>
        <v>46542</v>
      </c>
      <c r="D178" s="52" t="n">
        <f aca="false">'Project Plan'!L217</f>
        <v>46577</v>
      </c>
      <c r="E178" s="50" t="str">
        <f aca="false">'Project Plan'!H217</f>
        <v>BE</v>
      </c>
      <c r="F178" s="53" t="n">
        <f aca="false">'Project Plan'!Z217</f>
        <v>14.95</v>
      </c>
      <c r="G178" s="6" t="s">
        <v>1030</v>
      </c>
      <c r="H178" s="50" t="str">
        <f aca="false">IF('Project Plan'!AB217="Done","Completed",IF('Project Plan'!AB217="Not started","Not started","In progress"))</f>
        <v>Not started</v>
      </c>
      <c r="I178" s="50" t="str">
        <f aca="false">"Task: Module 5: Trade Licence Management. Deliverable: "&amp;'Project Plan'!AA217</f>
        <v>Task: Module 5: Trade Licence Management. Deliverable: Reports and templates</v>
      </c>
    </row>
    <row r="179" customFormat="false" ht="15" hidden="false" customHeight="false" outlineLevel="0" collapsed="false">
      <c r="A179" s="50" t="str">
        <f aca="false">'Project Plan'!B218&amp;" "&amp;'Project Plan'!E218</f>
        <v>5.2.13 Data migration: existing licences</v>
      </c>
      <c r="B179" s="6" t="s">
        <v>1045</v>
      </c>
      <c r="C179" s="52" t="n">
        <f aca="false">'Project Plan'!K218</f>
        <v>46506</v>
      </c>
      <c r="D179" s="52" t="n">
        <f aca="false">'Project Plan'!L218</f>
        <v>46588</v>
      </c>
      <c r="E179" s="50" t="str">
        <f aca="false">'Project Plan'!H218</f>
        <v>DATA</v>
      </c>
      <c r="F179" s="53" t="n">
        <f aca="false">'Project Plan'!Z218</f>
        <v>21.85</v>
      </c>
      <c r="G179" s="6" t="s">
        <v>1030</v>
      </c>
      <c r="H179" s="50" t="str">
        <f aca="false">IF('Project Plan'!AB218="Done","Completed",IF('Project Plan'!AB218="Not started","Not started","In progress"))</f>
        <v>Not started</v>
      </c>
      <c r="I179" s="50" t="str">
        <f aca="false">"Task: Module 5: Trade Licence Management. Deliverable: "&amp;'Project Plan'!AA218</f>
        <v>Task: Module 5: Trade Licence Management. Deliverable: Migration scripts and reconciliation report</v>
      </c>
    </row>
    <row r="180" customFormat="false" ht="15" hidden="false" customHeight="false" outlineLevel="0" collapsed="false">
      <c r="A180" s="50" t="str">
        <f aca="false">'Project Plan'!B219&amp;" "&amp;'Project Plan'!E219</f>
        <v>5.2.14 System integration testing</v>
      </c>
      <c r="B180" s="6" t="s">
        <v>1045</v>
      </c>
      <c r="C180" s="52" t="n">
        <f aca="false">'Project Plan'!K219</f>
        <v>46566</v>
      </c>
      <c r="D180" s="52" t="n">
        <f aca="false">'Project Plan'!L219</f>
        <v>46594</v>
      </c>
      <c r="E180" s="50" t="str">
        <f aca="false">'Project Plan'!H219</f>
        <v>QA</v>
      </c>
      <c r="F180" s="53" t="n">
        <f aca="false">'Project Plan'!Z219</f>
        <v>29.9</v>
      </c>
      <c r="G180" s="6" t="s">
        <v>1030</v>
      </c>
      <c r="H180" s="50" t="str">
        <f aca="false">IF('Project Plan'!AB219="Done","Completed",IF('Project Plan'!AB219="Not started","Not started","In progress"))</f>
        <v>Not started</v>
      </c>
      <c r="I180" s="50" t="str">
        <f aca="false">"Task: Module 5: Trade Licence Management. Deliverable: "&amp;'Project Plan'!AA219</f>
        <v>Task: Module 5: Trade Licence Management. Deliverable: SIT report</v>
      </c>
    </row>
    <row r="181" customFormat="false" ht="15" hidden="false" customHeight="false" outlineLevel="0" collapsed="false">
      <c r="A181" s="50" t="str">
        <f aca="false">'Project Plan'!B220&amp;" "&amp;'Project Plan'!E220</f>
        <v>5.2.15 Defect fixing and regression</v>
      </c>
      <c r="B181" s="6" t="s">
        <v>1045</v>
      </c>
      <c r="C181" s="52" t="n">
        <f aca="false">'Project Plan'!K220</f>
        <v>46570</v>
      </c>
      <c r="D181" s="52" t="n">
        <f aca="false">'Project Plan'!L220</f>
        <v>46605</v>
      </c>
      <c r="E181" s="50" t="str">
        <f aca="false">'Project Plan'!H220</f>
        <v>BE</v>
      </c>
      <c r="F181" s="53" t="n">
        <f aca="false">'Project Plan'!Z220</f>
        <v>24.15</v>
      </c>
      <c r="G181" s="6" t="s">
        <v>1030</v>
      </c>
      <c r="H181" s="50" t="str">
        <f aca="false">IF('Project Plan'!AB220="Done","Completed",IF('Project Plan'!AB220="Not started","Not started","In progress"))</f>
        <v>Not started</v>
      </c>
      <c r="I181" s="50" t="str">
        <f aca="false">"Task: Module 5: Trade Licence Management. Deliverable: "&amp;'Project Plan'!AA220</f>
        <v>Task: Module 5: Trade Licence Management. Deliverable: Closed defects</v>
      </c>
    </row>
    <row r="182" customFormat="false" ht="15" hidden="false" customHeight="false" outlineLevel="0" collapsed="false">
      <c r="A182" s="50" t="str">
        <f aca="false">'Project Plan'!B221&amp;" "&amp;'Project Plan'!E221</f>
        <v>5.2.16 UAT support with GWMC department</v>
      </c>
      <c r="B182" s="6" t="s">
        <v>1045</v>
      </c>
      <c r="C182" s="52" t="n">
        <f aca="false">'Project Plan'!K221</f>
        <v>46595</v>
      </c>
      <c r="D182" s="52" t="n">
        <f aca="false">'Project Plan'!L221</f>
        <v>46611</v>
      </c>
      <c r="E182" s="50" t="str">
        <f aca="false">'Project Plan'!H221</f>
        <v>BA</v>
      </c>
      <c r="F182" s="53" t="n">
        <f aca="false">'Project Plan'!Z221</f>
        <v>13.8</v>
      </c>
      <c r="G182" s="6" t="s">
        <v>1030</v>
      </c>
      <c r="H182" s="50" t="str">
        <f aca="false">IF('Project Plan'!AB221="Done","Completed",IF('Project Plan'!AB221="Not started","Not started","In progress"))</f>
        <v>Not started</v>
      </c>
      <c r="I182" s="50" t="str">
        <f aca="false">"Task: Module 5: Trade Licence Management. Deliverable: "&amp;'Project Plan'!AA221</f>
        <v>Task: Module 5: Trade Licence Management. Deliverable: UAT sign-off</v>
      </c>
    </row>
    <row r="183" customFormat="false" ht="15" hidden="false" customHeight="false" outlineLevel="0" collapsed="false">
      <c r="A183" s="50" t="str">
        <f aca="false">'Project Plan'!B222&amp;" "&amp;'Project Plan'!E222</f>
        <v>5.2.17 Training material and department training</v>
      </c>
      <c r="B183" s="6" t="s">
        <v>1045</v>
      </c>
      <c r="C183" s="52" t="n">
        <f aca="false">'Project Plan'!K222</f>
        <v>46598</v>
      </c>
      <c r="D183" s="52" t="n">
        <f aca="false">'Project Plan'!L222</f>
        <v>46616</v>
      </c>
      <c r="E183" s="50" t="str">
        <f aca="false">'Project Plan'!H222</f>
        <v>TRN</v>
      </c>
      <c r="F183" s="53" t="n">
        <f aca="false">'Project Plan'!Z222</f>
        <v>12.65</v>
      </c>
      <c r="G183" s="6" t="s">
        <v>1030</v>
      </c>
      <c r="H183" s="50" t="str">
        <f aca="false">IF('Project Plan'!AB222="Done","Completed",IF('Project Plan'!AB222="Not started","Not started","In progress"))</f>
        <v>Not started</v>
      </c>
      <c r="I183" s="50" t="str">
        <f aca="false">"Task: Module 5: Trade Licence Management. Deliverable: "&amp;'Project Plan'!AA222</f>
        <v>Task: Module 5: Trade Licence Management. Deliverable: Trained users, manuals in Telugu and English</v>
      </c>
    </row>
    <row r="184" customFormat="false" ht="15" hidden="false" customHeight="false" outlineLevel="0" collapsed="false">
      <c r="A184" s="50" t="str">
        <f aca="false">'Project Plan'!B224&amp;" "&amp;'Project Plan'!E224</f>
        <v>5.3.1 Process validation workshops and to-be sign-off</v>
      </c>
      <c r="B184" s="6" t="s">
        <v>1046</v>
      </c>
      <c r="C184" s="52" t="n">
        <f aca="false">'Project Plan'!K224</f>
        <v>46450</v>
      </c>
      <c r="D184" s="52" t="n">
        <f aca="false">'Project Plan'!L224</f>
        <v>46471</v>
      </c>
      <c r="E184" s="50" t="str">
        <f aca="false">'Project Plan'!H224</f>
        <v>BA</v>
      </c>
      <c r="F184" s="53" t="n">
        <f aca="false">'Project Plan'!Z224</f>
        <v>13.8</v>
      </c>
      <c r="G184" s="6" t="s">
        <v>1030</v>
      </c>
      <c r="H184" s="50" t="str">
        <f aca="false">IF('Project Plan'!AB224="Done","Completed",IF('Project Plan'!AB224="Not started","Not started","In progress"))</f>
        <v>Not started</v>
      </c>
      <c r="I184" s="50" t="str">
        <f aca="false">"Task: Module 6: User Charges Management. Deliverable: "&amp;'Project Plan'!AA224</f>
        <v>Task: Module 6: User Charges Management. Deliverable: Signed process maps</v>
      </c>
    </row>
    <row r="185" customFormat="false" ht="15" hidden="false" customHeight="false" outlineLevel="0" collapsed="false">
      <c r="A185" s="50" t="str">
        <f aca="false">'Project Plan'!B225&amp;" "&amp;'Project Plan'!E225</f>
        <v>5.3.2 LLD, data model and API/event contracts</v>
      </c>
      <c r="B185" s="6" t="s">
        <v>1046</v>
      </c>
      <c r="C185" s="52" t="n">
        <f aca="false">'Project Plan'!K225</f>
        <v>46465</v>
      </c>
      <c r="D185" s="52" t="n">
        <f aca="false">'Project Plan'!L225</f>
        <v>46486</v>
      </c>
      <c r="E185" s="50" t="str">
        <f aca="false">'Project Plan'!H225</f>
        <v>ARC</v>
      </c>
      <c r="F185" s="53" t="n">
        <f aca="false">'Project Plan'!Z225</f>
        <v>13.8</v>
      </c>
      <c r="G185" s="6" t="s">
        <v>1030</v>
      </c>
      <c r="H185" s="50" t="str">
        <f aca="false">IF('Project Plan'!AB225="Done","Completed",IF('Project Plan'!AB225="Not started","Not started","In progress"))</f>
        <v>Not started</v>
      </c>
      <c r="I185" s="50" t="str">
        <f aca="false">"Task: Module 6: User Charges Management. Deliverable: "&amp;'Project Plan'!AA225</f>
        <v>Task: Module 6: User Charges Management. Deliverable: LLD, OpenAPI, schemas</v>
      </c>
    </row>
    <row r="186" customFormat="false" ht="15" hidden="false" customHeight="false" outlineLevel="0" collapsed="false">
      <c r="A186" s="50" t="str">
        <f aca="false">'Project Plan'!B226&amp;" "&amp;'Project Plan'!E226</f>
        <v>5.3.3 UX wireframes and UI design</v>
      </c>
      <c r="B186" s="6" t="s">
        <v>1046</v>
      </c>
      <c r="C186" s="52" t="n">
        <f aca="false">'Project Plan'!K226</f>
        <v>46465</v>
      </c>
      <c r="D186" s="52" t="n">
        <f aca="false">'Project Plan'!L226</f>
        <v>46486</v>
      </c>
      <c r="E186" s="50" t="str">
        <f aca="false">'Project Plan'!H226</f>
        <v>FE</v>
      </c>
      <c r="F186" s="53" t="n">
        <f aca="false">'Project Plan'!Z226</f>
        <v>10.35</v>
      </c>
      <c r="G186" s="6" t="s">
        <v>1030</v>
      </c>
      <c r="H186" s="50" t="str">
        <f aca="false">IF('Project Plan'!AB226="Done","Completed",IF('Project Plan'!AB226="Not started","Not started","In progress"))</f>
        <v>Not started</v>
      </c>
      <c r="I186" s="50" t="str">
        <f aca="false">"Task: Module 6: User Charges Management. Deliverable: "&amp;'Project Plan'!AA226</f>
        <v>Task: Module 6: User Charges Management. Deliverable: Approved wireframes</v>
      </c>
    </row>
    <row r="187" customFormat="false" ht="15" hidden="false" customHeight="false" outlineLevel="0" collapsed="false">
      <c r="A187" s="50" t="str">
        <f aca="false">'Project Plan'!B227&amp;" "&amp;'Project Plan'!E227</f>
        <v>5.3.4 Database schema, domain logic and APIs</v>
      </c>
      <c r="B187" s="6" t="s">
        <v>1046</v>
      </c>
      <c r="C187" s="52" t="n">
        <f aca="false">'Project Plan'!K227</f>
        <v>46484</v>
      </c>
      <c r="D187" s="52" t="n">
        <f aca="false">'Project Plan'!L227</f>
        <v>46560</v>
      </c>
      <c r="E187" s="50" t="str">
        <f aca="false">'Project Plan'!H227</f>
        <v>BE</v>
      </c>
      <c r="F187" s="53" t="n">
        <f aca="false">'Project Plan'!Z227</f>
        <v>39.1</v>
      </c>
      <c r="G187" s="6" t="s">
        <v>1030</v>
      </c>
      <c r="H187" s="50" t="str">
        <f aca="false">IF('Project Plan'!AB227="Done","Completed",IF('Project Plan'!AB227="Not started","Not started","In progress"))</f>
        <v>Not started</v>
      </c>
      <c r="I187" s="50" t="str">
        <f aca="false">"Task: Module 6: User Charges Management. Deliverable: "&amp;'Project Plan'!AA227</f>
        <v>Task: Module 6: User Charges Management. Deliverable: Service build</v>
      </c>
    </row>
    <row r="188" customFormat="false" ht="15" hidden="false" customHeight="false" outlineLevel="0" collapsed="false">
      <c r="A188" s="50" t="str">
        <f aca="false">'Project Plan'!B228&amp;" "&amp;'Project Plan'!E228</f>
        <v>5.3.5 Workflows (BPMN) and rules (DMN) configuration</v>
      </c>
      <c r="B188" s="6" t="s">
        <v>1046</v>
      </c>
      <c r="C188" s="52" t="n">
        <f aca="false">'Project Plan'!K228</f>
        <v>46506</v>
      </c>
      <c r="D188" s="52" t="n">
        <f aca="false">'Project Plan'!L228</f>
        <v>46561</v>
      </c>
      <c r="E188" s="50" t="str">
        <f aca="false">'Project Plan'!H228</f>
        <v>BE</v>
      </c>
      <c r="F188" s="53" t="n">
        <f aca="false">'Project Plan'!Z228</f>
        <v>17.25</v>
      </c>
      <c r="G188" s="6" t="s">
        <v>1030</v>
      </c>
      <c r="H188" s="50" t="str">
        <f aca="false">IF('Project Plan'!AB228="Done","Completed",IF('Project Plan'!AB228="Not started","Not started","In progress"))</f>
        <v>Not started</v>
      </c>
      <c r="I188" s="50" t="str">
        <f aca="false">"Task: Module 6: User Charges Management. Deliverable: "&amp;'Project Plan'!AA228</f>
        <v>Task: Module 6: User Charges Management. Deliverable: Deployed workflows and decision tables</v>
      </c>
    </row>
    <row r="189" customFormat="false" ht="15" hidden="false" customHeight="false" outlineLevel="0" collapsed="false">
      <c r="A189" s="50" t="str">
        <f aca="false">'Project Plan'!B229&amp;" "&amp;'Project Plan'!E229</f>
        <v>5.3.6 Staff console screens</v>
      </c>
      <c r="B189" s="6" t="s">
        <v>1046</v>
      </c>
      <c r="C189" s="52" t="n">
        <f aca="false">'Project Plan'!K229</f>
        <v>46497</v>
      </c>
      <c r="D189" s="52" t="n">
        <f aca="false">'Project Plan'!L229</f>
        <v>46569</v>
      </c>
      <c r="E189" s="50" t="str">
        <f aca="false">'Project Plan'!H229</f>
        <v>FE</v>
      </c>
      <c r="F189" s="53" t="n">
        <f aca="false">'Project Plan'!Z229</f>
        <v>32.2</v>
      </c>
      <c r="G189" s="6" t="s">
        <v>1030</v>
      </c>
      <c r="H189" s="50" t="str">
        <f aca="false">IF('Project Plan'!AB229="Done","Completed",IF('Project Plan'!AB229="Not started","Not started","In progress"))</f>
        <v>Not started</v>
      </c>
      <c r="I189" s="50" t="str">
        <f aca="false">"Task: Module 6: User Charges Management. Deliverable: "&amp;'Project Plan'!AA229</f>
        <v>Task: Module 6: User Charges Management. Deliverable: Staff screens</v>
      </c>
    </row>
    <row r="190" customFormat="false" ht="15" hidden="false" customHeight="false" outlineLevel="0" collapsed="false">
      <c r="A190" s="50" t="str">
        <f aca="false">'Project Plan'!B230&amp;" "&amp;'Project Plan'!E230</f>
        <v>5.3.7 Citizen portal and app services</v>
      </c>
      <c r="B190" s="6" t="s">
        <v>1046</v>
      </c>
      <c r="C190" s="52" t="n">
        <f aca="false">'Project Plan'!K230</f>
        <v>46514</v>
      </c>
      <c r="D190" s="52" t="n">
        <f aca="false">'Project Plan'!L230</f>
        <v>46569</v>
      </c>
      <c r="E190" s="50" t="str">
        <f aca="false">'Project Plan'!H230</f>
        <v>FE</v>
      </c>
      <c r="F190" s="53" t="n">
        <f aca="false">'Project Plan'!Z230</f>
        <v>24.15</v>
      </c>
      <c r="G190" s="6" t="s">
        <v>1030</v>
      </c>
      <c r="H190" s="50" t="str">
        <f aca="false">IF('Project Plan'!AB230="Done","Completed",IF('Project Plan'!AB230="Not started","Not started","In progress"))</f>
        <v>Not started</v>
      </c>
      <c r="I190" s="50" t="str">
        <f aca="false">"Task: Module 6: User Charges Management. Deliverable: "&amp;'Project Plan'!AA230</f>
        <v>Task: Module 6: User Charges Management. Deliverable: Citizen services live in MyGWMC</v>
      </c>
    </row>
    <row r="191" customFormat="false" ht="15" hidden="false" customHeight="false" outlineLevel="0" collapsed="false">
      <c r="A191" s="50" t="str">
        <f aca="false">'Project Plan'!B231&amp;" "&amp;'Project Plan'!E231</f>
        <v>5.3.8 Field app tasks (offline)</v>
      </c>
      <c r="B191" s="6" t="s">
        <v>1046</v>
      </c>
      <c r="C191" s="52" t="n">
        <f aca="false">'Project Plan'!K231</f>
        <v>46514</v>
      </c>
      <c r="D191" s="52" t="n">
        <f aca="false">'Project Plan'!L231</f>
        <v>46569</v>
      </c>
      <c r="E191" s="50" t="str">
        <f aca="false">'Project Plan'!H231</f>
        <v>MOB</v>
      </c>
      <c r="F191" s="53" t="n">
        <f aca="false">'Project Plan'!Z231</f>
        <v>16.1</v>
      </c>
      <c r="G191" s="6" t="s">
        <v>1030</v>
      </c>
      <c r="H191" s="50" t="str">
        <f aca="false">IF('Project Plan'!AB231="Done","Completed",IF('Project Plan'!AB231="Not started","Not started","In progress"))</f>
        <v>Not started</v>
      </c>
      <c r="I191" s="50" t="str">
        <f aca="false">"Task: Module 6: User Charges Management. Deliverable: "&amp;'Project Plan'!AA231</f>
        <v>Task: Module 6: User Charges Management. Deliverable: Field app plug-in</v>
      </c>
    </row>
    <row r="192" customFormat="false" ht="15" hidden="false" customHeight="false" outlineLevel="0" collapsed="false">
      <c r="A192" s="50" t="str">
        <f aca="false">'Project Plan'!B232&amp;" "&amp;'Project Plan'!E232</f>
        <v>5.3.9 GIS layers, map views and spatial checks</v>
      </c>
      <c r="B192" s="6" t="s">
        <v>1046</v>
      </c>
      <c r="C192" s="52" t="n">
        <f aca="false">'Project Plan'!K232</f>
        <v>46497</v>
      </c>
      <c r="D192" s="52" t="n">
        <f aca="false">'Project Plan'!L232</f>
        <v>46560</v>
      </c>
      <c r="E192" s="50" t="str">
        <f aca="false">'Project Plan'!H232</f>
        <v>GIS</v>
      </c>
      <c r="F192" s="53" t="n">
        <f aca="false">'Project Plan'!Z232</f>
        <v>12.65</v>
      </c>
      <c r="G192" s="6" t="s">
        <v>1030</v>
      </c>
      <c r="H192" s="50" t="str">
        <f aca="false">IF('Project Plan'!AB232="Done","Completed",IF('Project Plan'!AB232="Not started","Not started","In progress"))</f>
        <v>Not started</v>
      </c>
      <c r="I192" s="50" t="str">
        <f aca="false">"Task: Module 6: User Charges Management. Deliverable: "&amp;'Project Plan'!AA232</f>
        <v>Task: Module 6: User Charges Management. Deliverable: Layers and map features</v>
      </c>
    </row>
    <row r="193" customFormat="false" ht="15" hidden="false" customHeight="false" outlineLevel="0" collapsed="false">
      <c r="A193" s="50" t="str">
        <f aca="false">'Project Plan'!B233&amp;" "&amp;'Project Plan'!E233</f>
        <v>5.3.10 Module interfaces (12 I-xx links): events and APIs</v>
      </c>
      <c r="B193" s="6" t="s">
        <v>1046</v>
      </c>
      <c r="C193" s="52" t="n">
        <f aca="false">'Project Plan'!K233</f>
        <v>46525</v>
      </c>
      <c r="D193" s="52" t="n">
        <f aca="false">'Project Plan'!L233</f>
        <v>46575</v>
      </c>
      <c r="E193" s="50" t="str">
        <f aca="false">'Project Plan'!H233</f>
        <v>BE</v>
      </c>
      <c r="F193" s="53" t="n">
        <f aca="false">'Project Plan'!Z233</f>
        <v>20.7</v>
      </c>
      <c r="G193" s="6" t="s">
        <v>1030</v>
      </c>
      <c r="H193" s="50" t="str">
        <f aca="false">IF('Project Plan'!AB233="Done","Completed",IF('Project Plan'!AB233="Not started","Not started","In progress"))</f>
        <v>Not started</v>
      </c>
      <c r="I193" s="50" t="str">
        <f aca="false">"Task: Module 6: User Charges Management. Deliverable: "&amp;'Project Plan'!AA233</f>
        <v>Task: Module 6: User Charges Management. Deliverable: Contract-tested interfaces</v>
      </c>
    </row>
    <row r="194" customFormat="false" ht="15" hidden="false" customHeight="false" outlineLevel="0" collapsed="false">
      <c r="A194" s="50" t="str">
        <f aca="false">'Project Plan'!B234&amp;" "&amp;'Project Plan'!E234</f>
        <v>5.3.11 External system adapters (2)</v>
      </c>
      <c r="B194" s="6" t="s">
        <v>1046</v>
      </c>
      <c r="C194" s="52" t="n">
        <f aca="false">'Project Plan'!K234</f>
        <v>46514</v>
      </c>
      <c r="D194" s="52" t="n">
        <f aca="false">'Project Plan'!L234</f>
        <v>46575</v>
      </c>
      <c r="E194" s="50" t="str">
        <f aca="false">'Project Plan'!H234</f>
        <v>BE</v>
      </c>
      <c r="F194" s="53" t="n">
        <f aca="false">'Project Plan'!Z234</f>
        <v>13.8</v>
      </c>
      <c r="G194" s="6" t="s">
        <v>1030</v>
      </c>
      <c r="H194" s="50" t="str">
        <f aca="false">IF('Project Plan'!AB234="Done","Completed",IF('Project Plan'!AB234="Not started","Not started","In progress"))</f>
        <v>Not started</v>
      </c>
      <c r="I194" s="50" t="str">
        <f aca="false">"Task: Module 6: User Charges Management. Deliverable: "&amp;'Project Plan'!AA234</f>
        <v>Task: Module 6: User Charges Management. Deliverable: Adapters tested with provider sandboxes</v>
      </c>
    </row>
    <row r="195" customFormat="false" ht="15" hidden="false" customHeight="false" outlineLevel="0" collapsed="false">
      <c r="A195" s="50" t="str">
        <f aca="false">'Project Plan'!B235&amp;" "&amp;'Project Plan'!E235</f>
        <v>5.3.12 Reports, dashboards, notices and templates (all active languages)</v>
      </c>
      <c r="B195" s="6" t="s">
        <v>1046</v>
      </c>
      <c r="C195" s="52" t="n">
        <f aca="false">'Project Plan'!K235</f>
        <v>46542</v>
      </c>
      <c r="D195" s="52" t="n">
        <f aca="false">'Project Plan'!L235</f>
        <v>46577</v>
      </c>
      <c r="E195" s="50" t="str">
        <f aca="false">'Project Plan'!H235</f>
        <v>BE</v>
      </c>
      <c r="F195" s="53" t="n">
        <f aca="false">'Project Plan'!Z235</f>
        <v>11.5</v>
      </c>
      <c r="G195" s="6" t="s">
        <v>1030</v>
      </c>
      <c r="H195" s="50" t="str">
        <f aca="false">IF('Project Plan'!AB235="Done","Completed",IF('Project Plan'!AB235="Not started","Not started","In progress"))</f>
        <v>Not started</v>
      </c>
      <c r="I195" s="50" t="str">
        <f aca="false">"Task: Module 6: User Charges Management. Deliverable: "&amp;'Project Plan'!AA235</f>
        <v>Task: Module 6: User Charges Management. Deliverable: Reports and templates</v>
      </c>
    </row>
    <row r="196" customFormat="false" ht="15" hidden="false" customHeight="false" outlineLevel="0" collapsed="false">
      <c r="A196" s="50" t="str">
        <f aca="false">'Project Plan'!B236&amp;" "&amp;'Project Plan'!E236</f>
        <v>5.3.13 Data migration: existing user-charge accounts</v>
      </c>
      <c r="B196" s="6" t="s">
        <v>1046</v>
      </c>
      <c r="C196" s="52" t="n">
        <f aca="false">'Project Plan'!K236</f>
        <v>46506</v>
      </c>
      <c r="D196" s="52" t="n">
        <f aca="false">'Project Plan'!L236</f>
        <v>46588</v>
      </c>
      <c r="E196" s="50" t="str">
        <f aca="false">'Project Plan'!H236</f>
        <v>DATA</v>
      </c>
      <c r="F196" s="53" t="n">
        <f aca="false">'Project Plan'!Z236</f>
        <v>18.4</v>
      </c>
      <c r="G196" s="6" t="s">
        <v>1030</v>
      </c>
      <c r="H196" s="50" t="str">
        <f aca="false">IF('Project Plan'!AB236="Done","Completed",IF('Project Plan'!AB236="Not started","Not started","In progress"))</f>
        <v>Not started</v>
      </c>
      <c r="I196" s="50" t="str">
        <f aca="false">"Task: Module 6: User Charges Management. Deliverable: "&amp;'Project Plan'!AA236</f>
        <v>Task: Module 6: User Charges Management. Deliverable: Migration scripts and reconciliation report</v>
      </c>
    </row>
    <row r="197" customFormat="false" ht="15" hidden="false" customHeight="false" outlineLevel="0" collapsed="false">
      <c r="A197" s="50" t="str">
        <f aca="false">'Project Plan'!B237&amp;" "&amp;'Project Plan'!E237</f>
        <v>5.3.14 System integration testing</v>
      </c>
      <c r="B197" s="6" t="s">
        <v>1046</v>
      </c>
      <c r="C197" s="52" t="n">
        <f aca="false">'Project Plan'!K237</f>
        <v>46566</v>
      </c>
      <c r="D197" s="52" t="n">
        <f aca="false">'Project Plan'!L237</f>
        <v>46594</v>
      </c>
      <c r="E197" s="50" t="str">
        <f aca="false">'Project Plan'!H237</f>
        <v>QA</v>
      </c>
      <c r="F197" s="53" t="n">
        <f aca="false">'Project Plan'!Z237</f>
        <v>25.3</v>
      </c>
      <c r="G197" s="6" t="s">
        <v>1030</v>
      </c>
      <c r="H197" s="50" t="str">
        <f aca="false">IF('Project Plan'!AB237="Done","Completed",IF('Project Plan'!AB237="Not started","Not started","In progress"))</f>
        <v>Not started</v>
      </c>
      <c r="I197" s="50" t="str">
        <f aca="false">"Task: Module 6: User Charges Management. Deliverable: "&amp;'Project Plan'!AA237</f>
        <v>Task: Module 6: User Charges Management. Deliverable: SIT report</v>
      </c>
    </row>
    <row r="198" customFormat="false" ht="15" hidden="false" customHeight="false" outlineLevel="0" collapsed="false">
      <c r="A198" s="50" t="str">
        <f aca="false">'Project Plan'!B238&amp;" "&amp;'Project Plan'!E238</f>
        <v>5.3.15 Defect fixing and regression</v>
      </c>
      <c r="B198" s="6" t="s">
        <v>1046</v>
      </c>
      <c r="C198" s="52" t="n">
        <f aca="false">'Project Plan'!K238</f>
        <v>46570</v>
      </c>
      <c r="D198" s="52" t="n">
        <f aca="false">'Project Plan'!L238</f>
        <v>46605</v>
      </c>
      <c r="E198" s="50" t="str">
        <f aca="false">'Project Plan'!H238</f>
        <v>BE</v>
      </c>
      <c r="F198" s="53" t="n">
        <f aca="false">'Project Plan'!Z238</f>
        <v>21.85</v>
      </c>
      <c r="G198" s="6" t="s">
        <v>1030</v>
      </c>
      <c r="H198" s="50" t="str">
        <f aca="false">IF('Project Plan'!AB238="Done","Completed",IF('Project Plan'!AB238="Not started","Not started","In progress"))</f>
        <v>Not started</v>
      </c>
      <c r="I198" s="50" t="str">
        <f aca="false">"Task: Module 6: User Charges Management. Deliverable: "&amp;'Project Plan'!AA238</f>
        <v>Task: Module 6: User Charges Management. Deliverable: Closed defects</v>
      </c>
    </row>
    <row r="199" customFormat="false" ht="15" hidden="false" customHeight="false" outlineLevel="0" collapsed="false">
      <c r="A199" s="50" t="str">
        <f aca="false">'Project Plan'!B239&amp;" "&amp;'Project Plan'!E239</f>
        <v>5.3.16 UAT support with GWMC department</v>
      </c>
      <c r="B199" s="6" t="s">
        <v>1046</v>
      </c>
      <c r="C199" s="52" t="n">
        <f aca="false">'Project Plan'!K239</f>
        <v>46595</v>
      </c>
      <c r="D199" s="52" t="n">
        <f aca="false">'Project Plan'!L239</f>
        <v>46611</v>
      </c>
      <c r="E199" s="50" t="str">
        <f aca="false">'Project Plan'!H239</f>
        <v>BA</v>
      </c>
      <c r="F199" s="53" t="n">
        <f aca="false">'Project Plan'!Z239</f>
        <v>13.8</v>
      </c>
      <c r="G199" s="6" t="s">
        <v>1030</v>
      </c>
      <c r="H199" s="50" t="str">
        <f aca="false">IF('Project Plan'!AB239="Done","Completed",IF('Project Plan'!AB239="Not started","Not started","In progress"))</f>
        <v>Not started</v>
      </c>
      <c r="I199" s="50" t="str">
        <f aca="false">"Task: Module 6: User Charges Management. Deliverable: "&amp;'Project Plan'!AA239</f>
        <v>Task: Module 6: User Charges Management. Deliverable: UAT sign-off</v>
      </c>
    </row>
    <row r="200" customFormat="false" ht="15" hidden="false" customHeight="false" outlineLevel="0" collapsed="false">
      <c r="A200" s="50" t="str">
        <f aca="false">'Project Plan'!B240&amp;" "&amp;'Project Plan'!E240</f>
        <v>5.3.17 Training material and department training</v>
      </c>
      <c r="B200" s="6" t="s">
        <v>1046</v>
      </c>
      <c r="C200" s="52" t="n">
        <f aca="false">'Project Plan'!K240</f>
        <v>46598</v>
      </c>
      <c r="D200" s="52" t="n">
        <f aca="false">'Project Plan'!L240</f>
        <v>46616</v>
      </c>
      <c r="E200" s="50" t="str">
        <f aca="false">'Project Plan'!H240</f>
        <v>TRN</v>
      </c>
      <c r="F200" s="53" t="n">
        <f aca="false">'Project Plan'!Z240</f>
        <v>10.35</v>
      </c>
      <c r="G200" s="6" t="s">
        <v>1030</v>
      </c>
      <c r="H200" s="50" t="str">
        <f aca="false">IF('Project Plan'!AB240="Done","Completed",IF('Project Plan'!AB240="Not started","Not started","In progress"))</f>
        <v>Not started</v>
      </c>
      <c r="I200" s="50" t="str">
        <f aca="false">"Task: Module 6: User Charges Management. Deliverable: "&amp;'Project Plan'!AA240</f>
        <v>Task: Module 6: User Charges Management. Deliverable: Trained users, manuals in Telugu and English</v>
      </c>
    </row>
    <row r="201" customFormat="false" ht="15" hidden="false" customHeight="false" outlineLevel="0" collapsed="false">
      <c r="A201" s="50" t="str">
        <f aca="false">'Project Plan'!B242&amp;" "&amp;'Project Plan'!E242</f>
        <v>5.4.1 Process validation workshops and to-be sign-off</v>
      </c>
      <c r="B201" s="6" t="s">
        <v>1047</v>
      </c>
      <c r="C201" s="52" t="n">
        <f aca="false">'Project Plan'!K242</f>
        <v>46450</v>
      </c>
      <c r="D201" s="52" t="n">
        <f aca="false">'Project Plan'!L242</f>
        <v>46471</v>
      </c>
      <c r="E201" s="50" t="str">
        <f aca="false">'Project Plan'!H242</f>
        <v>BA</v>
      </c>
      <c r="F201" s="53" t="n">
        <f aca="false">'Project Plan'!Z242</f>
        <v>13.8</v>
      </c>
      <c r="G201" s="6" t="s">
        <v>1030</v>
      </c>
      <c r="H201" s="50" t="str">
        <f aca="false">IF('Project Plan'!AB242="Done","Completed",IF('Project Plan'!AB242="Not started","Not started","In progress"))</f>
        <v>Not started</v>
      </c>
      <c r="I201" s="50" t="str">
        <f aca="false">"Task: Module 11: Building Permission Management / Integration. Deliverable: "&amp;'Project Plan'!AA242</f>
        <v>Task: Module 11: Building Permission Management / Integration. Deliverable: Signed process maps</v>
      </c>
    </row>
    <row r="202" customFormat="false" ht="15" hidden="false" customHeight="false" outlineLevel="0" collapsed="false">
      <c r="A202" s="50" t="str">
        <f aca="false">'Project Plan'!B243&amp;" "&amp;'Project Plan'!E243</f>
        <v>5.4.2 LLD, data model and API/event contracts</v>
      </c>
      <c r="B202" s="6" t="s">
        <v>1047</v>
      </c>
      <c r="C202" s="52" t="n">
        <f aca="false">'Project Plan'!K243</f>
        <v>46465</v>
      </c>
      <c r="D202" s="52" t="n">
        <f aca="false">'Project Plan'!L243</f>
        <v>46486</v>
      </c>
      <c r="E202" s="50" t="str">
        <f aca="false">'Project Plan'!H243</f>
        <v>ARC</v>
      </c>
      <c r="F202" s="53" t="n">
        <f aca="false">'Project Plan'!Z243</f>
        <v>13.8</v>
      </c>
      <c r="G202" s="6" t="s">
        <v>1030</v>
      </c>
      <c r="H202" s="50" t="str">
        <f aca="false">IF('Project Plan'!AB243="Done","Completed",IF('Project Plan'!AB243="Not started","Not started","In progress"))</f>
        <v>Not started</v>
      </c>
      <c r="I202" s="50" t="str">
        <f aca="false">"Task: Module 11: Building Permission Management / Integration. Deliverable: "&amp;'Project Plan'!AA243</f>
        <v>Task: Module 11: Building Permission Management / Integration. Deliverable: LLD, OpenAPI, schemas</v>
      </c>
    </row>
    <row r="203" customFormat="false" ht="15" hidden="false" customHeight="false" outlineLevel="0" collapsed="false">
      <c r="A203" s="50" t="str">
        <f aca="false">'Project Plan'!B244&amp;" "&amp;'Project Plan'!E244</f>
        <v>5.4.3 UX wireframes and UI design</v>
      </c>
      <c r="B203" s="6" t="s">
        <v>1047</v>
      </c>
      <c r="C203" s="52" t="n">
        <f aca="false">'Project Plan'!K244</f>
        <v>46465</v>
      </c>
      <c r="D203" s="52" t="n">
        <f aca="false">'Project Plan'!L244</f>
        <v>46486</v>
      </c>
      <c r="E203" s="50" t="str">
        <f aca="false">'Project Plan'!H244</f>
        <v>FE</v>
      </c>
      <c r="F203" s="53" t="n">
        <f aca="false">'Project Plan'!Z244</f>
        <v>10.35</v>
      </c>
      <c r="G203" s="6" t="s">
        <v>1030</v>
      </c>
      <c r="H203" s="50" t="str">
        <f aca="false">IF('Project Plan'!AB244="Done","Completed",IF('Project Plan'!AB244="Not started","Not started","In progress"))</f>
        <v>Not started</v>
      </c>
      <c r="I203" s="50" t="str">
        <f aca="false">"Task: Module 11: Building Permission Management / Integration. Deliverable: "&amp;'Project Plan'!AA244</f>
        <v>Task: Module 11: Building Permission Management / Integration. Deliverable: Approved wireframes</v>
      </c>
    </row>
    <row r="204" customFormat="false" ht="15" hidden="false" customHeight="false" outlineLevel="0" collapsed="false">
      <c r="A204" s="50" t="str">
        <f aca="false">'Project Plan'!B245&amp;" "&amp;'Project Plan'!E245</f>
        <v>5.4.4 Database schema, domain logic and APIs</v>
      </c>
      <c r="B204" s="6" t="s">
        <v>1047</v>
      </c>
      <c r="C204" s="52" t="n">
        <f aca="false">'Project Plan'!K245</f>
        <v>46484</v>
      </c>
      <c r="D204" s="52" t="n">
        <f aca="false">'Project Plan'!L245</f>
        <v>46560</v>
      </c>
      <c r="E204" s="50" t="str">
        <f aca="false">'Project Plan'!H245</f>
        <v>BE</v>
      </c>
      <c r="F204" s="53" t="n">
        <f aca="false">'Project Plan'!Z245</f>
        <v>40.25</v>
      </c>
      <c r="G204" s="6" t="s">
        <v>1030</v>
      </c>
      <c r="H204" s="50" t="str">
        <f aca="false">IF('Project Plan'!AB245="Done","Completed",IF('Project Plan'!AB245="Not started","Not started","In progress"))</f>
        <v>Not started</v>
      </c>
      <c r="I204" s="50" t="str">
        <f aca="false">"Task: Module 11: Building Permission Management / Integration. Deliverable: "&amp;'Project Plan'!AA245</f>
        <v>Task: Module 11: Building Permission Management / Integration. Deliverable: Service build</v>
      </c>
    </row>
    <row r="205" customFormat="false" ht="15" hidden="false" customHeight="false" outlineLevel="0" collapsed="false">
      <c r="A205" s="50" t="str">
        <f aca="false">'Project Plan'!B246&amp;" "&amp;'Project Plan'!E246</f>
        <v>5.4.5 Workflows (BPMN) and rules (DMN) configuration</v>
      </c>
      <c r="B205" s="6" t="s">
        <v>1047</v>
      </c>
      <c r="C205" s="52" t="n">
        <f aca="false">'Project Plan'!K246</f>
        <v>46506</v>
      </c>
      <c r="D205" s="52" t="n">
        <f aca="false">'Project Plan'!L246</f>
        <v>46561</v>
      </c>
      <c r="E205" s="50" t="str">
        <f aca="false">'Project Plan'!H246</f>
        <v>BE</v>
      </c>
      <c r="F205" s="53" t="n">
        <f aca="false">'Project Plan'!Z246</f>
        <v>19.55</v>
      </c>
      <c r="G205" s="6" t="s">
        <v>1030</v>
      </c>
      <c r="H205" s="50" t="str">
        <f aca="false">IF('Project Plan'!AB246="Done","Completed",IF('Project Plan'!AB246="Not started","Not started","In progress"))</f>
        <v>Not started</v>
      </c>
      <c r="I205" s="50" t="str">
        <f aca="false">"Task: Module 11: Building Permission Management / Integration. Deliverable: "&amp;'Project Plan'!AA246</f>
        <v>Task: Module 11: Building Permission Management / Integration. Deliverable: Deployed workflows and decision tables</v>
      </c>
    </row>
    <row r="206" customFormat="false" ht="15" hidden="false" customHeight="false" outlineLevel="0" collapsed="false">
      <c r="A206" s="50" t="str">
        <f aca="false">'Project Plan'!B247&amp;" "&amp;'Project Plan'!E247</f>
        <v>5.4.6 Staff console screens</v>
      </c>
      <c r="B206" s="6" t="s">
        <v>1047</v>
      </c>
      <c r="C206" s="52" t="n">
        <f aca="false">'Project Plan'!K247</f>
        <v>46497</v>
      </c>
      <c r="D206" s="52" t="n">
        <f aca="false">'Project Plan'!L247</f>
        <v>46569</v>
      </c>
      <c r="E206" s="50" t="str">
        <f aca="false">'Project Plan'!H247</f>
        <v>FE</v>
      </c>
      <c r="F206" s="53" t="n">
        <f aca="false">'Project Plan'!Z247</f>
        <v>33.35</v>
      </c>
      <c r="G206" s="6" t="s">
        <v>1030</v>
      </c>
      <c r="H206" s="50" t="str">
        <f aca="false">IF('Project Plan'!AB247="Done","Completed",IF('Project Plan'!AB247="Not started","Not started","In progress"))</f>
        <v>Not started</v>
      </c>
      <c r="I206" s="50" t="str">
        <f aca="false">"Task: Module 11: Building Permission Management / Integration. Deliverable: "&amp;'Project Plan'!AA247</f>
        <v>Task: Module 11: Building Permission Management / Integration. Deliverable: Staff screens</v>
      </c>
    </row>
    <row r="207" customFormat="false" ht="15" hidden="false" customHeight="false" outlineLevel="0" collapsed="false">
      <c r="A207" s="50" t="str">
        <f aca="false">'Project Plan'!B248&amp;" "&amp;'Project Plan'!E248</f>
        <v>5.4.7 Citizen portal and app services</v>
      </c>
      <c r="B207" s="6" t="s">
        <v>1047</v>
      </c>
      <c r="C207" s="52" t="n">
        <f aca="false">'Project Plan'!K248</f>
        <v>46514</v>
      </c>
      <c r="D207" s="52" t="n">
        <f aca="false">'Project Plan'!L248</f>
        <v>46569</v>
      </c>
      <c r="E207" s="50" t="str">
        <f aca="false">'Project Plan'!H248</f>
        <v>FE</v>
      </c>
      <c r="F207" s="53" t="n">
        <f aca="false">'Project Plan'!Z248</f>
        <v>24.15</v>
      </c>
      <c r="G207" s="6" t="s">
        <v>1030</v>
      </c>
      <c r="H207" s="50" t="str">
        <f aca="false">IF('Project Plan'!AB248="Done","Completed",IF('Project Plan'!AB248="Not started","Not started","In progress"))</f>
        <v>Not started</v>
      </c>
      <c r="I207" s="50" t="str">
        <f aca="false">"Task: Module 11: Building Permission Management / Integration. Deliverable: "&amp;'Project Plan'!AA248</f>
        <v>Task: Module 11: Building Permission Management / Integration. Deliverable: Citizen services live in MyGWMC</v>
      </c>
    </row>
    <row r="208" customFormat="false" ht="15" hidden="false" customHeight="false" outlineLevel="0" collapsed="false">
      <c r="A208" s="50" t="str">
        <f aca="false">'Project Plan'!B249&amp;" "&amp;'Project Plan'!E249</f>
        <v>5.4.8 Field app tasks (offline)</v>
      </c>
      <c r="B208" s="6" t="s">
        <v>1047</v>
      </c>
      <c r="C208" s="52" t="n">
        <f aca="false">'Project Plan'!K249</f>
        <v>46514</v>
      </c>
      <c r="D208" s="52" t="n">
        <f aca="false">'Project Plan'!L249</f>
        <v>46569</v>
      </c>
      <c r="E208" s="50" t="str">
        <f aca="false">'Project Plan'!H249</f>
        <v>MOB</v>
      </c>
      <c r="F208" s="53" t="n">
        <f aca="false">'Project Plan'!Z249</f>
        <v>16.1</v>
      </c>
      <c r="G208" s="6" t="s">
        <v>1030</v>
      </c>
      <c r="H208" s="50" t="str">
        <f aca="false">IF('Project Plan'!AB249="Done","Completed",IF('Project Plan'!AB249="Not started","Not started","In progress"))</f>
        <v>Not started</v>
      </c>
      <c r="I208" s="50" t="str">
        <f aca="false">"Task: Module 11: Building Permission Management / Integration. Deliverable: "&amp;'Project Plan'!AA249</f>
        <v>Task: Module 11: Building Permission Management / Integration. Deliverable: Field app plug-in</v>
      </c>
    </row>
    <row r="209" customFormat="false" ht="15" hidden="false" customHeight="false" outlineLevel="0" collapsed="false">
      <c r="A209" s="50" t="str">
        <f aca="false">'Project Plan'!B250&amp;" "&amp;'Project Plan'!E250</f>
        <v>5.4.9 GIS layers, map views and spatial checks</v>
      </c>
      <c r="B209" s="6" t="s">
        <v>1047</v>
      </c>
      <c r="C209" s="52" t="n">
        <f aca="false">'Project Plan'!K250</f>
        <v>46497</v>
      </c>
      <c r="D209" s="52" t="n">
        <f aca="false">'Project Plan'!L250</f>
        <v>46560</v>
      </c>
      <c r="E209" s="50" t="str">
        <f aca="false">'Project Plan'!H250</f>
        <v>GIS</v>
      </c>
      <c r="F209" s="53" t="n">
        <f aca="false">'Project Plan'!Z250</f>
        <v>13.8</v>
      </c>
      <c r="G209" s="6" t="s">
        <v>1030</v>
      </c>
      <c r="H209" s="50" t="str">
        <f aca="false">IF('Project Plan'!AB250="Done","Completed",IF('Project Plan'!AB250="Not started","Not started","In progress"))</f>
        <v>Not started</v>
      </c>
      <c r="I209" s="50" t="str">
        <f aca="false">"Task: Module 11: Building Permission Management / Integration. Deliverable: "&amp;'Project Plan'!AA250</f>
        <v>Task: Module 11: Building Permission Management / Integration. Deliverable: Layers and map features</v>
      </c>
    </row>
    <row r="210" customFormat="false" ht="15" hidden="false" customHeight="false" outlineLevel="0" collapsed="false">
      <c r="A210" s="50" t="str">
        <f aca="false">'Project Plan'!B251&amp;" "&amp;'Project Plan'!E251</f>
        <v>5.4.10 Module interfaces (14 I-xx links): events and APIs</v>
      </c>
      <c r="B210" s="6" t="s">
        <v>1047</v>
      </c>
      <c r="C210" s="52" t="n">
        <f aca="false">'Project Plan'!K251</f>
        <v>46525</v>
      </c>
      <c r="D210" s="52" t="n">
        <f aca="false">'Project Plan'!L251</f>
        <v>46575</v>
      </c>
      <c r="E210" s="50" t="str">
        <f aca="false">'Project Plan'!H251</f>
        <v>BE</v>
      </c>
      <c r="F210" s="53" t="n">
        <f aca="false">'Project Plan'!Z251</f>
        <v>24.15</v>
      </c>
      <c r="G210" s="6" t="s">
        <v>1030</v>
      </c>
      <c r="H210" s="50" t="str">
        <f aca="false">IF('Project Plan'!AB251="Done","Completed",IF('Project Plan'!AB251="Not started","Not started","In progress"))</f>
        <v>Not started</v>
      </c>
      <c r="I210" s="50" t="str">
        <f aca="false">"Task: Module 11: Building Permission Management / Integration. Deliverable: "&amp;'Project Plan'!AA251</f>
        <v>Task: Module 11: Building Permission Management / Integration. Deliverable: Contract-tested interfaces</v>
      </c>
    </row>
    <row r="211" customFormat="false" ht="15" hidden="false" customHeight="false" outlineLevel="0" collapsed="false">
      <c r="A211" s="50" t="str">
        <f aca="false">'Project Plan'!B252&amp;" "&amp;'Project Plan'!E252</f>
        <v>5.4.11 External system adapters (10)</v>
      </c>
      <c r="B211" s="6" t="s">
        <v>1047</v>
      </c>
      <c r="C211" s="52" t="n">
        <f aca="false">'Project Plan'!K252</f>
        <v>46514</v>
      </c>
      <c r="D211" s="52" t="n">
        <f aca="false">'Project Plan'!L252</f>
        <v>46575</v>
      </c>
      <c r="E211" s="50" t="str">
        <f aca="false">'Project Plan'!H252</f>
        <v>BE</v>
      </c>
      <c r="F211" s="53" t="n">
        <f aca="false">'Project Plan'!Z252</f>
        <v>69</v>
      </c>
      <c r="G211" s="6" t="s">
        <v>1030</v>
      </c>
      <c r="H211" s="50" t="str">
        <f aca="false">IF('Project Plan'!AB252="Done","Completed",IF('Project Plan'!AB252="Not started","Not started","In progress"))</f>
        <v>Not started</v>
      </c>
      <c r="I211" s="50" t="str">
        <f aca="false">"Task: Module 11: Building Permission Management / Integration. Deliverable: "&amp;'Project Plan'!AA252</f>
        <v>Task: Module 11: Building Permission Management / Integration. Deliverable: Adapters tested with provider sandboxes</v>
      </c>
    </row>
    <row r="212" customFormat="false" ht="15" hidden="false" customHeight="false" outlineLevel="0" collapsed="false">
      <c r="A212" s="50" t="str">
        <f aca="false">'Project Plan'!B253&amp;" "&amp;'Project Plan'!E253</f>
        <v>5.4.12 Reports, dashboards, notices and templates (all active languages)</v>
      </c>
      <c r="B212" s="6" t="s">
        <v>1047</v>
      </c>
      <c r="C212" s="52" t="n">
        <f aca="false">'Project Plan'!K253</f>
        <v>46542</v>
      </c>
      <c r="D212" s="52" t="n">
        <f aca="false">'Project Plan'!L253</f>
        <v>46577</v>
      </c>
      <c r="E212" s="50" t="str">
        <f aca="false">'Project Plan'!H253</f>
        <v>BE</v>
      </c>
      <c r="F212" s="53" t="n">
        <f aca="false">'Project Plan'!Z253</f>
        <v>13.8</v>
      </c>
      <c r="G212" s="6" t="s">
        <v>1030</v>
      </c>
      <c r="H212" s="50" t="str">
        <f aca="false">IF('Project Plan'!AB253="Done","Completed",IF('Project Plan'!AB253="Not started","Not started","In progress"))</f>
        <v>Not started</v>
      </c>
      <c r="I212" s="50" t="str">
        <f aca="false">"Task: Module 11: Building Permission Management / Integration. Deliverable: "&amp;'Project Plan'!AA253</f>
        <v>Task: Module 11: Building Permission Management / Integration. Deliverable: Reports and templates</v>
      </c>
    </row>
    <row r="213" customFormat="false" ht="15" hidden="false" customHeight="false" outlineLevel="0" collapsed="false">
      <c r="A213" s="50" t="str">
        <f aca="false">'Project Plan'!B254&amp;" "&amp;'Project Plan'!E254</f>
        <v>5.4.13 Data migration: permits in TG-bPASS</v>
      </c>
      <c r="B213" s="6" t="s">
        <v>1047</v>
      </c>
      <c r="C213" s="52" t="n">
        <f aca="false">'Project Plan'!K254</f>
        <v>46506</v>
      </c>
      <c r="D213" s="52" t="n">
        <f aca="false">'Project Plan'!L254</f>
        <v>46588</v>
      </c>
      <c r="E213" s="50" t="str">
        <f aca="false">'Project Plan'!H254</f>
        <v>DATA</v>
      </c>
      <c r="F213" s="53" t="n">
        <f aca="false">'Project Plan'!Z254</f>
        <v>18.4</v>
      </c>
      <c r="G213" s="6" t="s">
        <v>1030</v>
      </c>
      <c r="H213" s="50" t="str">
        <f aca="false">IF('Project Plan'!AB254="Done","Completed",IF('Project Plan'!AB254="Not started","Not started","In progress"))</f>
        <v>Not started</v>
      </c>
      <c r="I213" s="50" t="str">
        <f aca="false">"Task: Module 11: Building Permission Management / Integration. Deliverable: "&amp;'Project Plan'!AA254</f>
        <v>Task: Module 11: Building Permission Management / Integration. Deliverable: Migration scripts and reconciliation report</v>
      </c>
    </row>
    <row r="214" customFormat="false" ht="15" hidden="false" customHeight="false" outlineLevel="0" collapsed="false">
      <c r="A214" s="50" t="str">
        <f aca="false">'Project Plan'!B255&amp;" "&amp;'Project Plan'!E255</f>
        <v>5.4.14 System integration testing</v>
      </c>
      <c r="B214" s="6" t="s">
        <v>1047</v>
      </c>
      <c r="C214" s="52" t="n">
        <f aca="false">'Project Plan'!K255</f>
        <v>46566</v>
      </c>
      <c r="D214" s="52" t="n">
        <f aca="false">'Project Plan'!L255</f>
        <v>46594</v>
      </c>
      <c r="E214" s="50" t="str">
        <f aca="false">'Project Plan'!H255</f>
        <v>QA</v>
      </c>
      <c r="F214" s="53" t="n">
        <f aca="false">'Project Plan'!Z255</f>
        <v>27.6</v>
      </c>
      <c r="G214" s="6" t="s">
        <v>1030</v>
      </c>
      <c r="H214" s="50" t="str">
        <f aca="false">IF('Project Plan'!AB255="Done","Completed",IF('Project Plan'!AB255="Not started","Not started","In progress"))</f>
        <v>Not started</v>
      </c>
      <c r="I214" s="50" t="str">
        <f aca="false">"Task: Module 11: Building Permission Management / Integration. Deliverable: "&amp;'Project Plan'!AA255</f>
        <v>Task: Module 11: Building Permission Management / Integration. Deliverable: SIT report</v>
      </c>
    </row>
    <row r="215" customFormat="false" ht="15" hidden="false" customHeight="false" outlineLevel="0" collapsed="false">
      <c r="A215" s="50" t="str">
        <f aca="false">'Project Plan'!B256&amp;" "&amp;'Project Plan'!E256</f>
        <v>5.4.15 Defect fixing and regression</v>
      </c>
      <c r="B215" s="6" t="s">
        <v>1047</v>
      </c>
      <c r="C215" s="52" t="n">
        <f aca="false">'Project Plan'!K256</f>
        <v>46570</v>
      </c>
      <c r="D215" s="52" t="n">
        <f aca="false">'Project Plan'!L256</f>
        <v>46605</v>
      </c>
      <c r="E215" s="50" t="str">
        <f aca="false">'Project Plan'!H256</f>
        <v>BE</v>
      </c>
      <c r="F215" s="53" t="n">
        <f aca="false">'Project Plan'!Z256</f>
        <v>23</v>
      </c>
      <c r="G215" s="6" t="s">
        <v>1030</v>
      </c>
      <c r="H215" s="50" t="str">
        <f aca="false">IF('Project Plan'!AB256="Done","Completed",IF('Project Plan'!AB256="Not started","Not started","In progress"))</f>
        <v>Not started</v>
      </c>
      <c r="I215" s="50" t="str">
        <f aca="false">"Task: Module 11: Building Permission Management / Integration. Deliverable: "&amp;'Project Plan'!AA256</f>
        <v>Task: Module 11: Building Permission Management / Integration. Deliverable: Closed defects</v>
      </c>
    </row>
    <row r="216" customFormat="false" ht="15" hidden="false" customHeight="false" outlineLevel="0" collapsed="false">
      <c r="A216" s="50" t="str">
        <f aca="false">'Project Plan'!B257&amp;" "&amp;'Project Plan'!E257</f>
        <v>5.4.16 UAT support with GWMC department</v>
      </c>
      <c r="B216" s="6" t="s">
        <v>1047</v>
      </c>
      <c r="C216" s="52" t="n">
        <f aca="false">'Project Plan'!K257</f>
        <v>46595</v>
      </c>
      <c r="D216" s="52" t="n">
        <f aca="false">'Project Plan'!L257</f>
        <v>46611</v>
      </c>
      <c r="E216" s="50" t="str">
        <f aca="false">'Project Plan'!H257</f>
        <v>BA</v>
      </c>
      <c r="F216" s="53" t="n">
        <f aca="false">'Project Plan'!Z257</f>
        <v>13.8</v>
      </c>
      <c r="G216" s="6" t="s">
        <v>1030</v>
      </c>
      <c r="H216" s="50" t="str">
        <f aca="false">IF('Project Plan'!AB257="Done","Completed",IF('Project Plan'!AB257="Not started","Not started","In progress"))</f>
        <v>Not started</v>
      </c>
      <c r="I216" s="50" t="str">
        <f aca="false">"Task: Module 11: Building Permission Management / Integration. Deliverable: "&amp;'Project Plan'!AA257</f>
        <v>Task: Module 11: Building Permission Management / Integration. Deliverable: UAT sign-off</v>
      </c>
    </row>
    <row r="217" customFormat="false" ht="15" hidden="false" customHeight="false" outlineLevel="0" collapsed="false">
      <c r="A217" s="50" t="str">
        <f aca="false">'Project Plan'!B258&amp;" "&amp;'Project Plan'!E258</f>
        <v>5.4.17 Training material and department training</v>
      </c>
      <c r="B217" s="6" t="s">
        <v>1047</v>
      </c>
      <c r="C217" s="52" t="n">
        <f aca="false">'Project Plan'!K258</f>
        <v>46598</v>
      </c>
      <c r="D217" s="52" t="n">
        <f aca="false">'Project Plan'!L258</f>
        <v>46616</v>
      </c>
      <c r="E217" s="50" t="str">
        <f aca="false">'Project Plan'!H258</f>
        <v>TRN</v>
      </c>
      <c r="F217" s="53" t="n">
        <f aca="false">'Project Plan'!Z258</f>
        <v>10.35</v>
      </c>
      <c r="G217" s="6" t="s">
        <v>1030</v>
      </c>
      <c r="H217" s="50" t="str">
        <f aca="false">IF('Project Plan'!AB258="Done","Completed",IF('Project Plan'!AB258="Not started","Not started","In progress"))</f>
        <v>Not started</v>
      </c>
      <c r="I217" s="50" t="str">
        <f aca="false">"Task: Module 11: Building Permission Management / Integration. Deliverable: "&amp;'Project Plan'!AA258</f>
        <v>Task: Module 11: Building Permission Management / Integration. Deliverable: Trained users, manuals in Telugu and English</v>
      </c>
    </row>
    <row r="218" customFormat="false" ht="15" hidden="false" customHeight="false" outlineLevel="0" collapsed="false">
      <c r="A218" s="50" t="str">
        <f aca="false">'Project Plan'!B260&amp;" "&amp;'Project Plan'!E260</f>
        <v>5.5.1 Process validation workshops and to-be sign-off</v>
      </c>
      <c r="B218" s="6" t="s">
        <v>1048</v>
      </c>
      <c r="C218" s="52" t="n">
        <f aca="false">'Project Plan'!K260</f>
        <v>46450</v>
      </c>
      <c r="D218" s="52" t="n">
        <f aca="false">'Project Plan'!L260</f>
        <v>46471</v>
      </c>
      <c r="E218" s="50" t="str">
        <f aca="false">'Project Plan'!H260</f>
        <v>BA</v>
      </c>
      <c r="F218" s="53" t="n">
        <f aca="false">'Project Plan'!Z260</f>
        <v>13.8</v>
      </c>
      <c r="G218" s="6" t="s">
        <v>1030</v>
      </c>
      <c r="H218" s="50" t="str">
        <f aca="false">IF('Project Plan'!AB260="Done","Completed",IF('Project Plan'!AB260="Not started","Not started","In progress"))</f>
        <v>Not started</v>
      </c>
      <c r="I218" s="50" t="str">
        <f aca="false">"Task: Module 13: Town Planning. Deliverable: "&amp;'Project Plan'!AA260</f>
        <v>Task: Module 13: Town Planning. Deliverable: Signed process maps</v>
      </c>
    </row>
    <row r="219" customFormat="false" ht="15" hidden="false" customHeight="false" outlineLevel="0" collapsed="false">
      <c r="A219" s="50" t="str">
        <f aca="false">'Project Plan'!B261&amp;" "&amp;'Project Plan'!E261</f>
        <v>5.5.2 LLD, data model and API/event contracts</v>
      </c>
      <c r="B219" s="6" t="s">
        <v>1048</v>
      </c>
      <c r="C219" s="52" t="n">
        <f aca="false">'Project Plan'!K261</f>
        <v>46465</v>
      </c>
      <c r="D219" s="52" t="n">
        <f aca="false">'Project Plan'!L261</f>
        <v>46486</v>
      </c>
      <c r="E219" s="50" t="str">
        <f aca="false">'Project Plan'!H261</f>
        <v>ARC</v>
      </c>
      <c r="F219" s="53" t="n">
        <f aca="false">'Project Plan'!Z261</f>
        <v>13.8</v>
      </c>
      <c r="G219" s="6" t="s">
        <v>1030</v>
      </c>
      <c r="H219" s="50" t="str">
        <f aca="false">IF('Project Plan'!AB261="Done","Completed",IF('Project Plan'!AB261="Not started","Not started","In progress"))</f>
        <v>Not started</v>
      </c>
      <c r="I219" s="50" t="str">
        <f aca="false">"Task: Module 13: Town Planning. Deliverable: "&amp;'Project Plan'!AA261</f>
        <v>Task: Module 13: Town Planning. Deliverable: LLD, OpenAPI, schemas</v>
      </c>
    </row>
    <row r="220" customFormat="false" ht="15" hidden="false" customHeight="false" outlineLevel="0" collapsed="false">
      <c r="A220" s="50" t="str">
        <f aca="false">'Project Plan'!B262&amp;" "&amp;'Project Plan'!E262</f>
        <v>5.5.3 UX wireframes and UI design</v>
      </c>
      <c r="B220" s="6" t="s">
        <v>1048</v>
      </c>
      <c r="C220" s="52" t="n">
        <f aca="false">'Project Plan'!K262</f>
        <v>46465</v>
      </c>
      <c r="D220" s="52" t="n">
        <f aca="false">'Project Plan'!L262</f>
        <v>46486</v>
      </c>
      <c r="E220" s="50" t="str">
        <f aca="false">'Project Plan'!H262</f>
        <v>FE</v>
      </c>
      <c r="F220" s="53" t="n">
        <f aca="false">'Project Plan'!Z262</f>
        <v>10.35</v>
      </c>
      <c r="G220" s="6" t="s">
        <v>1030</v>
      </c>
      <c r="H220" s="50" t="str">
        <f aca="false">IF('Project Plan'!AB262="Done","Completed",IF('Project Plan'!AB262="Not started","Not started","In progress"))</f>
        <v>Not started</v>
      </c>
      <c r="I220" s="50" t="str">
        <f aca="false">"Task: Module 13: Town Planning. Deliverable: "&amp;'Project Plan'!AA262</f>
        <v>Task: Module 13: Town Planning. Deliverable: Approved wireframes</v>
      </c>
    </row>
    <row r="221" customFormat="false" ht="15" hidden="false" customHeight="false" outlineLevel="0" collapsed="false">
      <c r="A221" s="50" t="str">
        <f aca="false">'Project Plan'!B263&amp;" "&amp;'Project Plan'!E263</f>
        <v>5.5.4 Database schema, domain logic and APIs</v>
      </c>
      <c r="B221" s="6" t="s">
        <v>1048</v>
      </c>
      <c r="C221" s="52" t="n">
        <f aca="false">'Project Plan'!K263</f>
        <v>46484</v>
      </c>
      <c r="D221" s="52" t="n">
        <f aca="false">'Project Plan'!L263</f>
        <v>46560</v>
      </c>
      <c r="E221" s="50" t="str">
        <f aca="false">'Project Plan'!H263</f>
        <v>BE</v>
      </c>
      <c r="F221" s="53" t="n">
        <f aca="false">'Project Plan'!Z263</f>
        <v>40.25</v>
      </c>
      <c r="G221" s="6" t="s">
        <v>1030</v>
      </c>
      <c r="H221" s="50" t="str">
        <f aca="false">IF('Project Plan'!AB263="Done","Completed",IF('Project Plan'!AB263="Not started","Not started","In progress"))</f>
        <v>Not started</v>
      </c>
      <c r="I221" s="50" t="str">
        <f aca="false">"Task: Module 13: Town Planning. Deliverable: "&amp;'Project Plan'!AA263</f>
        <v>Task: Module 13: Town Planning. Deliverable: Service build</v>
      </c>
    </row>
    <row r="222" customFormat="false" ht="15" hidden="false" customHeight="false" outlineLevel="0" collapsed="false">
      <c r="A222" s="50" t="str">
        <f aca="false">'Project Plan'!B264&amp;" "&amp;'Project Plan'!E264</f>
        <v>5.5.5 Workflows (BPMN) and rules (DMN) configuration</v>
      </c>
      <c r="B222" s="6" t="s">
        <v>1048</v>
      </c>
      <c r="C222" s="52" t="n">
        <f aca="false">'Project Plan'!K264</f>
        <v>46506</v>
      </c>
      <c r="D222" s="52" t="n">
        <f aca="false">'Project Plan'!L264</f>
        <v>46561</v>
      </c>
      <c r="E222" s="50" t="str">
        <f aca="false">'Project Plan'!H264</f>
        <v>BE</v>
      </c>
      <c r="F222" s="53" t="n">
        <f aca="false">'Project Plan'!Z264</f>
        <v>19.55</v>
      </c>
      <c r="G222" s="6" t="s">
        <v>1030</v>
      </c>
      <c r="H222" s="50" t="str">
        <f aca="false">IF('Project Plan'!AB264="Done","Completed",IF('Project Plan'!AB264="Not started","Not started","In progress"))</f>
        <v>Not started</v>
      </c>
      <c r="I222" s="50" t="str">
        <f aca="false">"Task: Module 13: Town Planning. Deliverable: "&amp;'Project Plan'!AA264</f>
        <v>Task: Module 13: Town Planning. Deliverable: Deployed workflows and decision tables</v>
      </c>
    </row>
    <row r="223" customFormat="false" ht="15" hidden="false" customHeight="false" outlineLevel="0" collapsed="false">
      <c r="A223" s="50" t="str">
        <f aca="false">'Project Plan'!B265&amp;" "&amp;'Project Plan'!E265</f>
        <v>5.5.6 Staff console screens</v>
      </c>
      <c r="B223" s="6" t="s">
        <v>1048</v>
      </c>
      <c r="C223" s="52" t="n">
        <f aca="false">'Project Plan'!K265</f>
        <v>46497</v>
      </c>
      <c r="D223" s="52" t="n">
        <f aca="false">'Project Plan'!L265</f>
        <v>46569</v>
      </c>
      <c r="E223" s="50" t="str">
        <f aca="false">'Project Plan'!H265</f>
        <v>FE</v>
      </c>
      <c r="F223" s="53" t="n">
        <f aca="false">'Project Plan'!Z265</f>
        <v>33.35</v>
      </c>
      <c r="G223" s="6" t="s">
        <v>1030</v>
      </c>
      <c r="H223" s="50" t="str">
        <f aca="false">IF('Project Plan'!AB265="Done","Completed",IF('Project Plan'!AB265="Not started","Not started","In progress"))</f>
        <v>Not started</v>
      </c>
      <c r="I223" s="50" t="str">
        <f aca="false">"Task: Module 13: Town Planning. Deliverable: "&amp;'Project Plan'!AA265</f>
        <v>Task: Module 13: Town Planning. Deliverable: Staff screens</v>
      </c>
    </row>
    <row r="224" customFormat="false" ht="15" hidden="false" customHeight="false" outlineLevel="0" collapsed="false">
      <c r="A224" s="50" t="str">
        <f aca="false">'Project Plan'!B266&amp;" "&amp;'Project Plan'!E266</f>
        <v>5.5.7 Citizen portal and app services</v>
      </c>
      <c r="B224" s="6" t="s">
        <v>1048</v>
      </c>
      <c r="C224" s="52" t="n">
        <f aca="false">'Project Plan'!K266</f>
        <v>46514</v>
      </c>
      <c r="D224" s="52" t="n">
        <f aca="false">'Project Plan'!L266</f>
        <v>46569</v>
      </c>
      <c r="E224" s="50" t="str">
        <f aca="false">'Project Plan'!H266</f>
        <v>FE</v>
      </c>
      <c r="F224" s="53" t="n">
        <f aca="false">'Project Plan'!Z266</f>
        <v>24.15</v>
      </c>
      <c r="G224" s="6" t="s">
        <v>1030</v>
      </c>
      <c r="H224" s="50" t="str">
        <f aca="false">IF('Project Plan'!AB266="Done","Completed",IF('Project Plan'!AB266="Not started","Not started","In progress"))</f>
        <v>Not started</v>
      </c>
      <c r="I224" s="50" t="str">
        <f aca="false">"Task: Module 13: Town Planning. Deliverable: "&amp;'Project Plan'!AA266</f>
        <v>Task: Module 13: Town Planning. Deliverable: Citizen services live in MyGWMC</v>
      </c>
    </row>
    <row r="225" customFormat="false" ht="15" hidden="false" customHeight="false" outlineLevel="0" collapsed="false">
      <c r="A225" s="50" t="str">
        <f aca="false">'Project Plan'!B267&amp;" "&amp;'Project Plan'!E267</f>
        <v>5.5.8 Field app tasks (offline)</v>
      </c>
      <c r="B225" s="6" t="s">
        <v>1048</v>
      </c>
      <c r="C225" s="52" t="n">
        <f aca="false">'Project Plan'!K267</f>
        <v>46514</v>
      </c>
      <c r="D225" s="52" t="n">
        <f aca="false">'Project Plan'!L267</f>
        <v>46569</v>
      </c>
      <c r="E225" s="50" t="str">
        <f aca="false">'Project Plan'!H267</f>
        <v>MOB</v>
      </c>
      <c r="F225" s="53" t="n">
        <f aca="false">'Project Plan'!Z267</f>
        <v>16.1</v>
      </c>
      <c r="G225" s="6" t="s">
        <v>1030</v>
      </c>
      <c r="H225" s="50" t="str">
        <f aca="false">IF('Project Plan'!AB267="Done","Completed",IF('Project Plan'!AB267="Not started","Not started","In progress"))</f>
        <v>Not started</v>
      </c>
      <c r="I225" s="50" t="str">
        <f aca="false">"Task: Module 13: Town Planning. Deliverable: "&amp;'Project Plan'!AA267</f>
        <v>Task: Module 13: Town Planning. Deliverable: Field app plug-in</v>
      </c>
    </row>
    <row r="226" customFormat="false" ht="15" hidden="false" customHeight="false" outlineLevel="0" collapsed="false">
      <c r="A226" s="50" t="str">
        <f aca="false">'Project Plan'!B268&amp;" "&amp;'Project Plan'!E268</f>
        <v>5.5.9 GIS layers, map views and spatial checks</v>
      </c>
      <c r="B226" s="6" t="s">
        <v>1048</v>
      </c>
      <c r="C226" s="52" t="n">
        <f aca="false">'Project Plan'!K268</f>
        <v>46497</v>
      </c>
      <c r="D226" s="52" t="n">
        <f aca="false">'Project Plan'!L268</f>
        <v>46560</v>
      </c>
      <c r="E226" s="50" t="str">
        <f aca="false">'Project Plan'!H268</f>
        <v>GIS</v>
      </c>
      <c r="F226" s="53" t="n">
        <f aca="false">'Project Plan'!Z268</f>
        <v>13.8</v>
      </c>
      <c r="G226" s="6" t="s">
        <v>1030</v>
      </c>
      <c r="H226" s="50" t="str">
        <f aca="false">IF('Project Plan'!AB268="Done","Completed",IF('Project Plan'!AB268="Not started","Not started","In progress"))</f>
        <v>Not started</v>
      </c>
      <c r="I226" s="50" t="str">
        <f aca="false">"Task: Module 13: Town Planning. Deliverable: "&amp;'Project Plan'!AA268</f>
        <v>Task: Module 13: Town Planning. Deliverable: Layers and map features</v>
      </c>
    </row>
    <row r="227" customFormat="false" ht="15" hidden="false" customHeight="false" outlineLevel="0" collapsed="false">
      <c r="A227" s="50" t="str">
        <f aca="false">'Project Plan'!B269&amp;" "&amp;'Project Plan'!E269</f>
        <v>5.5.10 Module interfaces (11 I-xx links): events and APIs</v>
      </c>
      <c r="B227" s="6" t="s">
        <v>1048</v>
      </c>
      <c r="C227" s="52" t="n">
        <f aca="false">'Project Plan'!K269</f>
        <v>46525</v>
      </c>
      <c r="D227" s="52" t="n">
        <f aca="false">'Project Plan'!L269</f>
        <v>46575</v>
      </c>
      <c r="E227" s="50" t="str">
        <f aca="false">'Project Plan'!H269</f>
        <v>BE</v>
      </c>
      <c r="F227" s="53" t="n">
        <f aca="false">'Project Plan'!Z269</f>
        <v>18.4</v>
      </c>
      <c r="G227" s="6" t="s">
        <v>1030</v>
      </c>
      <c r="H227" s="50" t="str">
        <f aca="false">IF('Project Plan'!AB269="Done","Completed",IF('Project Plan'!AB269="Not started","Not started","In progress"))</f>
        <v>Not started</v>
      </c>
      <c r="I227" s="50" t="str">
        <f aca="false">"Task: Module 13: Town Planning. Deliverable: "&amp;'Project Plan'!AA269</f>
        <v>Task: Module 13: Town Planning. Deliverable: Contract-tested interfaces</v>
      </c>
    </row>
    <row r="228" customFormat="false" ht="15" hidden="false" customHeight="false" outlineLevel="0" collapsed="false">
      <c r="A228" s="50" t="str">
        <f aca="false">'Project Plan'!B270&amp;" "&amp;'Project Plan'!E270</f>
        <v>5.5.11 External system adapters (3)</v>
      </c>
      <c r="B228" s="6" t="s">
        <v>1048</v>
      </c>
      <c r="C228" s="52" t="n">
        <f aca="false">'Project Plan'!K270</f>
        <v>46514</v>
      </c>
      <c r="D228" s="52" t="n">
        <f aca="false">'Project Plan'!L270</f>
        <v>46575</v>
      </c>
      <c r="E228" s="50" t="str">
        <f aca="false">'Project Plan'!H270</f>
        <v>BE</v>
      </c>
      <c r="F228" s="53" t="n">
        <f aca="false">'Project Plan'!Z270</f>
        <v>20.7</v>
      </c>
      <c r="G228" s="6" t="s">
        <v>1030</v>
      </c>
      <c r="H228" s="50" t="str">
        <f aca="false">IF('Project Plan'!AB270="Done","Completed",IF('Project Plan'!AB270="Not started","Not started","In progress"))</f>
        <v>Not started</v>
      </c>
      <c r="I228" s="50" t="str">
        <f aca="false">"Task: Module 13: Town Planning. Deliverable: "&amp;'Project Plan'!AA270</f>
        <v>Task: Module 13: Town Planning. Deliverable: Adapters tested with provider sandboxes</v>
      </c>
    </row>
    <row r="229" customFormat="false" ht="15" hidden="false" customHeight="false" outlineLevel="0" collapsed="false">
      <c r="A229" s="50" t="str">
        <f aca="false">'Project Plan'!B271&amp;" "&amp;'Project Plan'!E271</f>
        <v>5.5.12 Reports, dashboards, notices and templates (all active languages)</v>
      </c>
      <c r="B229" s="6" t="s">
        <v>1048</v>
      </c>
      <c r="C229" s="52" t="n">
        <f aca="false">'Project Plan'!K271</f>
        <v>46542</v>
      </c>
      <c r="D229" s="52" t="n">
        <f aca="false">'Project Plan'!L271</f>
        <v>46577</v>
      </c>
      <c r="E229" s="50" t="str">
        <f aca="false">'Project Plan'!H271</f>
        <v>BE</v>
      </c>
      <c r="F229" s="53" t="n">
        <f aca="false">'Project Plan'!Z271</f>
        <v>13.8</v>
      </c>
      <c r="G229" s="6" t="s">
        <v>1030</v>
      </c>
      <c r="H229" s="50" t="str">
        <f aca="false">IF('Project Plan'!AB271="Done","Completed",IF('Project Plan'!AB271="Not started","Not started","In progress"))</f>
        <v>Not started</v>
      </c>
      <c r="I229" s="50" t="str">
        <f aca="false">"Task: Module 13: Town Planning. Deliverable: "&amp;'Project Plan'!AA271</f>
        <v>Task: Module 13: Town Planning. Deliverable: Reports and templates</v>
      </c>
    </row>
    <row r="230" customFormat="false" ht="15" hidden="false" customHeight="false" outlineLevel="0" collapsed="false">
      <c r="A230" s="50" t="str">
        <f aca="false">'Project Plan'!B272&amp;" "&amp;'Project Plan'!E272</f>
        <v>5.5.13 Data migration: layouts and LRS records</v>
      </c>
      <c r="B230" s="6" t="s">
        <v>1048</v>
      </c>
      <c r="C230" s="52" t="n">
        <f aca="false">'Project Plan'!K272</f>
        <v>46506</v>
      </c>
      <c r="D230" s="52" t="n">
        <f aca="false">'Project Plan'!L272</f>
        <v>46588</v>
      </c>
      <c r="E230" s="50" t="str">
        <f aca="false">'Project Plan'!H272</f>
        <v>DATA</v>
      </c>
      <c r="F230" s="53" t="n">
        <f aca="false">'Project Plan'!Z272</f>
        <v>18.4</v>
      </c>
      <c r="G230" s="6" t="s">
        <v>1030</v>
      </c>
      <c r="H230" s="50" t="str">
        <f aca="false">IF('Project Plan'!AB272="Done","Completed",IF('Project Plan'!AB272="Not started","Not started","In progress"))</f>
        <v>Not started</v>
      </c>
      <c r="I230" s="50" t="str">
        <f aca="false">"Task: Module 13: Town Planning. Deliverable: "&amp;'Project Plan'!AA272</f>
        <v>Task: Module 13: Town Planning. Deliverable: Migration scripts and reconciliation report</v>
      </c>
    </row>
    <row r="231" customFormat="false" ht="15" hidden="false" customHeight="false" outlineLevel="0" collapsed="false">
      <c r="A231" s="50" t="str">
        <f aca="false">'Project Plan'!B273&amp;" "&amp;'Project Plan'!E273</f>
        <v>5.5.14 System integration testing</v>
      </c>
      <c r="B231" s="6" t="s">
        <v>1048</v>
      </c>
      <c r="C231" s="52" t="n">
        <f aca="false">'Project Plan'!K273</f>
        <v>46566</v>
      </c>
      <c r="D231" s="52" t="n">
        <f aca="false">'Project Plan'!L273</f>
        <v>46594</v>
      </c>
      <c r="E231" s="50" t="str">
        <f aca="false">'Project Plan'!H273</f>
        <v>QA</v>
      </c>
      <c r="F231" s="53" t="n">
        <f aca="false">'Project Plan'!Z273</f>
        <v>27.6</v>
      </c>
      <c r="G231" s="6" t="s">
        <v>1030</v>
      </c>
      <c r="H231" s="50" t="str">
        <f aca="false">IF('Project Plan'!AB273="Done","Completed",IF('Project Plan'!AB273="Not started","Not started","In progress"))</f>
        <v>Not started</v>
      </c>
      <c r="I231" s="50" t="str">
        <f aca="false">"Task: Module 13: Town Planning. Deliverable: "&amp;'Project Plan'!AA273</f>
        <v>Task: Module 13: Town Planning. Deliverable: SIT report</v>
      </c>
    </row>
    <row r="232" customFormat="false" ht="15" hidden="false" customHeight="false" outlineLevel="0" collapsed="false">
      <c r="A232" s="50" t="str">
        <f aca="false">'Project Plan'!B274&amp;" "&amp;'Project Plan'!E274</f>
        <v>5.5.15 Defect fixing and regression</v>
      </c>
      <c r="B232" s="6" t="s">
        <v>1048</v>
      </c>
      <c r="C232" s="52" t="n">
        <f aca="false">'Project Plan'!K274</f>
        <v>46570</v>
      </c>
      <c r="D232" s="52" t="n">
        <f aca="false">'Project Plan'!L274</f>
        <v>46605</v>
      </c>
      <c r="E232" s="50" t="str">
        <f aca="false">'Project Plan'!H274</f>
        <v>BE</v>
      </c>
      <c r="F232" s="53" t="n">
        <f aca="false">'Project Plan'!Z274</f>
        <v>23</v>
      </c>
      <c r="G232" s="6" t="s">
        <v>1030</v>
      </c>
      <c r="H232" s="50" t="str">
        <f aca="false">IF('Project Plan'!AB274="Done","Completed",IF('Project Plan'!AB274="Not started","Not started","In progress"))</f>
        <v>Not started</v>
      </c>
      <c r="I232" s="50" t="str">
        <f aca="false">"Task: Module 13: Town Planning. Deliverable: "&amp;'Project Plan'!AA274</f>
        <v>Task: Module 13: Town Planning. Deliverable: Closed defects</v>
      </c>
    </row>
    <row r="233" customFormat="false" ht="15" hidden="false" customHeight="false" outlineLevel="0" collapsed="false">
      <c r="A233" s="50" t="str">
        <f aca="false">'Project Plan'!B275&amp;" "&amp;'Project Plan'!E275</f>
        <v>5.5.16 UAT support with GWMC department</v>
      </c>
      <c r="B233" s="6" t="s">
        <v>1048</v>
      </c>
      <c r="C233" s="52" t="n">
        <f aca="false">'Project Plan'!K275</f>
        <v>46595</v>
      </c>
      <c r="D233" s="52" t="n">
        <f aca="false">'Project Plan'!L275</f>
        <v>46611</v>
      </c>
      <c r="E233" s="50" t="str">
        <f aca="false">'Project Plan'!H275</f>
        <v>BA</v>
      </c>
      <c r="F233" s="53" t="n">
        <f aca="false">'Project Plan'!Z275</f>
        <v>13.8</v>
      </c>
      <c r="G233" s="6" t="s">
        <v>1030</v>
      </c>
      <c r="H233" s="50" t="str">
        <f aca="false">IF('Project Plan'!AB275="Done","Completed",IF('Project Plan'!AB275="Not started","Not started","In progress"))</f>
        <v>Not started</v>
      </c>
      <c r="I233" s="50" t="str">
        <f aca="false">"Task: Module 13: Town Planning. Deliverable: "&amp;'Project Plan'!AA275</f>
        <v>Task: Module 13: Town Planning. Deliverable: UAT sign-off</v>
      </c>
    </row>
    <row r="234" customFormat="false" ht="15" hidden="false" customHeight="false" outlineLevel="0" collapsed="false">
      <c r="A234" s="50" t="str">
        <f aca="false">'Project Plan'!B276&amp;" "&amp;'Project Plan'!E276</f>
        <v>5.5.17 Training material and department training</v>
      </c>
      <c r="B234" s="6" t="s">
        <v>1048</v>
      </c>
      <c r="C234" s="52" t="n">
        <f aca="false">'Project Plan'!K276</f>
        <v>46598</v>
      </c>
      <c r="D234" s="52" t="n">
        <f aca="false">'Project Plan'!L276</f>
        <v>46616</v>
      </c>
      <c r="E234" s="50" t="str">
        <f aca="false">'Project Plan'!H276</f>
        <v>TRN</v>
      </c>
      <c r="F234" s="53" t="n">
        <f aca="false">'Project Plan'!Z276</f>
        <v>10.35</v>
      </c>
      <c r="G234" s="6" t="s">
        <v>1030</v>
      </c>
      <c r="H234" s="50" t="str">
        <f aca="false">IF('Project Plan'!AB276="Done","Completed",IF('Project Plan'!AB276="Not started","Not started","In progress"))</f>
        <v>Not started</v>
      </c>
      <c r="I234" s="50" t="str">
        <f aca="false">"Task: Module 13: Town Planning. Deliverable: "&amp;'Project Plan'!AA276</f>
        <v>Task: Module 13: Town Planning. Deliverable: Trained users, manuals in Telugu and English</v>
      </c>
    </row>
    <row r="235" customFormat="false" ht="15" hidden="false" customHeight="false" outlineLevel="0" collapsed="false">
      <c r="A235" s="50" t="str">
        <f aca="false">'Project Plan'!B278&amp;" "&amp;'Project Plan'!E278</f>
        <v>5.6.1 Process validation workshops and to-be sign-off</v>
      </c>
      <c r="B235" s="6" t="s">
        <v>1049</v>
      </c>
      <c r="C235" s="52" t="n">
        <f aca="false">'Project Plan'!K278</f>
        <v>46450</v>
      </c>
      <c r="D235" s="52" t="n">
        <f aca="false">'Project Plan'!L278</f>
        <v>46471</v>
      </c>
      <c r="E235" s="50" t="str">
        <f aca="false">'Project Plan'!H278</f>
        <v>BA</v>
      </c>
      <c r="F235" s="53" t="n">
        <f aca="false">'Project Plan'!Z278</f>
        <v>11.5</v>
      </c>
      <c r="G235" s="6" t="s">
        <v>1030</v>
      </c>
      <c r="H235" s="50" t="str">
        <f aca="false">IF('Project Plan'!AB278="Done","Completed",IF('Project Plan'!AB278="Not started","Not started","In progress"))</f>
        <v>Not started</v>
      </c>
      <c r="I235" s="50" t="str">
        <f aca="false">"Task: Module 18: Fire NOC Management. Deliverable: "&amp;'Project Plan'!AA278</f>
        <v>Task: Module 18: Fire NOC Management. Deliverable: Signed process maps</v>
      </c>
    </row>
    <row r="236" customFormat="false" ht="15" hidden="false" customHeight="false" outlineLevel="0" collapsed="false">
      <c r="A236" s="50" t="str">
        <f aca="false">'Project Plan'!B279&amp;" "&amp;'Project Plan'!E279</f>
        <v>5.6.2 LLD, data model and API/event contracts</v>
      </c>
      <c r="B236" s="6" t="s">
        <v>1049</v>
      </c>
      <c r="C236" s="52" t="n">
        <f aca="false">'Project Plan'!K279</f>
        <v>46465</v>
      </c>
      <c r="D236" s="52" t="n">
        <f aca="false">'Project Plan'!L279</f>
        <v>46486</v>
      </c>
      <c r="E236" s="50" t="str">
        <f aca="false">'Project Plan'!H279</f>
        <v>ARC</v>
      </c>
      <c r="F236" s="53" t="n">
        <f aca="false">'Project Plan'!Z279</f>
        <v>9.2</v>
      </c>
      <c r="G236" s="6" t="s">
        <v>1030</v>
      </c>
      <c r="H236" s="50" t="str">
        <f aca="false">IF('Project Plan'!AB279="Done","Completed",IF('Project Plan'!AB279="Not started","Not started","In progress"))</f>
        <v>Not started</v>
      </c>
      <c r="I236" s="50" t="str">
        <f aca="false">"Task: Module 18: Fire NOC Management. Deliverable: "&amp;'Project Plan'!AA279</f>
        <v>Task: Module 18: Fire NOC Management. Deliverable: LLD, OpenAPI, schemas</v>
      </c>
    </row>
    <row r="237" customFormat="false" ht="15" hidden="false" customHeight="false" outlineLevel="0" collapsed="false">
      <c r="A237" s="50" t="str">
        <f aca="false">'Project Plan'!B280&amp;" "&amp;'Project Plan'!E280</f>
        <v>5.6.3 UX wireframes and UI design</v>
      </c>
      <c r="B237" s="6" t="s">
        <v>1049</v>
      </c>
      <c r="C237" s="52" t="n">
        <f aca="false">'Project Plan'!K280</f>
        <v>46465</v>
      </c>
      <c r="D237" s="52" t="n">
        <f aca="false">'Project Plan'!L280</f>
        <v>46486</v>
      </c>
      <c r="E237" s="50" t="str">
        <f aca="false">'Project Plan'!H280</f>
        <v>FE</v>
      </c>
      <c r="F237" s="53" t="n">
        <f aca="false">'Project Plan'!Z280</f>
        <v>8.05</v>
      </c>
      <c r="G237" s="6" t="s">
        <v>1030</v>
      </c>
      <c r="H237" s="50" t="str">
        <f aca="false">IF('Project Plan'!AB280="Done","Completed",IF('Project Plan'!AB280="Not started","Not started","In progress"))</f>
        <v>Not started</v>
      </c>
      <c r="I237" s="50" t="str">
        <f aca="false">"Task: Module 18: Fire NOC Management. Deliverable: "&amp;'Project Plan'!AA280</f>
        <v>Task: Module 18: Fire NOC Management. Deliverable: Approved wireframes</v>
      </c>
    </row>
    <row r="238" customFormat="false" ht="15" hidden="false" customHeight="false" outlineLevel="0" collapsed="false">
      <c r="A238" s="50" t="str">
        <f aca="false">'Project Plan'!B281&amp;" "&amp;'Project Plan'!E281</f>
        <v>5.6.4 Database schema, domain logic and APIs</v>
      </c>
      <c r="B238" s="6" t="s">
        <v>1049</v>
      </c>
      <c r="C238" s="52" t="n">
        <f aca="false">'Project Plan'!K281</f>
        <v>46484</v>
      </c>
      <c r="D238" s="52" t="n">
        <f aca="false">'Project Plan'!L281</f>
        <v>46560</v>
      </c>
      <c r="E238" s="50" t="str">
        <f aca="false">'Project Plan'!H281</f>
        <v>BE</v>
      </c>
      <c r="F238" s="53" t="n">
        <f aca="false">'Project Plan'!Z281</f>
        <v>29.9</v>
      </c>
      <c r="G238" s="6" t="s">
        <v>1030</v>
      </c>
      <c r="H238" s="50" t="str">
        <f aca="false">IF('Project Plan'!AB281="Done","Completed",IF('Project Plan'!AB281="Not started","Not started","In progress"))</f>
        <v>Not started</v>
      </c>
      <c r="I238" s="50" t="str">
        <f aca="false">"Task: Module 18: Fire NOC Management. Deliverable: "&amp;'Project Plan'!AA281</f>
        <v>Task: Module 18: Fire NOC Management. Deliverable: Service build</v>
      </c>
    </row>
    <row r="239" customFormat="false" ht="15" hidden="false" customHeight="false" outlineLevel="0" collapsed="false">
      <c r="A239" s="50" t="str">
        <f aca="false">'Project Plan'!B282&amp;" "&amp;'Project Plan'!E282</f>
        <v>5.6.5 Workflows (BPMN) and rules (DMN) configuration</v>
      </c>
      <c r="B239" s="6" t="s">
        <v>1049</v>
      </c>
      <c r="C239" s="52" t="n">
        <f aca="false">'Project Plan'!K282</f>
        <v>46506</v>
      </c>
      <c r="D239" s="52" t="n">
        <f aca="false">'Project Plan'!L282</f>
        <v>46561</v>
      </c>
      <c r="E239" s="50" t="str">
        <f aca="false">'Project Plan'!H282</f>
        <v>BE</v>
      </c>
      <c r="F239" s="53" t="n">
        <f aca="false">'Project Plan'!Z282</f>
        <v>14.95</v>
      </c>
      <c r="G239" s="6" t="s">
        <v>1030</v>
      </c>
      <c r="H239" s="50" t="str">
        <f aca="false">IF('Project Plan'!AB282="Done","Completed",IF('Project Plan'!AB282="Not started","Not started","In progress"))</f>
        <v>Not started</v>
      </c>
      <c r="I239" s="50" t="str">
        <f aca="false">"Task: Module 18: Fire NOC Management. Deliverable: "&amp;'Project Plan'!AA282</f>
        <v>Task: Module 18: Fire NOC Management. Deliverable: Deployed workflows and decision tables</v>
      </c>
    </row>
    <row r="240" customFormat="false" ht="15" hidden="false" customHeight="false" outlineLevel="0" collapsed="false">
      <c r="A240" s="50" t="str">
        <f aca="false">'Project Plan'!B283&amp;" "&amp;'Project Plan'!E283</f>
        <v>5.6.6 Staff console screens</v>
      </c>
      <c r="B240" s="6" t="s">
        <v>1049</v>
      </c>
      <c r="C240" s="52" t="n">
        <f aca="false">'Project Plan'!K283</f>
        <v>46497</v>
      </c>
      <c r="D240" s="52" t="n">
        <f aca="false">'Project Plan'!L283</f>
        <v>46569</v>
      </c>
      <c r="E240" s="50" t="str">
        <f aca="false">'Project Plan'!H283</f>
        <v>FE</v>
      </c>
      <c r="F240" s="53" t="n">
        <f aca="false">'Project Plan'!Z283</f>
        <v>25.3</v>
      </c>
      <c r="G240" s="6" t="s">
        <v>1030</v>
      </c>
      <c r="H240" s="50" t="str">
        <f aca="false">IF('Project Plan'!AB283="Done","Completed",IF('Project Plan'!AB283="Not started","Not started","In progress"))</f>
        <v>Not started</v>
      </c>
      <c r="I240" s="50" t="str">
        <f aca="false">"Task: Module 18: Fire NOC Management. Deliverable: "&amp;'Project Plan'!AA283</f>
        <v>Task: Module 18: Fire NOC Management. Deliverable: Staff screens</v>
      </c>
    </row>
    <row r="241" customFormat="false" ht="15" hidden="false" customHeight="false" outlineLevel="0" collapsed="false">
      <c r="A241" s="50" t="str">
        <f aca="false">'Project Plan'!B284&amp;" "&amp;'Project Plan'!E284</f>
        <v>5.6.7 Citizen portal and app services</v>
      </c>
      <c r="B241" s="6" t="s">
        <v>1049</v>
      </c>
      <c r="C241" s="52" t="n">
        <f aca="false">'Project Plan'!K284</f>
        <v>46514</v>
      </c>
      <c r="D241" s="52" t="n">
        <f aca="false">'Project Plan'!L284</f>
        <v>46569</v>
      </c>
      <c r="E241" s="50" t="str">
        <f aca="false">'Project Plan'!H284</f>
        <v>FE</v>
      </c>
      <c r="F241" s="53" t="n">
        <f aca="false">'Project Plan'!Z284</f>
        <v>17.25</v>
      </c>
      <c r="G241" s="6" t="s">
        <v>1030</v>
      </c>
      <c r="H241" s="50" t="str">
        <f aca="false">IF('Project Plan'!AB284="Done","Completed",IF('Project Plan'!AB284="Not started","Not started","In progress"))</f>
        <v>Not started</v>
      </c>
      <c r="I241" s="50" t="str">
        <f aca="false">"Task: Module 18: Fire NOC Management. Deliverable: "&amp;'Project Plan'!AA284</f>
        <v>Task: Module 18: Fire NOC Management. Deliverable: Citizen services live in MyGWMC</v>
      </c>
    </row>
    <row r="242" customFormat="false" ht="15" hidden="false" customHeight="false" outlineLevel="0" collapsed="false">
      <c r="A242" s="50" t="str">
        <f aca="false">'Project Plan'!B285&amp;" "&amp;'Project Plan'!E285</f>
        <v>5.6.8 Field app tasks (offline)</v>
      </c>
      <c r="B242" s="6" t="s">
        <v>1049</v>
      </c>
      <c r="C242" s="52" t="n">
        <f aca="false">'Project Plan'!K285</f>
        <v>46514</v>
      </c>
      <c r="D242" s="52" t="n">
        <f aca="false">'Project Plan'!L285</f>
        <v>46569</v>
      </c>
      <c r="E242" s="50" t="str">
        <f aca="false">'Project Plan'!H285</f>
        <v>MOB</v>
      </c>
      <c r="F242" s="53" t="n">
        <f aca="false">'Project Plan'!Z285</f>
        <v>11.5</v>
      </c>
      <c r="G242" s="6" t="s">
        <v>1030</v>
      </c>
      <c r="H242" s="50" t="str">
        <f aca="false">IF('Project Plan'!AB285="Done","Completed",IF('Project Plan'!AB285="Not started","Not started","In progress"))</f>
        <v>Not started</v>
      </c>
      <c r="I242" s="50" t="str">
        <f aca="false">"Task: Module 18: Fire NOC Management. Deliverable: "&amp;'Project Plan'!AA285</f>
        <v>Task: Module 18: Fire NOC Management. Deliverable: Field app plug-in</v>
      </c>
    </row>
    <row r="243" customFormat="false" ht="15" hidden="false" customHeight="false" outlineLevel="0" collapsed="false">
      <c r="A243" s="50" t="str">
        <f aca="false">'Project Plan'!B286&amp;" "&amp;'Project Plan'!E286</f>
        <v>5.6.9 GIS layers, map views and spatial checks</v>
      </c>
      <c r="B243" s="6" t="s">
        <v>1049</v>
      </c>
      <c r="C243" s="52" t="n">
        <f aca="false">'Project Plan'!K286</f>
        <v>46497</v>
      </c>
      <c r="D243" s="52" t="n">
        <f aca="false">'Project Plan'!L286</f>
        <v>46560</v>
      </c>
      <c r="E243" s="50" t="str">
        <f aca="false">'Project Plan'!H286</f>
        <v>GIS</v>
      </c>
      <c r="F243" s="53" t="n">
        <f aca="false">'Project Plan'!Z286</f>
        <v>10.35</v>
      </c>
      <c r="G243" s="6" t="s">
        <v>1030</v>
      </c>
      <c r="H243" s="50" t="str">
        <f aca="false">IF('Project Plan'!AB286="Done","Completed",IF('Project Plan'!AB286="Not started","Not started","In progress"))</f>
        <v>Not started</v>
      </c>
      <c r="I243" s="50" t="str">
        <f aca="false">"Task: Module 18: Fire NOC Management. Deliverable: "&amp;'Project Plan'!AA286</f>
        <v>Task: Module 18: Fire NOC Management. Deliverable: Layers and map features</v>
      </c>
    </row>
    <row r="244" customFormat="false" ht="15" hidden="false" customHeight="false" outlineLevel="0" collapsed="false">
      <c r="A244" s="50" t="str">
        <f aca="false">'Project Plan'!B287&amp;" "&amp;'Project Plan'!E287</f>
        <v>5.6.10 Module interfaces (11 I-xx links): events and APIs</v>
      </c>
      <c r="B244" s="6" t="s">
        <v>1049</v>
      </c>
      <c r="C244" s="52" t="n">
        <f aca="false">'Project Plan'!K287</f>
        <v>46525</v>
      </c>
      <c r="D244" s="52" t="n">
        <f aca="false">'Project Plan'!L287</f>
        <v>46575</v>
      </c>
      <c r="E244" s="50" t="str">
        <f aca="false">'Project Plan'!H287</f>
        <v>BE</v>
      </c>
      <c r="F244" s="53" t="n">
        <f aca="false">'Project Plan'!Z287</f>
        <v>18.4</v>
      </c>
      <c r="G244" s="6" t="s">
        <v>1030</v>
      </c>
      <c r="H244" s="50" t="str">
        <f aca="false">IF('Project Plan'!AB287="Done","Completed",IF('Project Plan'!AB287="Not started","Not started","In progress"))</f>
        <v>Not started</v>
      </c>
      <c r="I244" s="50" t="str">
        <f aca="false">"Task: Module 18: Fire NOC Management. Deliverable: "&amp;'Project Plan'!AA287</f>
        <v>Task: Module 18: Fire NOC Management. Deliverable: Contract-tested interfaces</v>
      </c>
    </row>
    <row r="245" customFormat="false" ht="15" hidden="false" customHeight="false" outlineLevel="0" collapsed="false">
      <c r="A245" s="50" t="str">
        <f aca="false">'Project Plan'!B288&amp;" "&amp;'Project Plan'!E288</f>
        <v>5.6.11 External system adapters (3)</v>
      </c>
      <c r="B245" s="6" t="s">
        <v>1049</v>
      </c>
      <c r="C245" s="52" t="n">
        <f aca="false">'Project Plan'!K288</f>
        <v>46514</v>
      </c>
      <c r="D245" s="52" t="n">
        <f aca="false">'Project Plan'!L288</f>
        <v>46575</v>
      </c>
      <c r="E245" s="50" t="str">
        <f aca="false">'Project Plan'!H288</f>
        <v>BE</v>
      </c>
      <c r="F245" s="53" t="n">
        <f aca="false">'Project Plan'!Z288</f>
        <v>20.7</v>
      </c>
      <c r="G245" s="6" t="s">
        <v>1030</v>
      </c>
      <c r="H245" s="50" t="str">
        <f aca="false">IF('Project Plan'!AB288="Done","Completed",IF('Project Plan'!AB288="Not started","Not started","In progress"))</f>
        <v>Not started</v>
      </c>
      <c r="I245" s="50" t="str">
        <f aca="false">"Task: Module 18: Fire NOC Management. Deliverable: "&amp;'Project Plan'!AA288</f>
        <v>Task: Module 18: Fire NOC Management. Deliverable: Adapters tested with provider sandboxes</v>
      </c>
    </row>
    <row r="246" customFormat="false" ht="15" hidden="false" customHeight="false" outlineLevel="0" collapsed="false">
      <c r="A246" s="50" t="str">
        <f aca="false">'Project Plan'!B289&amp;" "&amp;'Project Plan'!E289</f>
        <v>5.6.12 Reports, dashboards, notices and templates (all active languages)</v>
      </c>
      <c r="B246" s="6" t="s">
        <v>1049</v>
      </c>
      <c r="C246" s="52" t="n">
        <f aca="false">'Project Plan'!K289</f>
        <v>46542</v>
      </c>
      <c r="D246" s="52" t="n">
        <f aca="false">'Project Plan'!L289</f>
        <v>46577</v>
      </c>
      <c r="E246" s="50" t="str">
        <f aca="false">'Project Plan'!H289</f>
        <v>BE</v>
      </c>
      <c r="F246" s="53" t="n">
        <f aca="false">'Project Plan'!Z289</f>
        <v>11.5</v>
      </c>
      <c r="G246" s="6" t="s">
        <v>1030</v>
      </c>
      <c r="H246" s="50" t="str">
        <f aca="false">IF('Project Plan'!AB289="Done","Completed",IF('Project Plan'!AB289="Not started","Not started","In progress"))</f>
        <v>Not started</v>
      </c>
      <c r="I246" s="50" t="str">
        <f aca="false">"Task: Module 18: Fire NOC Management. Deliverable: "&amp;'Project Plan'!AA289</f>
        <v>Task: Module 18: Fire NOC Management. Deliverable: Reports and templates</v>
      </c>
    </row>
    <row r="247" customFormat="false" ht="15" hidden="false" customHeight="false" outlineLevel="0" collapsed="false">
      <c r="A247" s="50" t="str">
        <f aca="false">'Project Plan'!B290&amp;" "&amp;'Project Plan'!E290</f>
        <v>5.6.13 System integration testing</v>
      </c>
      <c r="B247" s="6" t="s">
        <v>1049</v>
      </c>
      <c r="C247" s="52" t="n">
        <f aca="false">'Project Plan'!K290</f>
        <v>46566</v>
      </c>
      <c r="D247" s="52" t="n">
        <f aca="false">'Project Plan'!L290</f>
        <v>46594</v>
      </c>
      <c r="E247" s="50" t="str">
        <f aca="false">'Project Plan'!H290</f>
        <v>QA</v>
      </c>
      <c r="F247" s="53" t="n">
        <f aca="false">'Project Plan'!Z290</f>
        <v>20.7</v>
      </c>
      <c r="G247" s="6" t="s">
        <v>1030</v>
      </c>
      <c r="H247" s="50" t="str">
        <f aca="false">IF('Project Plan'!AB290="Done","Completed",IF('Project Plan'!AB290="Not started","Not started","In progress"))</f>
        <v>Not started</v>
      </c>
      <c r="I247" s="50" t="str">
        <f aca="false">"Task: Module 18: Fire NOC Management. Deliverable: "&amp;'Project Plan'!AA290</f>
        <v>Task: Module 18: Fire NOC Management. Deliverable: SIT report</v>
      </c>
    </row>
    <row r="248" customFormat="false" ht="15" hidden="false" customHeight="false" outlineLevel="0" collapsed="false">
      <c r="A248" s="50" t="str">
        <f aca="false">'Project Plan'!B291&amp;" "&amp;'Project Plan'!E291</f>
        <v>5.6.14 Defect fixing and regression</v>
      </c>
      <c r="B248" s="6" t="s">
        <v>1049</v>
      </c>
      <c r="C248" s="52" t="n">
        <f aca="false">'Project Plan'!K291</f>
        <v>46570</v>
      </c>
      <c r="D248" s="52" t="n">
        <f aca="false">'Project Plan'!L291</f>
        <v>46605</v>
      </c>
      <c r="E248" s="50" t="str">
        <f aca="false">'Project Plan'!H291</f>
        <v>BE</v>
      </c>
      <c r="F248" s="53" t="n">
        <f aca="false">'Project Plan'!Z291</f>
        <v>17.25</v>
      </c>
      <c r="G248" s="6" t="s">
        <v>1030</v>
      </c>
      <c r="H248" s="50" t="str">
        <f aca="false">IF('Project Plan'!AB291="Done","Completed",IF('Project Plan'!AB291="Not started","Not started","In progress"))</f>
        <v>Not started</v>
      </c>
      <c r="I248" s="50" t="str">
        <f aca="false">"Task: Module 18: Fire NOC Management. Deliverable: "&amp;'Project Plan'!AA291</f>
        <v>Task: Module 18: Fire NOC Management. Deliverable: Closed defects</v>
      </c>
    </row>
    <row r="249" customFormat="false" ht="15" hidden="false" customHeight="false" outlineLevel="0" collapsed="false">
      <c r="A249" s="50" t="str">
        <f aca="false">'Project Plan'!B292&amp;" "&amp;'Project Plan'!E292</f>
        <v>5.6.15 UAT support with GWMC department</v>
      </c>
      <c r="B249" s="6" t="s">
        <v>1049</v>
      </c>
      <c r="C249" s="52" t="n">
        <f aca="false">'Project Plan'!K292</f>
        <v>46595</v>
      </c>
      <c r="D249" s="52" t="n">
        <f aca="false">'Project Plan'!L292</f>
        <v>46611</v>
      </c>
      <c r="E249" s="50" t="str">
        <f aca="false">'Project Plan'!H292</f>
        <v>BA</v>
      </c>
      <c r="F249" s="53" t="n">
        <f aca="false">'Project Plan'!Z292</f>
        <v>9.2</v>
      </c>
      <c r="G249" s="6" t="s">
        <v>1030</v>
      </c>
      <c r="H249" s="50" t="str">
        <f aca="false">IF('Project Plan'!AB292="Done","Completed",IF('Project Plan'!AB292="Not started","Not started","In progress"))</f>
        <v>Not started</v>
      </c>
      <c r="I249" s="50" t="str">
        <f aca="false">"Task: Module 18: Fire NOC Management. Deliverable: "&amp;'Project Plan'!AA292</f>
        <v>Task: Module 18: Fire NOC Management. Deliverable: UAT sign-off</v>
      </c>
    </row>
    <row r="250" customFormat="false" ht="15" hidden="false" customHeight="false" outlineLevel="0" collapsed="false">
      <c r="A250" s="50" t="str">
        <f aca="false">'Project Plan'!B293&amp;" "&amp;'Project Plan'!E293</f>
        <v>5.6.16 Training material and department training</v>
      </c>
      <c r="B250" s="6" t="s">
        <v>1049</v>
      </c>
      <c r="C250" s="52" t="n">
        <f aca="false">'Project Plan'!K293</f>
        <v>46598</v>
      </c>
      <c r="D250" s="52" t="n">
        <f aca="false">'Project Plan'!L293</f>
        <v>46616</v>
      </c>
      <c r="E250" s="50" t="str">
        <f aca="false">'Project Plan'!H293</f>
        <v>TRN</v>
      </c>
      <c r="F250" s="53" t="n">
        <f aca="false">'Project Plan'!Z293</f>
        <v>8.05</v>
      </c>
      <c r="G250" s="6" t="s">
        <v>1030</v>
      </c>
      <c r="H250" s="50" t="str">
        <f aca="false">IF('Project Plan'!AB293="Done","Completed",IF('Project Plan'!AB293="Not started","Not started","In progress"))</f>
        <v>Not started</v>
      </c>
      <c r="I250" s="50" t="str">
        <f aca="false">"Task: Module 18: Fire NOC Management. Deliverable: "&amp;'Project Plan'!AA293</f>
        <v>Task: Module 18: Fire NOC Management. Deliverable: Trained users, manuals in Telugu and English</v>
      </c>
    </row>
    <row r="251" customFormat="false" ht="15" hidden="false" customHeight="false" outlineLevel="0" collapsed="false">
      <c r="A251" s="50" t="str">
        <f aca="false">'Project Plan'!B295&amp;" "&amp;'Project Plan'!E295</f>
        <v>5.7.1 End-to-end integration testing (SRS E2E scenarios)</v>
      </c>
      <c r="B251" s="6" t="s">
        <v>1050</v>
      </c>
      <c r="C251" s="52" t="n">
        <f aca="false">'Project Plan'!K295</f>
        <v>46583</v>
      </c>
      <c r="D251" s="52" t="n">
        <f aca="false">'Project Plan'!L295</f>
        <v>46601</v>
      </c>
      <c r="E251" s="50" t="str">
        <f aca="false">'Project Plan'!H295</f>
        <v>QA</v>
      </c>
      <c r="F251" s="53" t="n">
        <f aca="false">'Project Plan'!Z295</f>
        <v>34.5</v>
      </c>
      <c r="G251" s="6" t="s">
        <v>1030</v>
      </c>
      <c r="H251" s="50" t="str">
        <f aca="false">IF('Project Plan'!AB295="Done","Completed",IF('Project Plan'!AB295="Not started","Not started","In progress"))</f>
        <v>Not started</v>
      </c>
      <c r="I251" s="50" t="str">
        <f aca="false">"Task: Phase 2 release, testing and go-live. Deliverable: "&amp;'Project Plan'!AA295</f>
        <v>Task: Phase 2 release, testing and go-live. Deliverable: E2E report</v>
      </c>
    </row>
    <row r="252" customFormat="false" ht="15" hidden="false" customHeight="false" outlineLevel="0" collapsed="false">
      <c r="A252" s="50" t="str">
        <f aca="false">'Project Plan'!B296&amp;" "&amp;'Project Plan'!E296</f>
        <v>5.7.2 Performance and load testing (NFR-001/002)</v>
      </c>
      <c r="B252" s="6" t="s">
        <v>1050</v>
      </c>
      <c r="C252" s="52" t="n">
        <f aca="false">'Project Plan'!K296</f>
        <v>46589</v>
      </c>
      <c r="D252" s="52" t="n">
        <f aca="false">'Project Plan'!L296</f>
        <v>46601</v>
      </c>
      <c r="E252" s="50" t="str">
        <f aca="false">'Project Plan'!H296</f>
        <v>QA</v>
      </c>
      <c r="F252" s="53" t="n">
        <f aca="false">'Project Plan'!Z296</f>
        <v>18.4</v>
      </c>
      <c r="G252" s="6" t="s">
        <v>1030</v>
      </c>
      <c r="H252" s="50" t="str">
        <f aca="false">IF('Project Plan'!AB296="Done","Completed",IF('Project Plan'!AB296="Not started","Not started","In progress"))</f>
        <v>Not started</v>
      </c>
      <c r="I252" s="50" t="str">
        <f aca="false">"Task: Phase 2 release, testing and go-live. Deliverable: "&amp;'Project Plan'!AA296</f>
        <v>Task: Phase 2 release, testing and go-live. Deliverable: Performance report</v>
      </c>
    </row>
    <row r="253" customFormat="false" ht="15" hidden="false" customHeight="false" outlineLevel="0" collapsed="false">
      <c r="A253" s="50" t="str">
        <f aca="false">'Project Plan'!B297&amp;" "&amp;'Project Plan'!E297</f>
        <v>5.7.3 Security audit by CERT-In empanelled auditor and fixes</v>
      </c>
      <c r="B253" s="6" t="s">
        <v>1050</v>
      </c>
      <c r="C253" s="52" t="n">
        <f aca="false">'Project Plan'!K297</f>
        <v>46595</v>
      </c>
      <c r="D253" s="52" t="n">
        <f aca="false">'Project Plan'!L297</f>
        <v>46611</v>
      </c>
      <c r="E253" s="50" t="str">
        <f aca="false">'Project Plan'!H297</f>
        <v>QA</v>
      </c>
      <c r="F253" s="53" t="n">
        <f aca="false">'Project Plan'!Z297</f>
        <v>24.15</v>
      </c>
      <c r="G253" s="6" t="s">
        <v>1030</v>
      </c>
      <c r="H253" s="50" t="str">
        <f aca="false">IF('Project Plan'!AB297="Done","Completed",IF('Project Plan'!AB297="Not started","Not started","In progress"))</f>
        <v>Not started</v>
      </c>
      <c r="I253" s="50" t="str">
        <f aca="false">"Task: Phase 2 release, testing and go-live. Deliverable: "&amp;'Project Plan'!AA297</f>
        <v>Task: Phase 2 release, testing and go-live. Deliverable: Audit certificate</v>
      </c>
    </row>
    <row r="254" customFormat="false" ht="15" hidden="false" customHeight="false" outlineLevel="0" collapsed="false">
      <c r="A254" s="50" t="str">
        <f aca="false">'Project Plan'!B298&amp;" "&amp;'Project Plan'!E298</f>
        <v>5.7.4 Training of trainers and end-user training programme</v>
      </c>
      <c r="B254" s="6" t="s">
        <v>1050</v>
      </c>
      <c r="C254" s="52" t="n">
        <f aca="false">'Project Plan'!K298</f>
        <v>46602</v>
      </c>
      <c r="D254" s="52" t="n">
        <f aca="false">'Project Plan'!L298</f>
        <v>46618</v>
      </c>
      <c r="E254" s="50" t="str">
        <f aca="false">'Project Plan'!H298</f>
        <v>TRN</v>
      </c>
      <c r="F254" s="53" t="n">
        <f aca="false">'Project Plan'!Z298</f>
        <v>23</v>
      </c>
      <c r="G254" s="6" t="s">
        <v>1030</v>
      </c>
      <c r="H254" s="50" t="str">
        <f aca="false">IF('Project Plan'!AB298="Done","Completed",IF('Project Plan'!AB298="Not started","Not started","In progress"))</f>
        <v>Not started</v>
      </c>
      <c r="I254" s="50" t="str">
        <f aca="false">"Task: Phase 2 release, testing and go-live. Deliverable: "&amp;'Project Plan'!AA298</f>
        <v>Task: Phase 2 release, testing and go-live. Deliverable: Training attendance and feedback</v>
      </c>
    </row>
    <row r="255" customFormat="false" ht="15" hidden="false" customHeight="false" outlineLevel="0" collapsed="false">
      <c r="A255" s="50" t="str">
        <f aca="false">'Project Plan'!B299&amp;" "&amp;'Project Plan'!E299</f>
        <v>5.7.5 Migration dress rehearsal and cut-over plan</v>
      </c>
      <c r="B255" s="6" t="s">
        <v>1050</v>
      </c>
      <c r="C255" s="52" t="n">
        <f aca="false">'Project Plan'!K299</f>
        <v>46605</v>
      </c>
      <c r="D255" s="52" t="n">
        <f aca="false">'Project Plan'!L299</f>
        <v>46616</v>
      </c>
      <c r="E255" s="50" t="str">
        <f aca="false">'Project Plan'!H299</f>
        <v>DATA</v>
      </c>
      <c r="F255" s="53" t="n">
        <f aca="false">'Project Plan'!Z299</f>
        <v>14.95</v>
      </c>
      <c r="G255" s="6" t="s">
        <v>1030</v>
      </c>
      <c r="H255" s="50" t="str">
        <f aca="false">IF('Project Plan'!AB299="Done","Completed",IF('Project Plan'!AB299="Not started","Not started","In progress"))</f>
        <v>Not started</v>
      </c>
      <c r="I255" s="50" t="str">
        <f aca="false">"Task: Phase 2 release, testing and go-live. Deliverable: "&amp;'Project Plan'!AA299</f>
        <v>Task: Phase 2 release, testing and go-live. Deliverable: Cut-over runbook</v>
      </c>
    </row>
    <row r="256" customFormat="false" ht="15" hidden="false" customHeight="false" outlineLevel="0" collapsed="false">
      <c r="A256" s="50" t="str">
        <f aca="false">'Project Plan'!B300&amp;" "&amp;'Project Plan'!E300</f>
        <v>5.7.6 Production deployment and cut-over</v>
      </c>
      <c r="B256" s="6" t="s">
        <v>1050</v>
      </c>
      <c r="C256" s="52" t="n">
        <f aca="false">'Project Plan'!K300</f>
        <v>46617</v>
      </c>
      <c r="D256" s="52" t="n">
        <f aca="false">'Project Plan'!L300</f>
        <v>46619</v>
      </c>
      <c r="E256" s="50" t="str">
        <f aca="false">'Project Plan'!H300</f>
        <v>DEV</v>
      </c>
      <c r="F256" s="53" t="n">
        <f aca="false">'Project Plan'!Z300</f>
        <v>18.4</v>
      </c>
      <c r="G256" s="6" t="s">
        <v>1030</v>
      </c>
      <c r="H256" s="50" t="str">
        <f aca="false">IF('Project Plan'!AB300="Done","Completed",IF('Project Plan'!AB300="Not started","Not started","In progress"))</f>
        <v>Not started</v>
      </c>
      <c r="I256" s="50" t="str">
        <f aca="false">"Task: Phase 2 release, testing and go-live. Deliverable: "&amp;'Project Plan'!AA300</f>
        <v>Task: Phase 2 release, testing and go-live. Deliverable: Go-live</v>
      </c>
    </row>
    <row r="257" customFormat="false" ht="15" hidden="false" customHeight="false" outlineLevel="0" collapsed="false">
      <c r="A257" s="50" t="str">
        <f aca="false">'Project Plan'!B301&amp;" "&amp;'Project Plan'!E301</f>
        <v>5.8 M2: Phase 2 go-live</v>
      </c>
      <c r="B257" s="6" t="s">
        <v>1051</v>
      </c>
      <c r="C257" s="52" t="n">
        <f aca="false">'Project Plan'!K301</f>
        <v>46619</v>
      </c>
      <c r="D257" s="52" t="n">
        <f aca="false">'Project Plan'!L301</f>
        <v>46619</v>
      </c>
      <c r="E257" s="50" t="n">
        <f aca="false">'Project Plan'!H301</f>
        <v>0</v>
      </c>
      <c r="F257" s="53" t="n">
        <f aca="false">'Project Plan'!Z301</f>
        <v>0</v>
      </c>
      <c r="G257" s="6" t="s">
        <v>1035</v>
      </c>
      <c r="H257" s="50" t="str">
        <f aca="false">IF('Project Plan'!AB301="Done","Completed",IF('Project Plan'!AB301="Not started","Not started","In progress"))</f>
        <v>Not started</v>
      </c>
      <c r="I257" s="50" t="str">
        <f aca="false">"Task: Phase 2: Regulation and licensing. Deliverable: "&amp;'Project Plan'!AA301</f>
        <v>Task: Phase 2: Regulation and licensing. Deliverable: </v>
      </c>
    </row>
    <row r="258" customFormat="false" ht="15" hidden="false" customHeight="false" outlineLevel="0" collapsed="false">
      <c r="A258" s="50" t="str">
        <f aca="false">'Project Plan'!B302&amp;" "&amp;'Project Plan'!E302</f>
        <v>5.8.1 Hypercare and stabilisation (4 weeks)</v>
      </c>
      <c r="B258" s="6" t="s">
        <v>1050</v>
      </c>
      <c r="C258" s="52" t="n">
        <f aca="false">'Project Plan'!K302</f>
        <v>46619</v>
      </c>
      <c r="D258" s="52" t="n">
        <f aca="false">'Project Plan'!L302</f>
        <v>46646</v>
      </c>
      <c r="E258" s="50" t="str">
        <f aca="false">'Project Plan'!H302</f>
        <v>BE</v>
      </c>
      <c r="F258" s="53" t="n">
        <f aca="false">'Project Plan'!Z302</f>
        <v>33.35</v>
      </c>
      <c r="G258" s="6" t="s">
        <v>1030</v>
      </c>
      <c r="H258" s="50" t="str">
        <f aca="false">IF('Project Plan'!AB302="Done","Completed",IF('Project Plan'!AB302="Not started","Not started","In progress"))</f>
        <v>Not started</v>
      </c>
      <c r="I258" s="50" t="str">
        <f aca="false">"Task: M2: Phase 2 go-live. Deliverable: "&amp;'Project Plan'!AA302</f>
        <v>Task: M2: Phase 2 go-live. Deliverable: Hypercare closure report</v>
      </c>
    </row>
    <row r="259" customFormat="false" ht="15" hidden="false" customHeight="false" outlineLevel="0" collapsed="false">
      <c r="A259" s="50" t="str">
        <f aca="false">'Project Plan'!B303&amp;" "&amp;'Project Plan'!E303</f>
        <v>5.9 Phase 2 acceptance and sign-off</v>
      </c>
      <c r="B259" s="6" t="s">
        <v>1051</v>
      </c>
      <c r="C259" s="52" t="n">
        <f aca="false">'Project Plan'!K303</f>
        <v>46647</v>
      </c>
      <c r="D259" s="52" t="n">
        <f aca="false">'Project Plan'!L303</f>
        <v>46647</v>
      </c>
      <c r="E259" s="50" t="n">
        <f aca="false">'Project Plan'!H303</f>
        <v>0</v>
      </c>
      <c r="F259" s="53" t="n">
        <f aca="false">'Project Plan'!Z303</f>
        <v>0</v>
      </c>
      <c r="G259" s="6" t="s">
        <v>1035</v>
      </c>
      <c r="H259" s="50" t="str">
        <f aca="false">IF('Project Plan'!AB303="Done","Completed",IF('Project Plan'!AB303="Not started","Not started","In progress"))</f>
        <v>Not started</v>
      </c>
      <c r="I259" s="50" t="str">
        <f aca="false">"Task: Phase 2: Regulation and licensing. Deliverable: "&amp;'Project Plan'!AA303</f>
        <v>Task: Phase 2: Regulation and licensing. Deliverable: </v>
      </c>
    </row>
    <row r="260" customFormat="false" ht="15" hidden="false" customHeight="false" outlineLevel="0" collapsed="false">
      <c r="A260" s="50" t="str">
        <f aca="false">'Project Plan'!B304&amp;" "&amp;'Project Plan'!E304</f>
        <v>5.10 Phase 2 build mid-point (next phase design may start)</v>
      </c>
      <c r="B260" s="6" t="s">
        <v>1051</v>
      </c>
      <c r="C260" s="52" t="n">
        <f aca="false">'Project Plan'!K304</f>
        <v>46542</v>
      </c>
      <c r="D260" s="52" t="n">
        <f aca="false">'Project Plan'!L304</f>
        <v>46542</v>
      </c>
      <c r="E260" s="50" t="n">
        <f aca="false">'Project Plan'!H304</f>
        <v>0</v>
      </c>
      <c r="F260" s="53" t="n">
        <f aca="false">'Project Plan'!Z304</f>
        <v>0</v>
      </c>
      <c r="G260" s="6" t="s">
        <v>1035</v>
      </c>
      <c r="H260" s="50" t="str">
        <f aca="false">IF('Project Plan'!AB304="Done","Completed",IF('Project Plan'!AB304="Not started","Not started","In progress"))</f>
        <v>Not started</v>
      </c>
      <c r="I260" s="50" t="str">
        <f aca="false">"Task: Phase 2: Regulation and licensing. Deliverable: "&amp;'Project Plan'!AA304</f>
        <v>Task: Phase 2: Regulation and licensing. Deliverable: </v>
      </c>
    </row>
    <row r="261" customFormat="false" ht="15" hidden="false" customHeight="false" outlineLevel="0" collapsed="false">
      <c r="A261" s="50" t="str">
        <f aca="false">'Project Plan'!B307&amp;" "&amp;'Project Plan'!E307</f>
        <v>6.1.1 Field app scale-up and offline sync load test</v>
      </c>
      <c r="B261" s="6" t="s">
        <v>1052</v>
      </c>
      <c r="C261" s="52" t="n">
        <f aca="false">'Project Plan'!K307</f>
        <v>46591</v>
      </c>
      <c r="D261" s="52" t="n">
        <f aca="false">'Project Plan'!L307</f>
        <v>46673</v>
      </c>
      <c r="E261" s="50" t="str">
        <f aca="false">'Project Plan'!H307</f>
        <v>MOB</v>
      </c>
      <c r="F261" s="53" t="n">
        <f aca="false">'Project Plan'!Z307</f>
        <v>24.15</v>
      </c>
      <c r="G261" s="6" t="s">
        <v>1030</v>
      </c>
      <c r="H261" s="50" t="str">
        <f aca="false">IF('Project Plan'!AB307="Done","Completed",IF('Project Plan'!AB307="Not started","Not started","In progress"))</f>
        <v>Not started</v>
      </c>
      <c r="I261" s="50" t="str">
        <f aca="false">"Task: Platform increments for Phase 3. Deliverable: "&amp;'Project Plan'!AA307</f>
        <v>Task: Platform increments for Phase 3. Deliverable: Platform release</v>
      </c>
    </row>
    <row r="262" customFormat="false" ht="15" hidden="false" customHeight="false" outlineLevel="0" collapsed="false">
      <c r="A262" s="50" t="str">
        <f aca="false">'Project Plan'!B308&amp;" "&amp;'Project Plan'!E308</f>
        <v>6.1.2 AVLS, CCMS and IoT ingestion pipeline</v>
      </c>
      <c r="B262" s="6" t="s">
        <v>1052</v>
      </c>
      <c r="C262" s="52" t="n">
        <f aca="false">'Project Plan'!K308</f>
        <v>46591</v>
      </c>
      <c r="D262" s="52" t="n">
        <f aca="false">'Project Plan'!L308</f>
        <v>46673</v>
      </c>
      <c r="E262" s="50" t="str">
        <f aca="false">'Project Plan'!H308</f>
        <v>BE</v>
      </c>
      <c r="F262" s="53" t="n">
        <f aca="false">'Project Plan'!Z308</f>
        <v>23</v>
      </c>
      <c r="G262" s="6" t="s">
        <v>1030</v>
      </c>
      <c r="H262" s="50" t="str">
        <f aca="false">IF('Project Plan'!AB308="Done","Completed",IF('Project Plan'!AB308="Not started","Not started","In progress"))</f>
        <v>Not started</v>
      </c>
      <c r="I262" s="50" t="str">
        <f aca="false">"Task: Platform increments for Phase 3. Deliverable: "&amp;'Project Plan'!AA308</f>
        <v>Task: Platform increments for Phase 3. Deliverable: Platform release</v>
      </c>
    </row>
    <row r="263" customFormat="false" ht="15" hidden="false" customHeight="false" outlineLevel="0" collapsed="false">
      <c r="A263" s="50" t="str">
        <f aca="false">'Project Plan'!B309&amp;" "&amp;'Project Plan'!E309</f>
        <v>6.1.3 Road register moves to Engineering (I-32)</v>
      </c>
      <c r="B263" s="6" t="s">
        <v>1052</v>
      </c>
      <c r="C263" s="52" t="n">
        <f aca="false">'Project Plan'!K309</f>
        <v>46591</v>
      </c>
      <c r="D263" s="52" t="n">
        <f aca="false">'Project Plan'!L309</f>
        <v>46673</v>
      </c>
      <c r="E263" s="50" t="str">
        <f aca="false">'Project Plan'!H309</f>
        <v>GIS</v>
      </c>
      <c r="F263" s="53" t="n">
        <f aca="false">'Project Plan'!Z309</f>
        <v>13.8</v>
      </c>
      <c r="G263" s="6" t="s">
        <v>1030</v>
      </c>
      <c r="H263" s="50" t="str">
        <f aca="false">IF('Project Plan'!AB309="Done","Completed",IF('Project Plan'!AB309="Not started","Not started","In progress"))</f>
        <v>Not started</v>
      </c>
      <c r="I263" s="50" t="str">
        <f aca="false">"Task: Platform increments for Phase 3. Deliverable: "&amp;'Project Plan'!AA309</f>
        <v>Task: Platform increments for Phase 3. Deliverable: Platform release</v>
      </c>
    </row>
    <row r="264" customFormat="false" ht="15" hidden="false" customHeight="false" outlineLevel="0" collapsed="false">
      <c r="A264" s="50" t="str">
        <f aca="false">'Project Plan'!B311&amp;" "&amp;'Project Plan'!E311</f>
        <v>6.2.1 Process validation workshops and to-be sign-off</v>
      </c>
      <c r="B264" s="6" t="s">
        <v>1053</v>
      </c>
      <c r="C264" s="52" t="n">
        <f aca="false">'Project Plan'!K311</f>
        <v>46574</v>
      </c>
      <c r="D264" s="52" t="n">
        <f aca="false">'Project Plan'!L311</f>
        <v>46595</v>
      </c>
      <c r="E264" s="50" t="str">
        <f aca="false">'Project Plan'!H311</f>
        <v>BA</v>
      </c>
      <c r="F264" s="53" t="n">
        <f aca="false">'Project Plan'!Z311</f>
        <v>11.5</v>
      </c>
      <c r="G264" s="6" t="s">
        <v>1030</v>
      </c>
      <c r="H264" s="50" t="str">
        <f aca="false">IF('Project Plan'!AB311="Done","Completed",IF('Project Plan'!AB311="Not started","Not started","In progress"))</f>
        <v>Not started</v>
      </c>
      <c r="I264" s="50" t="str">
        <f aca="false">"Task: Module 7: Solid Waste Management. Deliverable: "&amp;'Project Plan'!AA311</f>
        <v>Task: Module 7: Solid Waste Management. Deliverable: Signed process maps</v>
      </c>
    </row>
    <row r="265" customFormat="false" ht="15" hidden="false" customHeight="false" outlineLevel="0" collapsed="false">
      <c r="A265" s="50" t="str">
        <f aca="false">'Project Plan'!B312&amp;" "&amp;'Project Plan'!E312</f>
        <v>6.2.2 LLD, data model and API/event contracts</v>
      </c>
      <c r="B265" s="6" t="s">
        <v>1053</v>
      </c>
      <c r="C265" s="52" t="n">
        <f aca="false">'Project Plan'!K312</f>
        <v>46589</v>
      </c>
      <c r="D265" s="52" t="n">
        <f aca="false">'Project Plan'!L312</f>
        <v>46610</v>
      </c>
      <c r="E265" s="50" t="str">
        <f aca="false">'Project Plan'!H312</f>
        <v>ARC</v>
      </c>
      <c r="F265" s="53" t="n">
        <f aca="false">'Project Plan'!Z312</f>
        <v>9.2</v>
      </c>
      <c r="G265" s="6" t="s">
        <v>1030</v>
      </c>
      <c r="H265" s="50" t="str">
        <f aca="false">IF('Project Plan'!AB312="Done","Completed",IF('Project Plan'!AB312="Not started","Not started","In progress"))</f>
        <v>Not started</v>
      </c>
      <c r="I265" s="50" t="str">
        <f aca="false">"Task: Module 7: Solid Waste Management. Deliverable: "&amp;'Project Plan'!AA312</f>
        <v>Task: Module 7: Solid Waste Management. Deliverable: LLD, OpenAPI, schemas</v>
      </c>
    </row>
    <row r="266" customFormat="false" ht="15" hidden="false" customHeight="false" outlineLevel="0" collapsed="false">
      <c r="A266" s="50" t="str">
        <f aca="false">'Project Plan'!B313&amp;" "&amp;'Project Plan'!E313</f>
        <v>6.2.3 UX wireframes and UI design</v>
      </c>
      <c r="B266" s="6" t="s">
        <v>1053</v>
      </c>
      <c r="C266" s="52" t="n">
        <f aca="false">'Project Plan'!K313</f>
        <v>46589</v>
      </c>
      <c r="D266" s="52" t="n">
        <f aca="false">'Project Plan'!L313</f>
        <v>46610</v>
      </c>
      <c r="E266" s="50" t="str">
        <f aca="false">'Project Plan'!H313</f>
        <v>FE</v>
      </c>
      <c r="F266" s="53" t="n">
        <f aca="false">'Project Plan'!Z313</f>
        <v>8.05</v>
      </c>
      <c r="G266" s="6" t="s">
        <v>1030</v>
      </c>
      <c r="H266" s="50" t="str">
        <f aca="false">IF('Project Plan'!AB313="Done","Completed",IF('Project Plan'!AB313="Not started","Not started","In progress"))</f>
        <v>Not started</v>
      </c>
      <c r="I266" s="50" t="str">
        <f aca="false">"Task: Module 7: Solid Waste Management. Deliverable: "&amp;'Project Plan'!AA313</f>
        <v>Task: Module 7: Solid Waste Management. Deliverable: Approved wireframes</v>
      </c>
    </row>
    <row r="267" customFormat="false" ht="15" hidden="false" customHeight="false" outlineLevel="0" collapsed="false">
      <c r="A267" s="50" t="str">
        <f aca="false">'Project Plan'!B314&amp;" "&amp;'Project Plan'!E314</f>
        <v>6.2.4 Database schema, domain logic and APIs</v>
      </c>
      <c r="B267" s="6" t="s">
        <v>1053</v>
      </c>
      <c r="C267" s="52" t="n">
        <f aca="false">'Project Plan'!K314</f>
        <v>46608</v>
      </c>
      <c r="D267" s="52" t="n">
        <f aca="false">'Project Plan'!L314</f>
        <v>46682</v>
      </c>
      <c r="E267" s="50" t="str">
        <f aca="false">'Project Plan'!H314</f>
        <v>BE</v>
      </c>
      <c r="F267" s="53" t="n">
        <f aca="false">'Project Plan'!Z314</f>
        <v>31.05</v>
      </c>
      <c r="G267" s="6" t="s">
        <v>1030</v>
      </c>
      <c r="H267" s="50" t="str">
        <f aca="false">IF('Project Plan'!AB314="Done","Completed",IF('Project Plan'!AB314="Not started","Not started","In progress"))</f>
        <v>Not started</v>
      </c>
      <c r="I267" s="50" t="str">
        <f aca="false">"Task: Module 7: Solid Waste Management. Deliverable: "&amp;'Project Plan'!AA314</f>
        <v>Task: Module 7: Solid Waste Management. Deliverable: Service build</v>
      </c>
    </row>
    <row r="268" customFormat="false" ht="15" hidden="false" customHeight="false" outlineLevel="0" collapsed="false">
      <c r="A268" s="50" t="str">
        <f aca="false">'Project Plan'!B315&amp;" "&amp;'Project Plan'!E315</f>
        <v>6.2.5 Workflows (BPMN) and rules (DMN) configuration</v>
      </c>
      <c r="B268" s="6" t="s">
        <v>1053</v>
      </c>
      <c r="C268" s="52" t="n">
        <f aca="false">'Project Plan'!K315</f>
        <v>46630</v>
      </c>
      <c r="D268" s="52" t="n">
        <f aca="false">'Project Plan'!L315</f>
        <v>46685</v>
      </c>
      <c r="E268" s="50" t="str">
        <f aca="false">'Project Plan'!H315</f>
        <v>BE</v>
      </c>
      <c r="F268" s="53" t="n">
        <f aca="false">'Project Plan'!Z315</f>
        <v>14.95</v>
      </c>
      <c r="G268" s="6" t="s">
        <v>1030</v>
      </c>
      <c r="H268" s="50" t="str">
        <f aca="false">IF('Project Plan'!AB315="Done","Completed",IF('Project Plan'!AB315="Not started","Not started","In progress"))</f>
        <v>Not started</v>
      </c>
      <c r="I268" s="50" t="str">
        <f aca="false">"Task: Module 7: Solid Waste Management. Deliverable: "&amp;'Project Plan'!AA315</f>
        <v>Task: Module 7: Solid Waste Management. Deliverable: Deployed workflows and decision tables</v>
      </c>
    </row>
    <row r="269" customFormat="false" ht="15" hidden="false" customHeight="false" outlineLevel="0" collapsed="false">
      <c r="A269" s="50" t="str">
        <f aca="false">'Project Plan'!B316&amp;" "&amp;'Project Plan'!E316</f>
        <v>6.2.6 Staff console screens</v>
      </c>
      <c r="B269" s="6" t="s">
        <v>1053</v>
      </c>
      <c r="C269" s="52" t="n">
        <f aca="false">'Project Plan'!K316</f>
        <v>46619</v>
      </c>
      <c r="D269" s="52" t="n">
        <f aca="false">'Project Plan'!L316</f>
        <v>46693</v>
      </c>
      <c r="E269" s="50" t="str">
        <f aca="false">'Project Plan'!H316</f>
        <v>FE</v>
      </c>
      <c r="F269" s="53" t="n">
        <f aca="false">'Project Plan'!Z316</f>
        <v>25.3</v>
      </c>
      <c r="G269" s="6" t="s">
        <v>1030</v>
      </c>
      <c r="H269" s="50" t="str">
        <f aca="false">IF('Project Plan'!AB316="Done","Completed",IF('Project Plan'!AB316="Not started","Not started","In progress"))</f>
        <v>Not started</v>
      </c>
      <c r="I269" s="50" t="str">
        <f aca="false">"Task: Module 7: Solid Waste Management. Deliverable: "&amp;'Project Plan'!AA316</f>
        <v>Task: Module 7: Solid Waste Management. Deliverable: Staff screens</v>
      </c>
    </row>
    <row r="270" customFormat="false" ht="15" hidden="false" customHeight="false" outlineLevel="0" collapsed="false">
      <c r="A270" s="50" t="str">
        <f aca="false">'Project Plan'!B317&amp;" "&amp;'Project Plan'!E317</f>
        <v>6.2.7 Field app tasks (offline)</v>
      </c>
      <c r="B270" s="6" t="s">
        <v>1053</v>
      </c>
      <c r="C270" s="52" t="n">
        <f aca="false">'Project Plan'!K317</f>
        <v>46638</v>
      </c>
      <c r="D270" s="52" t="n">
        <f aca="false">'Project Plan'!L317</f>
        <v>46693</v>
      </c>
      <c r="E270" s="50" t="str">
        <f aca="false">'Project Plan'!H317</f>
        <v>MOB</v>
      </c>
      <c r="F270" s="53" t="n">
        <f aca="false">'Project Plan'!Z317</f>
        <v>12.65</v>
      </c>
      <c r="G270" s="6" t="s">
        <v>1030</v>
      </c>
      <c r="H270" s="50" t="str">
        <f aca="false">IF('Project Plan'!AB317="Done","Completed",IF('Project Plan'!AB317="Not started","Not started","In progress"))</f>
        <v>Not started</v>
      </c>
      <c r="I270" s="50" t="str">
        <f aca="false">"Task: Module 7: Solid Waste Management. Deliverable: "&amp;'Project Plan'!AA317</f>
        <v>Task: Module 7: Solid Waste Management. Deliverable: Field app plug-in</v>
      </c>
    </row>
    <row r="271" customFormat="false" ht="15" hidden="false" customHeight="false" outlineLevel="0" collapsed="false">
      <c r="A271" s="50" t="str">
        <f aca="false">'Project Plan'!B318&amp;" "&amp;'Project Plan'!E318</f>
        <v>6.2.8 GIS layers, map views and spatial checks</v>
      </c>
      <c r="B271" s="6" t="s">
        <v>1053</v>
      </c>
      <c r="C271" s="52" t="n">
        <f aca="false">'Project Plan'!K318</f>
        <v>46619</v>
      </c>
      <c r="D271" s="52" t="n">
        <f aca="false">'Project Plan'!L318</f>
        <v>46682</v>
      </c>
      <c r="E271" s="50" t="str">
        <f aca="false">'Project Plan'!H318</f>
        <v>GIS</v>
      </c>
      <c r="F271" s="53" t="n">
        <f aca="false">'Project Plan'!Z318</f>
        <v>10.35</v>
      </c>
      <c r="G271" s="6" t="s">
        <v>1030</v>
      </c>
      <c r="H271" s="50" t="str">
        <f aca="false">IF('Project Plan'!AB318="Done","Completed",IF('Project Plan'!AB318="Not started","Not started","In progress"))</f>
        <v>Not started</v>
      </c>
      <c r="I271" s="50" t="str">
        <f aca="false">"Task: Module 7: Solid Waste Management. Deliverable: "&amp;'Project Plan'!AA318</f>
        <v>Task: Module 7: Solid Waste Management. Deliverable: Layers and map features</v>
      </c>
    </row>
    <row r="272" customFormat="false" ht="15" hidden="false" customHeight="false" outlineLevel="0" collapsed="false">
      <c r="A272" s="50" t="str">
        <f aca="false">'Project Plan'!B319&amp;" "&amp;'Project Plan'!E319</f>
        <v>6.2.9 Module interfaces (13 I-xx links): events and APIs</v>
      </c>
      <c r="B272" s="6" t="s">
        <v>1053</v>
      </c>
      <c r="C272" s="52" t="n">
        <f aca="false">'Project Plan'!K319</f>
        <v>46647</v>
      </c>
      <c r="D272" s="52" t="n">
        <f aca="false">'Project Plan'!L319</f>
        <v>46699</v>
      </c>
      <c r="E272" s="50" t="str">
        <f aca="false">'Project Plan'!H319</f>
        <v>BE</v>
      </c>
      <c r="F272" s="53" t="n">
        <f aca="false">'Project Plan'!Z319</f>
        <v>23</v>
      </c>
      <c r="G272" s="6" t="s">
        <v>1030</v>
      </c>
      <c r="H272" s="50" t="str">
        <f aca="false">IF('Project Plan'!AB319="Done","Completed",IF('Project Plan'!AB319="Not started","Not started","In progress"))</f>
        <v>Not started</v>
      </c>
      <c r="I272" s="50" t="str">
        <f aca="false">"Task: Module 7: Solid Waste Management. Deliverable: "&amp;'Project Plan'!AA319</f>
        <v>Task: Module 7: Solid Waste Management. Deliverable: Contract-tested interfaces</v>
      </c>
    </row>
    <row r="273" customFormat="false" ht="15" hidden="false" customHeight="false" outlineLevel="0" collapsed="false">
      <c r="A273" s="50" t="str">
        <f aca="false">'Project Plan'!B320&amp;" "&amp;'Project Plan'!E320</f>
        <v>6.2.10 External system adapters (3)</v>
      </c>
      <c r="B273" s="6" t="s">
        <v>1053</v>
      </c>
      <c r="C273" s="52" t="n">
        <f aca="false">'Project Plan'!K320</f>
        <v>46638</v>
      </c>
      <c r="D273" s="52" t="n">
        <f aca="false">'Project Plan'!L320</f>
        <v>46699</v>
      </c>
      <c r="E273" s="50" t="str">
        <f aca="false">'Project Plan'!H320</f>
        <v>BE</v>
      </c>
      <c r="F273" s="53" t="n">
        <f aca="false">'Project Plan'!Z320</f>
        <v>20.7</v>
      </c>
      <c r="G273" s="6" t="s">
        <v>1030</v>
      </c>
      <c r="H273" s="50" t="str">
        <f aca="false">IF('Project Plan'!AB320="Done","Completed",IF('Project Plan'!AB320="Not started","Not started","In progress"))</f>
        <v>Not started</v>
      </c>
      <c r="I273" s="50" t="str">
        <f aca="false">"Task: Module 7: Solid Waste Management. Deliverable: "&amp;'Project Plan'!AA320</f>
        <v>Task: Module 7: Solid Waste Management. Deliverable: Adapters tested with provider sandboxes</v>
      </c>
    </row>
    <row r="274" customFormat="false" ht="15" hidden="false" customHeight="false" outlineLevel="0" collapsed="false">
      <c r="A274" s="50" t="str">
        <f aca="false">'Project Plan'!B321&amp;" "&amp;'Project Plan'!E321</f>
        <v>6.2.11 Reports, dashboards, notices and templates (all active languages)</v>
      </c>
      <c r="B274" s="6" t="s">
        <v>1053</v>
      </c>
      <c r="C274" s="52" t="n">
        <f aca="false">'Project Plan'!K321</f>
        <v>46666</v>
      </c>
      <c r="D274" s="52" t="n">
        <f aca="false">'Project Plan'!L321</f>
        <v>46701</v>
      </c>
      <c r="E274" s="50" t="str">
        <f aca="false">'Project Plan'!H321</f>
        <v>BE</v>
      </c>
      <c r="F274" s="53" t="n">
        <f aca="false">'Project Plan'!Z321</f>
        <v>11.5</v>
      </c>
      <c r="G274" s="6" t="s">
        <v>1030</v>
      </c>
      <c r="H274" s="50" t="str">
        <f aca="false">IF('Project Plan'!AB321="Done","Completed",IF('Project Plan'!AB321="Not started","Not started","In progress"))</f>
        <v>Not started</v>
      </c>
      <c r="I274" s="50" t="str">
        <f aca="false">"Task: Module 7: Solid Waste Management. Deliverable: "&amp;'Project Plan'!AA321</f>
        <v>Task: Module 7: Solid Waste Management. Deliverable: Reports and templates</v>
      </c>
    </row>
    <row r="275" customFormat="false" ht="15" hidden="false" customHeight="false" outlineLevel="0" collapsed="false">
      <c r="A275" s="50" t="str">
        <f aca="false">'Project Plan'!B322&amp;" "&amp;'Project Plan'!E322</f>
        <v>6.2.12 System integration testing</v>
      </c>
      <c r="B275" s="6" t="s">
        <v>1053</v>
      </c>
      <c r="C275" s="52" t="n">
        <f aca="false">'Project Plan'!K322</f>
        <v>46688</v>
      </c>
      <c r="D275" s="52" t="n">
        <f aca="false">'Project Plan'!L322</f>
        <v>46716</v>
      </c>
      <c r="E275" s="50" t="str">
        <f aca="false">'Project Plan'!H322</f>
        <v>QA</v>
      </c>
      <c r="F275" s="53" t="n">
        <f aca="false">'Project Plan'!Z322</f>
        <v>20.7</v>
      </c>
      <c r="G275" s="6" t="s">
        <v>1030</v>
      </c>
      <c r="H275" s="50" t="str">
        <f aca="false">IF('Project Plan'!AB322="Done","Completed",IF('Project Plan'!AB322="Not started","Not started","In progress"))</f>
        <v>Not started</v>
      </c>
      <c r="I275" s="50" t="str">
        <f aca="false">"Task: Module 7: Solid Waste Management. Deliverable: "&amp;'Project Plan'!AA322</f>
        <v>Task: Module 7: Solid Waste Management. Deliverable: SIT report</v>
      </c>
    </row>
    <row r="276" customFormat="false" ht="15" hidden="false" customHeight="false" outlineLevel="0" collapsed="false">
      <c r="A276" s="50" t="str">
        <f aca="false">'Project Plan'!B323&amp;" "&amp;'Project Plan'!E323</f>
        <v>6.2.13 Defect fixing and regression</v>
      </c>
      <c r="B276" s="6" t="s">
        <v>1053</v>
      </c>
      <c r="C276" s="52" t="n">
        <f aca="false">'Project Plan'!K323</f>
        <v>46694</v>
      </c>
      <c r="D276" s="52" t="n">
        <f aca="false">'Project Plan'!L323</f>
        <v>46729</v>
      </c>
      <c r="E276" s="50" t="str">
        <f aca="false">'Project Plan'!H323</f>
        <v>BE</v>
      </c>
      <c r="F276" s="53" t="n">
        <f aca="false">'Project Plan'!Z323</f>
        <v>17.25</v>
      </c>
      <c r="G276" s="6" t="s">
        <v>1030</v>
      </c>
      <c r="H276" s="50" t="str">
        <f aca="false">IF('Project Plan'!AB323="Done","Completed",IF('Project Plan'!AB323="Not started","Not started","In progress"))</f>
        <v>Not started</v>
      </c>
      <c r="I276" s="50" t="str">
        <f aca="false">"Task: Module 7: Solid Waste Management. Deliverable: "&amp;'Project Plan'!AA323</f>
        <v>Task: Module 7: Solid Waste Management. Deliverable: Closed defects</v>
      </c>
    </row>
    <row r="277" customFormat="false" ht="15" hidden="false" customHeight="false" outlineLevel="0" collapsed="false">
      <c r="A277" s="50" t="str">
        <f aca="false">'Project Plan'!B324&amp;" "&amp;'Project Plan'!E324</f>
        <v>6.2.14 UAT support with GWMC department</v>
      </c>
      <c r="B277" s="6" t="s">
        <v>1053</v>
      </c>
      <c r="C277" s="52" t="n">
        <f aca="false">'Project Plan'!K324</f>
        <v>46717</v>
      </c>
      <c r="D277" s="52" t="n">
        <f aca="false">'Project Plan'!L324</f>
        <v>46735</v>
      </c>
      <c r="E277" s="50" t="str">
        <f aca="false">'Project Plan'!H324</f>
        <v>BA</v>
      </c>
      <c r="F277" s="53" t="n">
        <f aca="false">'Project Plan'!Z324</f>
        <v>9.2</v>
      </c>
      <c r="G277" s="6" t="s">
        <v>1030</v>
      </c>
      <c r="H277" s="50" t="str">
        <f aca="false">IF('Project Plan'!AB324="Done","Completed",IF('Project Plan'!AB324="Not started","Not started","In progress"))</f>
        <v>Not started</v>
      </c>
      <c r="I277" s="50" t="str">
        <f aca="false">"Task: Module 7: Solid Waste Management. Deliverable: "&amp;'Project Plan'!AA324</f>
        <v>Task: Module 7: Solid Waste Management. Deliverable: UAT sign-off</v>
      </c>
    </row>
    <row r="278" customFormat="false" ht="15" hidden="false" customHeight="false" outlineLevel="0" collapsed="false">
      <c r="A278" s="50" t="str">
        <f aca="false">'Project Plan'!B325&amp;" "&amp;'Project Plan'!E325</f>
        <v>6.2.15 Training material and department training</v>
      </c>
      <c r="B278" s="6" t="s">
        <v>1053</v>
      </c>
      <c r="C278" s="52" t="n">
        <f aca="false">'Project Plan'!K325</f>
        <v>46722</v>
      </c>
      <c r="D278" s="52" t="n">
        <f aca="false">'Project Plan'!L325</f>
        <v>46738</v>
      </c>
      <c r="E278" s="50" t="str">
        <f aca="false">'Project Plan'!H325</f>
        <v>TRN</v>
      </c>
      <c r="F278" s="53" t="n">
        <f aca="false">'Project Plan'!Z325</f>
        <v>8.05</v>
      </c>
      <c r="G278" s="6" t="s">
        <v>1030</v>
      </c>
      <c r="H278" s="50" t="str">
        <f aca="false">IF('Project Plan'!AB325="Done","Completed",IF('Project Plan'!AB325="Not started","Not started","In progress"))</f>
        <v>Not started</v>
      </c>
      <c r="I278" s="50" t="str">
        <f aca="false">"Task: Module 7: Solid Waste Management. Deliverable: "&amp;'Project Plan'!AA325</f>
        <v>Task: Module 7: Solid Waste Management. Deliverable: Trained users, manuals in Telugu and English</v>
      </c>
    </row>
    <row r="279" customFormat="false" ht="15" hidden="false" customHeight="false" outlineLevel="0" collapsed="false">
      <c r="A279" s="50" t="str">
        <f aca="false">'Project Plan'!B327&amp;" "&amp;'Project Plan'!E327</f>
        <v>6.3.1 Process validation workshops and to-be sign-off</v>
      </c>
      <c r="B279" s="6" t="s">
        <v>1054</v>
      </c>
      <c r="C279" s="52" t="n">
        <f aca="false">'Project Plan'!K327</f>
        <v>46574</v>
      </c>
      <c r="D279" s="52" t="n">
        <f aca="false">'Project Plan'!L327</f>
        <v>46595</v>
      </c>
      <c r="E279" s="50" t="str">
        <f aca="false">'Project Plan'!H327</f>
        <v>BA</v>
      </c>
      <c r="F279" s="53" t="n">
        <f aca="false">'Project Plan'!Z327</f>
        <v>12.65</v>
      </c>
      <c r="G279" s="6" t="s">
        <v>1030</v>
      </c>
      <c r="H279" s="50" t="str">
        <f aca="false">IF('Project Plan'!AB327="Done","Completed",IF('Project Plan'!AB327="Not started","Not started","In progress"))</f>
        <v>Not started</v>
      </c>
      <c r="I279" s="50" t="str">
        <f aca="false">"Task: Module 10: Engineering Project Management System. Deliverable: "&amp;'Project Plan'!AA327</f>
        <v>Task: Module 10: Engineering Project Management System. Deliverable: Signed process maps</v>
      </c>
    </row>
    <row r="280" customFormat="false" ht="15" hidden="false" customHeight="false" outlineLevel="0" collapsed="false">
      <c r="A280" s="50" t="str">
        <f aca="false">'Project Plan'!B328&amp;" "&amp;'Project Plan'!E328</f>
        <v>6.3.2 LLD, data model and API/event contracts</v>
      </c>
      <c r="B280" s="6" t="s">
        <v>1054</v>
      </c>
      <c r="C280" s="52" t="n">
        <f aca="false">'Project Plan'!K328</f>
        <v>46589</v>
      </c>
      <c r="D280" s="52" t="n">
        <f aca="false">'Project Plan'!L328</f>
        <v>46610</v>
      </c>
      <c r="E280" s="50" t="str">
        <f aca="false">'Project Plan'!H328</f>
        <v>ARC</v>
      </c>
      <c r="F280" s="53" t="n">
        <f aca="false">'Project Plan'!Z328</f>
        <v>11.5</v>
      </c>
      <c r="G280" s="6" t="s">
        <v>1030</v>
      </c>
      <c r="H280" s="50" t="str">
        <f aca="false">IF('Project Plan'!AB328="Done","Completed",IF('Project Plan'!AB328="Not started","Not started","In progress"))</f>
        <v>Not started</v>
      </c>
      <c r="I280" s="50" t="str">
        <f aca="false">"Task: Module 10: Engineering Project Management System. Deliverable: "&amp;'Project Plan'!AA328</f>
        <v>Task: Module 10: Engineering Project Management System. Deliverable: LLD, OpenAPI, schemas</v>
      </c>
    </row>
    <row r="281" customFormat="false" ht="15" hidden="false" customHeight="false" outlineLevel="0" collapsed="false">
      <c r="A281" s="50" t="str">
        <f aca="false">'Project Plan'!B329&amp;" "&amp;'Project Plan'!E329</f>
        <v>6.3.3 UX wireframes and UI design</v>
      </c>
      <c r="B281" s="6" t="s">
        <v>1054</v>
      </c>
      <c r="C281" s="52" t="n">
        <f aca="false">'Project Plan'!K329</f>
        <v>46589</v>
      </c>
      <c r="D281" s="52" t="n">
        <f aca="false">'Project Plan'!L329</f>
        <v>46610</v>
      </c>
      <c r="E281" s="50" t="str">
        <f aca="false">'Project Plan'!H329</f>
        <v>FE</v>
      </c>
      <c r="F281" s="53" t="n">
        <f aca="false">'Project Plan'!Z329</f>
        <v>9.2</v>
      </c>
      <c r="G281" s="6" t="s">
        <v>1030</v>
      </c>
      <c r="H281" s="50" t="str">
        <f aca="false">IF('Project Plan'!AB329="Done","Completed",IF('Project Plan'!AB329="Not started","Not started","In progress"))</f>
        <v>Not started</v>
      </c>
      <c r="I281" s="50" t="str">
        <f aca="false">"Task: Module 10: Engineering Project Management System. Deliverable: "&amp;'Project Plan'!AA329</f>
        <v>Task: Module 10: Engineering Project Management System. Deliverable: Approved wireframes</v>
      </c>
    </row>
    <row r="282" customFormat="false" ht="15" hidden="false" customHeight="false" outlineLevel="0" collapsed="false">
      <c r="A282" s="50" t="str">
        <f aca="false">'Project Plan'!B330&amp;" "&amp;'Project Plan'!E330</f>
        <v>6.3.4 Database schema, domain logic and APIs</v>
      </c>
      <c r="B282" s="6" t="s">
        <v>1054</v>
      </c>
      <c r="C282" s="52" t="n">
        <f aca="false">'Project Plan'!K330</f>
        <v>46608</v>
      </c>
      <c r="D282" s="52" t="n">
        <f aca="false">'Project Plan'!L330</f>
        <v>46682</v>
      </c>
      <c r="E282" s="50" t="str">
        <f aca="false">'Project Plan'!H330</f>
        <v>BE</v>
      </c>
      <c r="F282" s="53" t="n">
        <f aca="false">'Project Plan'!Z330</f>
        <v>35.65</v>
      </c>
      <c r="G282" s="6" t="s">
        <v>1030</v>
      </c>
      <c r="H282" s="50" t="str">
        <f aca="false">IF('Project Plan'!AB330="Done","Completed",IF('Project Plan'!AB330="Not started","Not started","In progress"))</f>
        <v>Not started</v>
      </c>
      <c r="I282" s="50" t="str">
        <f aca="false">"Task: Module 10: Engineering Project Management System. Deliverable: "&amp;'Project Plan'!AA330</f>
        <v>Task: Module 10: Engineering Project Management System. Deliverable: Service build</v>
      </c>
    </row>
    <row r="283" customFormat="false" ht="15" hidden="false" customHeight="false" outlineLevel="0" collapsed="false">
      <c r="A283" s="50" t="str">
        <f aca="false">'Project Plan'!B331&amp;" "&amp;'Project Plan'!E331</f>
        <v>6.3.5 Workflows (BPMN) and rules (DMN) configuration</v>
      </c>
      <c r="B283" s="6" t="s">
        <v>1054</v>
      </c>
      <c r="C283" s="52" t="n">
        <f aca="false">'Project Plan'!K331</f>
        <v>46630</v>
      </c>
      <c r="D283" s="52" t="n">
        <f aca="false">'Project Plan'!L331</f>
        <v>46685</v>
      </c>
      <c r="E283" s="50" t="str">
        <f aca="false">'Project Plan'!H331</f>
        <v>BE</v>
      </c>
      <c r="F283" s="53" t="n">
        <f aca="false">'Project Plan'!Z331</f>
        <v>16.1</v>
      </c>
      <c r="G283" s="6" t="s">
        <v>1030</v>
      </c>
      <c r="H283" s="50" t="str">
        <f aca="false">IF('Project Plan'!AB331="Done","Completed",IF('Project Plan'!AB331="Not started","Not started","In progress"))</f>
        <v>Not started</v>
      </c>
      <c r="I283" s="50" t="str">
        <f aca="false">"Task: Module 10: Engineering Project Management System. Deliverable: "&amp;'Project Plan'!AA331</f>
        <v>Task: Module 10: Engineering Project Management System. Deliverable: Deployed workflows and decision tables</v>
      </c>
    </row>
    <row r="284" customFormat="false" ht="15" hidden="false" customHeight="false" outlineLevel="0" collapsed="false">
      <c r="A284" s="50" t="str">
        <f aca="false">'Project Plan'!B332&amp;" "&amp;'Project Plan'!E332</f>
        <v>6.3.6 Staff console screens</v>
      </c>
      <c r="B284" s="6" t="s">
        <v>1054</v>
      </c>
      <c r="C284" s="52" t="n">
        <f aca="false">'Project Plan'!K332</f>
        <v>46619</v>
      </c>
      <c r="D284" s="52" t="n">
        <f aca="false">'Project Plan'!L332</f>
        <v>46693</v>
      </c>
      <c r="E284" s="50" t="str">
        <f aca="false">'Project Plan'!H332</f>
        <v>FE</v>
      </c>
      <c r="F284" s="53" t="n">
        <f aca="false">'Project Plan'!Z332</f>
        <v>29.9</v>
      </c>
      <c r="G284" s="6" t="s">
        <v>1030</v>
      </c>
      <c r="H284" s="50" t="str">
        <f aca="false">IF('Project Plan'!AB332="Done","Completed",IF('Project Plan'!AB332="Not started","Not started","In progress"))</f>
        <v>Not started</v>
      </c>
      <c r="I284" s="50" t="str">
        <f aca="false">"Task: Module 10: Engineering Project Management System. Deliverable: "&amp;'Project Plan'!AA332</f>
        <v>Task: Module 10: Engineering Project Management System. Deliverable: Staff screens</v>
      </c>
    </row>
    <row r="285" customFormat="false" ht="15" hidden="false" customHeight="false" outlineLevel="0" collapsed="false">
      <c r="A285" s="50" t="str">
        <f aca="false">'Project Plan'!B333&amp;" "&amp;'Project Plan'!E333</f>
        <v>6.3.7 Field app tasks (offline)</v>
      </c>
      <c r="B285" s="6" t="s">
        <v>1054</v>
      </c>
      <c r="C285" s="52" t="n">
        <f aca="false">'Project Plan'!K333</f>
        <v>46638</v>
      </c>
      <c r="D285" s="52" t="n">
        <f aca="false">'Project Plan'!L333</f>
        <v>46693</v>
      </c>
      <c r="E285" s="50" t="str">
        <f aca="false">'Project Plan'!H333</f>
        <v>MOB</v>
      </c>
      <c r="F285" s="53" t="n">
        <f aca="false">'Project Plan'!Z333</f>
        <v>13.8</v>
      </c>
      <c r="G285" s="6" t="s">
        <v>1030</v>
      </c>
      <c r="H285" s="50" t="str">
        <f aca="false">IF('Project Plan'!AB333="Done","Completed",IF('Project Plan'!AB333="Not started","Not started","In progress"))</f>
        <v>Not started</v>
      </c>
      <c r="I285" s="50" t="str">
        <f aca="false">"Task: Module 10: Engineering Project Management System. Deliverable: "&amp;'Project Plan'!AA333</f>
        <v>Task: Module 10: Engineering Project Management System. Deliverable: Field app plug-in</v>
      </c>
    </row>
    <row r="286" customFormat="false" ht="15" hidden="false" customHeight="false" outlineLevel="0" collapsed="false">
      <c r="A286" s="50" t="str">
        <f aca="false">'Project Plan'!B334&amp;" "&amp;'Project Plan'!E334</f>
        <v>6.3.8 GIS layers, map views and spatial checks</v>
      </c>
      <c r="B286" s="6" t="s">
        <v>1054</v>
      </c>
      <c r="C286" s="52" t="n">
        <f aca="false">'Project Plan'!K334</f>
        <v>46619</v>
      </c>
      <c r="D286" s="52" t="n">
        <f aca="false">'Project Plan'!L334</f>
        <v>46682</v>
      </c>
      <c r="E286" s="50" t="str">
        <f aca="false">'Project Plan'!H334</f>
        <v>GIS</v>
      </c>
      <c r="F286" s="53" t="n">
        <f aca="false">'Project Plan'!Z334</f>
        <v>11.5</v>
      </c>
      <c r="G286" s="6" t="s">
        <v>1030</v>
      </c>
      <c r="H286" s="50" t="str">
        <f aca="false">IF('Project Plan'!AB334="Done","Completed",IF('Project Plan'!AB334="Not started","Not started","In progress"))</f>
        <v>Not started</v>
      </c>
      <c r="I286" s="50" t="str">
        <f aca="false">"Task: Module 10: Engineering Project Management System. Deliverable: "&amp;'Project Plan'!AA334</f>
        <v>Task: Module 10: Engineering Project Management System. Deliverable: Layers and map features</v>
      </c>
    </row>
    <row r="287" customFormat="false" ht="15" hidden="false" customHeight="false" outlineLevel="0" collapsed="false">
      <c r="A287" s="50" t="str">
        <f aca="false">'Project Plan'!B335&amp;" "&amp;'Project Plan'!E335</f>
        <v>6.3.9 Module interfaces (9 I-xx links): events and APIs</v>
      </c>
      <c r="B287" s="6" t="s">
        <v>1054</v>
      </c>
      <c r="C287" s="52" t="n">
        <f aca="false">'Project Plan'!K335</f>
        <v>46647</v>
      </c>
      <c r="D287" s="52" t="n">
        <f aca="false">'Project Plan'!L335</f>
        <v>46699</v>
      </c>
      <c r="E287" s="50" t="str">
        <f aca="false">'Project Plan'!H335</f>
        <v>BE</v>
      </c>
      <c r="F287" s="53" t="n">
        <f aca="false">'Project Plan'!Z335</f>
        <v>16.1</v>
      </c>
      <c r="G287" s="6" t="s">
        <v>1030</v>
      </c>
      <c r="H287" s="50" t="str">
        <f aca="false">IF('Project Plan'!AB335="Done","Completed",IF('Project Plan'!AB335="Not started","Not started","In progress"))</f>
        <v>Not started</v>
      </c>
      <c r="I287" s="50" t="str">
        <f aca="false">"Task: Module 10: Engineering Project Management System. Deliverable: "&amp;'Project Plan'!AA335</f>
        <v>Task: Module 10: Engineering Project Management System. Deliverable: Contract-tested interfaces</v>
      </c>
    </row>
    <row r="288" customFormat="false" ht="15" hidden="false" customHeight="false" outlineLevel="0" collapsed="false">
      <c r="A288" s="50" t="str">
        <f aca="false">'Project Plan'!B336&amp;" "&amp;'Project Plan'!E336</f>
        <v>6.3.10 External system adapters (2)</v>
      </c>
      <c r="B288" s="6" t="s">
        <v>1054</v>
      </c>
      <c r="C288" s="52" t="n">
        <f aca="false">'Project Plan'!K336</f>
        <v>46638</v>
      </c>
      <c r="D288" s="52" t="n">
        <f aca="false">'Project Plan'!L336</f>
        <v>46699</v>
      </c>
      <c r="E288" s="50" t="str">
        <f aca="false">'Project Plan'!H336</f>
        <v>BE</v>
      </c>
      <c r="F288" s="53" t="n">
        <f aca="false">'Project Plan'!Z336</f>
        <v>13.8</v>
      </c>
      <c r="G288" s="6" t="s">
        <v>1030</v>
      </c>
      <c r="H288" s="50" t="str">
        <f aca="false">IF('Project Plan'!AB336="Done","Completed",IF('Project Plan'!AB336="Not started","Not started","In progress"))</f>
        <v>Not started</v>
      </c>
      <c r="I288" s="50" t="str">
        <f aca="false">"Task: Module 10: Engineering Project Management System. Deliverable: "&amp;'Project Plan'!AA336</f>
        <v>Task: Module 10: Engineering Project Management System. Deliverable: Adapters tested with provider sandboxes</v>
      </c>
    </row>
    <row r="289" customFormat="false" ht="15" hidden="false" customHeight="false" outlineLevel="0" collapsed="false">
      <c r="A289" s="50" t="str">
        <f aca="false">'Project Plan'!B337&amp;" "&amp;'Project Plan'!E337</f>
        <v>6.3.11 Reports, dashboards, notices and templates (all active languages)</v>
      </c>
      <c r="B289" s="6" t="s">
        <v>1054</v>
      </c>
      <c r="C289" s="52" t="n">
        <f aca="false">'Project Plan'!K337</f>
        <v>46666</v>
      </c>
      <c r="D289" s="52" t="n">
        <f aca="false">'Project Plan'!L337</f>
        <v>46701</v>
      </c>
      <c r="E289" s="50" t="str">
        <f aca="false">'Project Plan'!H337</f>
        <v>BE</v>
      </c>
      <c r="F289" s="53" t="n">
        <f aca="false">'Project Plan'!Z337</f>
        <v>11.5</v>
      </c>
      <c r="G289" s="6" t="s">
        <v>1030</v>
      </c>
      <c r="H289" s="50" t="str">
        <f aca="false">IF('Project Plan'!AB337="Done","Completed",IF('Project Plan'!AB337="Not started","Not started","In progress"))</f>
        <v>Not started</v>
      </c>
      <c r="I289" s="50" t="str">
        <f aca="false">"Task: Module 10: Engineering Project Management System. Deliverable: "&amp;'Project Plan'!AA337</f>
        <v>Task: Module 10: Engineering Project Management System. Deliverable: Reports and templates</v>
      </c>
    </row>
    <row r="290" customFormat="false" ht="15" hidden="false" customHeight="false" outlineLevel="0" collapsed="false">
      <c r="A290" s="50" t="str">
        <f aca="false">'Project Plan'!B338&amp;" "&amp;'Project Plan'!E338</f>
        <v>6.3.12 System integration testing</v>
      </c>
      <c r="B290" s="6" t="s">
        <v>1054</v>
      </c>
      <c r="C290" s="52" t="n">
        <f aca="false">'Project Plan'!K338</f>
        <v>46688</v>
      </c>
      <c r="D290" s="52" t="n">
        <f aca="false">'Project Plan'!L338</f>
        <v>46716</v>
      </c>
      <c r="E290" s="50" t="str">
        <f aca="false">'Project Plan'!H338</f>
        <v>QA</v>
      </c>
      <c r="F290" s="53" t="n">
        <f aca="false">'Project Plan'!Z338</f>
        <v>23</v>
      </c>
      <c r="G290" s="6" t="s">
        <v>1030</v>
      </c>
      <c r="H290" s="50" t="str">
        <f aca="false">IF('Project Plan'!AB338="Done","Completed",IF('Project Plan'!AB338="Not started","Not started","In progress"))</f>
        <v>Not started</v>
      </c>
      <c r="I290" s="50" t="str">
        <f aca="false">"Task: Module 10: Engineering Project Management System. Deliverable: "&amp;'Project Plan'!AA338</f>
        <v>Task: Module 10: Engineering Project Management System. Deliverable: SIT report</v>
      </c>
    </row>
    <row r="291" customFormat="false" ht="15" hidden="false" customHeight="false" outlineLevel="0" collapsed="false">
      <c r="A291" s="50" t="str">
        <f aca="false">'Project Plan'!B339&amp;" "&amp;'Project Plan'!E339</f>
        <v>6.3.13 Defect fixing and regression</v>
      </c>
      <c r="B291" s="6" t="s">
        <v>1054</v>
      </c>
      <c r="C291" s="52" t="n">
        <f aca="false">'Project Plan'!K339</f>
        <v>46694</v>
      </c>
      <c r="D291" s="52" t="n">
        <f aca="false">'Project Plan'!L339</f>
        <v>46729</v>
      </c>
      <c r="E291" s="50" t="str">
        <f aca="false">'Project Plan'!H339</f>
        <v>BE</v>
      </c>
      <c r="F291" s="53" t="n">
        <f aca="false">'Project Plan'!Z339</f>
        <v>19.55</v>
      </c>
      <c r="G291" s="6" t="s">
        <v>1030</v>
      </c>
      <c r="H291" s="50" t="str">
        <f aca="false">IF('Project Plan'!AB339="Done","Completed",IF('Project Plan'!AB339="Not started","Not started","In progress"))</f>
        <v>Not started</v>
      </c>
      <c r="I291" s="50" t="str">
        <f aca="false">"Task: Module 10: Engineering Project Management System. Deliverable: "&amp;'Project Plan'!AA339</f>
        <v>Task: Module 10: Engineering Project Management System. Deliverable: Closed defects</v>
      </c>
    </row>
    <row r="292" customFormat="false" ht="15" hidden="false" customHeight="false" outlineLevel="0" collapsed="false">
      <c r="A292" s="50" t="str">
        <f aca="false">'Project Plan'!B340&amp;" "&amp;'Project Plan'!E340</f>
        <v>6.3.14 UAT support with GWMC department</v>
      </c>
      <c r="B292" s="6" t="s">
        <v>1054</v>
      </c>
      <c r="C292" s="52" t="n">
        <f aca="false">'Project Plan'!K340</f>
        <v>46717</v>
      </c>
      <c r="D292" s="52" t="n">
        <f aca="false">'Project Plan'!L340</f>
        <v>46735</v>
      </c>
      <c r="E292" s="50" t="str">
        <f aca="false">'Project Plan'!H340</f>
        <v>BA</v>
      </c>
      <c r="F292" s="53" t="n">
        <f aca="false">'Project Plan'!Z340</f>
        <v>11.5</v>
      </c>
      <c r="G292" s="6" t="s">
        <v>1030</v>
      </c>
      <c r="H292" s="50" t="str">
        <f aca="false">IF('Project Plan'!AB340="Done","Completed",IF('Project Plan'!AB340="Not started","Not started","In progress"))</f>
        <v>Not started</v>
      </c>
      <c r="I292" s="50" t="str">
        <f aca="false">"Task: Module 10: Engineering Project Management System. Deliverable: "&amp;'Project Plan'!AA340</f>
        <v>Task: Module 10: Engineering Project Management System. Deliverable: UAT sign-off</v>
      </c>
    </row>
    <row r="293" customFormat="false" ht="15" hidden="false" customHeight="false" outlineLevel="0" collapsed="false">
      <c r="A293" s="50" t="str">
        <f aca="false">'Project Plan'!B341&amp;" "&amp;'Project Plan'!E341</f>
        <v>6.3.15 Training material and department training</v>
      </c>
      <c r="B293" s="6" t="s">
        <v>1054</v>
      </c>
      <c r="C293" s="52" t="n">
        <f aca="false">'Project Plan'!K341</f>
        <v>46722</v>
      </c>
      <c r="D293" s="52" t="n">
        <f aca="false">'Project Plan'!L341</f>
        <v>46738</v>
      </c>
      <c r="E293" s="50" t="str">
        <f aca="false">'Project Plan'!H341</f>
        <v>TRN</v>
      </c>
      <c r="F293" s="53" t="n">
        <f aca="false">'Project Plan'!Z341</f>
        <v>9.2</v>
      </c>
      <c r="G293" s="6" t="s">
        <v>1030</v>
      </c>
      <c r="H293" s="50" t="str">
        <f aca="false">IF('Project Plan'!AB341="Done","Completed",IF('Project Plan'!AB341="Not started","Not started","In progress"))</f>
        <v>Not started</v>
      </c>
      <c r="I293" s="50" t="str">
        <f aca="false">"Task: Module 10: Engineering Project Management System. Deliverable: "&amp;'Project Plan'!AA341</f>
        <v>Task: Module 10: Engineering Project Management System. Deliverable: Trained users, manuals in Telugu and English</v>
      </c>
    </row>
    <row r="294" customFormat="false" ht="15" hidden="false" customHeight="false" outlineLevel="0" collapsed="false">
      <c r="A294" s="50" t="str">
        <f aca="false">'Project Plan'!B343&amp;" "&amp;'Project Plan'!E343</f>
        <v>6.4.1 Process validation workshops and to-be sign-off</v>
      </c>
      <c r="B294" s="6" t="s">
        <v>1055</v>
      </c>
      <c r="C294" s="52" t="n">
        <f aca="false">'Project Plan'!K343</f>
        <v>46574</v>
      </c>
      <c r="D294" s="52" t="n">
        <f aca="false">'Project Plan'!L343</f>
        <v>46595</v>
      </c>
      <c r="E294" s="50" t="str">
        <f aca="false">'Project Plan'!H343</f>
        <v>BA</v>
      </c>
      <c r="F294" s="53" t="n">
        <f aca="false">'Project Plan'!Z343</f>
        <v>8.05</v>
      </c>
      <c r="G294" s="6" t="s">
        <v>1030</v>
      </c>
      <c r="H294" s="50" t="str">
        <f aca="false">IF('Project Plan'!AB343="Done","Completed",IF('Project Plan'!AB343="Not started","Not started","In progress"))</f>
        <v>Not started</v>
      </c>
      <c r="I294" s="50" t="str">
        <f aca="false">"Task: Module 12: Street Light Management. Deliverable: "&amp;'Project Plan'!AA343</f>
        <v>Task: Module 12: Street Light Management. Deliverable: Signed process maps</v>
      </c>
    </row>
    <row r="295" customFormat="false" ht="15" hidden="false" customHeight="false" outlineLevel="0" collapsed="false">
      <c r="A295" s="50" t="str">
        <f aca="false">'Project Plan'!B344&amp;" "&amp;'Project Plan'!E344</f>
        <v>6.4.2 LLD, data model and API/event contracts</v>
      </c>
      <c r="B295" s="6" t="s">
        <v>1055</v>
      </c>
      <c r="C295" s="52" t="n">
        <f aca="false">'Project Plan'!K344</f>
        <v>46589</v>
      </c>
      <c r="D295" s="52" t="n">
        <f aca="false">'Project Plan'!L344</f>
        <v>46610</v>
      </c>
      <c r="E295" s="50" t="str">
        <f aca="false">'Project Plan'!H344</f>
        <v>ARC</v>
      </c>
      <c r="F295" s="53" t="n">
        <f aca="false">'Project Plan'!Z344</f>
        <v>6.9</v>
      </c>
      <c r="G295" s="6" t="s">
        <v>1030</v>
      </c>
      <c r="H295" s="50" t="str">
        <f aca="false">IF('Project Plan'!AB344="Done","Completed",IF('Project Plan'!AB344="Not started","Not started","In progress"))</f>
        <v>Not started</v>
      </c>
      <c r="I295" s="50" t="str">
        <f aca="false">"Task: Module 12: Street Light Management. Deliverable: "&amp;'Project Plan'!AA344</f>
        <v>Task: Module 12: Street Light Management. Deliverable: LLD, OpenAPI, schemas</v>
      </c>
    </row>
    <row r="296" customFormat="false" ht="15" hidden="false" customHeight="false" outlineLevel="0" collapsed="false">
      <c r="A296" s="50" t="str">
        <f aca="false">'Project Plan'!B345&amp;" "&amp;'Project Plan'!E345</f>
        <v>6.4.3 UX wireframes and UI design</v>
      </c>
      <c r="B296" s="6" t="s">
        <v>1055</v>
      </c>
      <c r="C296" s="52" t="n">
        <f aca="false">'Project Plan'!K345</f>
        <v>46589</v>
      </c>
      <c r="D296" s="52" t="n">
        <f aca="false">'Project Plan'!L345</f>
        <v>46610</v>
      </c>
      <c r="E296" s="50" t="str">
        <f aca="false">'Project Plan'!H345</f>
        <v>FE</v>
      </c>
      <c r="F296" s="53" t="n">
        <f aca="false">'Project Plan'!Z345</f>
        <v>5.75</v>
      </c>
      <c r="G296" s="6" t="s">
        <v>1030</v>
      </c>
      <c r="H296" s="50" t="str">
        <f aca="false">IF('Project Plan'!AB345="Done","Completed",IF('Project Plan'!AB345="Not started","Not started","In progress"))</f>
        <v>Not started</v>
      </c>
      <c r="I296" s="50" t="str">
        <f aca="false">"Task: Module 12: Street Light Management. Deliverable: "&amp;'Project Plan'!AA345</f>
        <v>Task: Module 12: Street Light Management. Deliverable: Approved wireframes</v>
      </c>
    </row>
    <row r="297" customFormat="false" ht="15" hidden="false" customHeight="false" outlineLevel="0" collapsed="false">
      <c r="A297" s="50" t="str">
        <f aca="false">'Project Plan'!B346&amp;" "&amp;'Project Plan'!E346</f>
        <v>6.4.4 Database schema, domain logic and APIs</v>
      </c>
      <c r="B297" s="6" t="s">
        <v>1055</v>
      </c>
      <c r="C297" s="52" t="n">
        <f aca="false">'Project Plan'!K346</f>
        <v>46608</v>
      </c>
      <c r="D297" s="52" t="n">
        <f aca="false">'Project Plan'!L346</f>
        <v>46682</v>
      </c>
      <c r="E297" s="50" t="str">
        <f aca="false">'Project Plan'!H346</f>
        <v>BE</v>
      </c>
      <c r="F297" s="53" t="n">
        <f aca="false">'Project Plan'!Z346</f>
        <v>21.85</v>
      </c>
      <c r="G297" s="6" t="s">
        <v>1030</v>
      </c>
      <c r="H297" s="50" t="str">
        <f aca="false">IF('Project Plan'!AB346="Done","Completed",IF('Project Plan'!AB346="Not started","Not started","In progress"))</f>
        <v>Not started</v>
      </c>
      <c r="I297" s="50" t="str">
        <f aca="false">"Task: Module 12: Street Light Management. Deliverable: "&amp;'Project Plan'!AA346</f>
        <v>Task: Module 12: Street Light Management. Deliverable: Service build</v>
      </c>
    </row>
    <row r="298" customFormat="false" ht="15" hidden="false" customHeight="false" outlineLevel="0" collapsed="false">
      <c r="A298" s="50" t="str">
        <f aca="false">'Project Plan'!B347&amp;" "&amp;'Project Plan'!E347</f>
        <v>6.4.5 Workflows (BPMN) and rules (DMN) configuration</v>
      </c>
      <c r="B298" s="6" t="s">
        <v>1055</v>
      </c>
      <c r="C298" s="52" t="n">
        <f aca="false">'Project Plan'!K347</f>
        <v>46630</v>
      </c>
      <c r="D298" s="52" t="n">
        <f aca="false">'Project Plan'!L347</f>
        <v>46685</v>
      </c>
      <c r="E298" s="50" t="str">
        <f aca="false">'Project Plan'!H347</f>
        <v>BE</v>
      </c>
      <c r="F298" s="53" t="n">
        <f aca="false">'Project Plan'!Z347</f>
        <v>9.2</v>
      </c>
      <c r="G298" s="6" t="s">
        <v>1030</v>
      </c>
      <c r="H298" s="50" t="str">
        <f aca="false">IF('Project Plan'!AB347="Done","Completed",IF('Project Plan'!AB347="Not started","Not started","In progress"))</f>
        <v>Not started</v>
      </c>
      <c r="I298" s="50" t="str">
        <f aca="false">"Task: Module 12: Street Light Management. Deliverable: "&amp;'Project Plan'!AA347</f>
        <v>Task: Module 12: Street Light Management. Deliverable: Deployed workflows and decision tables</v>
      </c>
    </row>
    <row r="299" customFormat="false" ht="15" hidden="false" customHeight="false" outlineLevel="0" collapsed="false">
      <c r="A299" s="50" t="str">
        <f aca="false">'Project Plan'!B348&amp;" "&amp;'Project Plan'!E348</f>
        <v>6.4.6 Staff console screens</v>
      </c>
      <c r="B299" s="6" t="s">
        <v>1055</v>
      </c>
      <c r="C299" s="52" t="n">
        <f aca="false">'Project Plan'!K348</f>
        <v>46619</v>
      </c>
      <c r="D299" s="52" t="n">
        <f aca="false">'Project Plan'!L348</f>
        <v>46693</v>
      </c>
      <c r="E299" s="50" t="str">
        <f aca="false">'Project Plan'!H348</f>
        <v>FE</v>
      </c>
      <c r="F299" s="53" t="n">
        <f aca="false">'Project Plan'!Z348</f>
        <v>18.4</v>
      </c>
      <c r="G299" s="6" t="s">
        <v>1030</v>
      </c>
      <c r="H299" s="50" t="str">
        <f aca="false">IF('Project Plan'!AB348="Done","Completed",IF('Project Plan'!AB348="Not started","Not started","In progress"))</f>
        <v>Not started</v>
      </c>
      <c r="I299" s="50" t="str">
        <f aca="false">"Task: Module 12: Street Light Management. Deliverable: "&amp;'Project Plan'!AA348</f>
        <v>Task: Module 12: Street Light Management. Deliverable: Staff screens</v>
      </c>
    </row>
    <row r="300" customFormat="false" ht="15" hidden="false" customHeight="false" outlineLevel="0" collapsed="false">
      <c r="A300" s="50" t="str">
        <f aca="false">'Project Plan'!B349&amp;" "&amp;'Project Plan'!E349</f>
        <v>6.4.7 Field app tasks (offline)</v>
      </c>
      <c r="B300" s="6" t="s">
        <v>1055</v>
      </c>
      <c r="C300" s="52" t="n">
        <f aca="false">'Project Plan'!K349</f>
        <v>46638</v>
      </c>
      <c r="D300" s="52" t="n">
        <f aca="false">'Project Plan'!L349</f>
        <v>46693</v>
      </c>
      <c r="E300" s="50" t="str">
        <f aca="false">'Project Plan'!H349</f>
        <v>MOB</v>
      </c>
      <c r="F300" s="53" t="n">
        <f aca="false">'Project Plan'!Z349</f>
        <v>9.2</v>
      </c>
      <c r="G300" s="6" t="s">
        <v>1030</v>
      </c>
      <c r="H300" s="50" t="str">
        <f aca="false">IF('Project Plan'!AB349="Done","Completed",IF('Project Plan'!AB349="Not started","Not started","In progress"))</f>
        <v>Not started</v>
      </c>
      <c r="I300" s="50" t="str">
        <f aca="false">"Task: Module 12: Street Light Management. Deliverable: "&amp;'Project Plan'!AA349</f>
        <v>Task: Module 12: Street Light Management. Deliverable: Field app plug-in</v>
      </c>
    </row>
    <row r="301" customFormat="false" ht="15" hidden="false" customHeight="false" outlineLevel="0" collapsed="false">
      <c r="A301" s="50" t="str">
        <f aca="false">'Project Plan'!B350&amp;" "&amp;'Project Plan'!E350</f>
        <v>6.4.8 GIS layers, map views and spatial checks</v>
      </c>
      <c r="B301" s="6" t="s">
        <v>1055</v>
      </c>
      <c r="C301" s="52" t="n">
        <f aca="false">'Project Plan'!K350</f>
        <v>46619</v>
      </c>
      <c r="D301" s="52" t="n">
        <f aca="false">'Project Plan'!L350</f>
        <v>46682</v>
      </c>
      <c r="E301" s="50" t="str">
        <f aca="false">'Project Plan'!H350</f>
        <v>GIS</v>
      </c>
      <c r="F301" s="53" t="n">
        <f aca="false">'Project Plan'!Z350</f>
        <v>6.9</v>
      </c>
      <c r="G301" s="6" t="s">
        <v>1030</v>
      </c>
      <c r="H301" s="50" t="str">
        <f aca="false">IF('Project Plan'!AB350="Done","Completed",IF('Project Plan'!AB350="Not started","Not started","In progress"))</f>
        <v>Not started</v>
      </c>
      <c r="I301" s="50" t="str">
        <f aca="false">"Task: Module 12: Street Light Management. Deliverable: "&amp;'Project Plan'!AA350</f>
        <v>Task: Module 12: Street Light Management. Deliverable: Layers and map features</v>
      </c>
    </row>
    <row r="302" customFormat="false" ht="15" hidden="false" customHeight="false" outlineLevel="0" collapsed="false">
      <c r="A302" s="50" t="str">
        <f aca="false">'Project Plan'!B351&amp;" "&amp;'Project Plan'!E351</f>
        <v>6.4.9 Module interfaces (8 I-xx links): events and APIs</v>
      </c>
      <c r="B302" s="6" t="s">
        <v>1055</v>
      </c>
      <c r="C302" s="52" t="n">
        <f aca="false">'Project Plan'!K351</f>
        <v>46647</v>
      </c>
      <c r="D302" s="52" t="n">
        <f aca="false">'Project Plan'!L351</f>
        <v>46699</v>
      </c>
      <c r="E302" s="50" t="str">
        <f aca="false">'Project Plan'!H351</f>
        <v>BE</v>
      </c>
      <c r="F302" s="53" t="n">
        <f aca="false">'Project Plan'!Z351</f>
        <v>13.8</v>
      </c>
      <c r="G302" s="6" t="s">
        <v>1030</v>
      </c>
      <c r="H302" s="50" t="str">
        <f aca="false">IF('Project Plan'!AB351="Done","Completed",IF('Project Plan'!AB351="Not started","Not started","In progress"))</f>
        <v>Not started</v>
      </c>
      <c r="I302" s="50" t="str">
        <f aca="false">"Task: Module 12: Street Light Management. Deliverable: "&amp;'Project Plan'!AA351</f>
        <v>Task: Module 12: Street Light Management. Deliverable: Contract-tested interfaces</v>
      </c>
    </row>
    <row r="303" customFormat="false" ht="15" hidden="false" customHeight="false" outlineLevel="0" collapsed="false">
      <c r="A303" s="50" t="str">
        <f aca="false">'Project Plan'!B352&amp;" "&amp;'Project Plan'!E352</f>
        <v>6.4.10 External system adapters (2)</v>
      </c>
      <c r="B303" s="6" t="s">
        <v>1055</v>
      </c>
      <c r="C303" s="52" t="n">
        <f aca="false">'Project Plan'!K352</f>
        <v>46638</v>
      </c>
      <c r="D303" s="52" t="n">
        <f aca="false">'Project Plan'!L352</f>
        <v>46699</v>
      </c>
      <c r="E303" s="50" t="str">
        <f aca="false">'Project Plan'!H352</f>
        <v>BE</v>
      </c>
      <c r="F303" s="53" t="n">
        <f aca="false">'Project Plan'!Z352</f>
        <v>13.8</v>
      </c>
      <c r="G303" s="6" t="s">
        <v>1030</v>
      </c>
      <c r="H303" s="50" t="str">
        <f aca="false">IF('Project Plan'!AB352="Done","Completed",IF('Project Plan'!AB352="Not started","Not started","In progress"))</f>
        <v>Not started</v>
      </c>
      <c r="I303" s="50" t="str">
        <f aca="false">"Task: Module 12: Street Light Management. Deliverable: "&amp;'Project Plan'!AA352</f>
        <v>Task: Module 12: Street Light Management. Deliverable: Adapters tested with provider sandboxes</v>
      </c>
    </row>
    <row r="304" customFormat="false" ht="15" hidden="false" customHeight="false" outlineLevel="0" collapsed="false">
      <c r="A304" s="50" t="str">
        <f aca="false">'Project Plan'!B353&amp;" "&amp;'Project Plan'!E353</f>
        <v>6.4.11 Reports, dashboards, notices and templates (all active languages)</v>
      </c>
      <c r="B304" s="6" t="s">
        <v>1055</v>
      </c>
      <c r="C304" s="52" t="n">
        <f aca="false">'Project Plan'!K353</f>
        <v>46666</v>
      </c>
      <c r="D304" s="52" t="n">
        <f aca="false">'Project Plan'!L353</f>
        <v>46701</v>
      </c>
      <c r="E304" s="50" t="str">
        <f aca="false">'Project Plan'!H353</f>
        <v>BE</v>
      </c>
      <c r="F304" s="53" t="n">
        <f aca="false">'Project Plan'!Z353</f>
        <v>5.75</v>
      </c>
      <c r="G304" s="6" t="s">
        <v>1030</v>
      </c>
      <c r="H304" s="50" t="str">
        <f aca="false">IF('Project Plan'!AB353="Done","Completed",IF('Project Plan'!AB353="Not started","Not started","In progress"))</f>
        <v>Not started</v>
      </c>
      <c r="I304" s="50" t="str">
        <f aca="false">"Task: Module 12: Street Light Management. Deliverable: "&amp;'Project Plan'!AA353</f>
        <v>Task: Module 12: Street Light Management. Deliverable: Reports and templates</v>
      </c>
    </row>
    <row r="305" customFormat="false" ht="15" hidden="false" customHeight="false" outlineLevel="0" collapsed="false">
      <c r="A305" s="50" t="str">
        <f aca="false">'Project Plan'!B354&amp;" "&amp;'Project Plan'!E354</f>
        <v>6.4.12 System integration testing</v>
      </c>
      <c r="B305" s="6" t="s">
        <v>1055</v>
      </c>
      <c r="C305" s="52" t="n">
        <f aca="false">'Project Plan'!K354</f>
        <v>46688</v>
      </c>
      <c r="D305" s="52" t="n">
        <f aca="false">'Project Plan'!L354</f>
        <v>46716</v>
      </c>
      <c r="E305" s="50" t="str">
        <f aca="false">'Project Plan'!H354</f>
        <v>QA</v>
      </c>
      <c r="F305" s="53" t="n">
        <f aca="false">'Project Plan'!Z354</f>
        <v>13.8</v>
      </c>
      <c r="G305" s="6" t="s">
        <v>1030</v>
      </c>
      <c r="H305" s="50" t="str">
        <f aca="false">IF('Project Plan'!AB354="Done","Completed",IF('Project Plan'!AB354="Not started","Not started","In progress"))</f>
        <v>Not started</v>
      </c>
      <c r="I305" s="50" t="str">
        <f aca="false">"Task: Module 12: Street Light Management. Deliverable: "&amp;'Project Plan'!AA354</f>
        <v>Task: Module 12: Street Light Management. Deliverable: SIT report</v>
      </c>
    </row>
    <row r="306" customFormat="false" ht="15" hidden="false" customHeight="false" outlineLevel="0" collapsed="false">
      <c r="A306" s="50" t="str">
        <f aca="false">'Project Plan'!B355&amp;" "&amp;'Project Plan'!E355</f>
        <v>6.4.13 Defect fixing and regression</v>
      </c>
      <c r="B306" s="6" t="s">
        <v>1055</v>
      </c>
      <c r="C306" s="52" t="n">
        <f aca="false">'Project Plan'!K355</f>
        <v>46694</v>
      </c>
      <c r="D306" s="52" t="n">
        <f aca="false">'Project Plan'!L355</f>
        <v>46729</v>
      </c>
      <c r="E306" s="50" t="str">
        <f aca="false">'Project Plan'!H355</f>
        <v>BE</v>
      </c>
      <c r="F306" s="53" t="n">
        <f aca="false">'Project Plan'!Z355</f>
        <v>11.5</v>
      </c>
      <c r="G306" s="6" t="s">
        <v>1030</v>
      </c>
      <c r="H306" s="50" t="str">
        <f aca="false">IF('Project Plan'!AB355="Done","Completed",IF('Project Plan'!AB355="Not started","Not started","In progress"))</f>
        <v>Not started</v>
      </c>
      <c r="I306" s="50" t="str">
        <f aca="false">"Task: Module 12: Street Light Management. Deliverable: "&amp;'Project Plan'!AA355</f>
        <v>Task: Module 12: Street Light Management. Deliverable: Closed defects</v>
      </c>
    </row>
    <row r="307" customFormat="false" ht="15" hidden="false" customHeight="false" outlineLevel="0" collapsed="false">
      <c r="A307" s="50" t="str">
        <f aca="false">'Project Plan'!B356&amp;" "&amp;'Project Plan'!E356</f>
        <v>6.4.14 UAT support with GWMC department</v>
      </c>
      <c r="B307" s="6" t="s">
        <v>1055</v>
      </c>
      <c r="C307" s="52" t="n">
        <f aca="false">'Project Plan'!K356</f>
        <v>46717</v>
      </c>
      <c r="D307" s="52" t="n">
        <f aca="false">'Project Plan'!L356</f>
        <v>46735</v>
      </c>
      <c r="E307" s="50" t="str">
        <f aca="false">'Project Plan'!H356</f>
        <v>BA</v>
      </c>
      <c r="F307" s="53" t="n">
        <f aca="false">'Project Plan'!Z356</f>
        <v>6.9</v>
      </c>
      <c r="G307" s="6" t="s">
        <v>1030</v>
      </c>
      <c r="H307" s="50" t="str">
        <f aca="false">IF('Project Plan'!AB356="Done","Completed",IF('Project Plan'!AB356="Not started","Not started","In progress"))</f>
        <v>Not started</v>
      </c>
      <c r="I307" s="50" t="str">
        <f aca="false">"Task: Module 12: Street Light Management. Deliverable: "&amp;'Project Plan'!AA356</f>
        <v>Task: Module 12: Street Light Management. Deliverable: UAT sign-off</v>
      </c>
    </row>
    <row r="308" customFormat="false" ht="15" hidden="false" customHeight="false" outlineLevel="0" collapsed="false">
      <c r="A308" s="50" t="str">
        <f aca="false">'Project Plan'!B357&amp;" "&amp;'Project Plan'!E357</f>
        <v>6.4.15 Training material and department training</v>
      </c>
      <c r="B308" s="6" t="s">
        <v>1055</v>
      </c>
      <c r="C308" s="52" t="n">
        <f aca="false">'Project Plan'!K357</f>
        <v>46722</v>
      </c>
      <c r="D308" s="52" t="n">
        <f aca="false">'Project Plan'!L357</f>
        <v>46738</v>
      </c>
      <c r="E308" s="50" t="str">
        <f aca="false">'Project Plan'!H357</f>
        <v>TRN</v>
      </c>
      <c r="F308" s="53" t="n">
        <f aca="false">'Project Plan'!Z357</f>
        <v>5.75</v>
      </c>
      <c r="G308" s="6" t="s">
        <v>1030</v>
      </c>
      <c r="H308" s="50" t="str">
        <f aca="false">IF('Project Plan'!AB357="Done","Completed",IF('Project Plan'!AB357="Not started","Not started","In progress"))</f>
        <v>Not started</v>
      </c>
      <c r="I308" s="50" t="str">
        <f aca="false">"Task: Module 12: Street Light Management. Deliverable: "&amp;'Project Plan'!AA357</f>
        <v>Task: Module 12: Street Light Management. Deliverable: Trained users, manuals in Telugu and English</v>
      </c>
    </row>
    <row r="309" customFormat="false" ht="15" hidden="false" customHeight="false" outlineLevel="0" collapsed="false">
      <c r="A309" s="50" t="str">
        <f aca="false">'Project Plan'!B359&amp;" "&amp;'Project Plan'!E359</f>
        <v>6.5.1 Process validation workshops and to-be sign-off</v>
      </c>
      <c r="B309" s="6" t="s">
        <v>1056</v>
      </c>
      <c r="C309" s="52" t="n">
        <f aca="false">'Project Plan'!K359</f>
        <v>46574</v>
      </c>
      <c r="D309" s="52" t="n">
        <f aca="false">'Project Plan'!L359</f>
        <v>46595</v>
      </c>
      <c r="E309" s="50" t="str">
        <f aca="false">'Project Plan'!H359</f>
        <v>BA</v>
      </c>
      <c r="F309" s="53" t="n">
        <f aca="false">'Project Plan'!Z359</f>
        <v>11.5</v>
      </c>
      <c r="G309" s="6" t="s">
        <v>1030</v>
      </c>
      <c r="H309" s="50" t="str">
        <f aca="false">IF('Project Plan'!AB359="Done","Completed",IF('Project Plan'!AB359="Not started","Not started","In progress"))</f>
        <v>Not started</v>
      </c>
      <c r="I309" s="50" t="str">
        <f aca="false">"Task: Module 14: Parks &amp; Horticulture Management. Deliverable: "&amp;'Project Plan'!AA359</f>
        <v>Task: Module 14: Parks &amp; Horticulture Management. Deliverable: Signed process maps</v>
      </c>
    </row>
    <row r="310" customFormat="false" ht="15" hidden="false" customHeight="false" outlineLevel="0" collapsed="false">
      <c r="A310" s="50" t="str">
        <f aca="false">'Project Plan'!B360&amp;" "&amp;'Project Plan'!E360</f>
        <v>6.5.2 LLD, data model and API/event contracts</v>
      </c>
      <c r="B310" s="6" t="s">
        <v>1056</v>
      </c>
      <c r="C310" s="52" t="n">
        <f aca="false">'Project Plan'!K360</f>
        <v>46589</v>
      </c>
      <c r="D310" s="52" t="n">
        <f aca="false">'Project Plan'!L360</f>
        <v>46610</v>
      </c>
      <c r="E310" s="50" t="str">
        <f aca="false">'Project Plan'!H360</f>
        <v>ARC</v>
      </c>
      <c r="F310" s="53" t="n">
        <f aca="false">'Project Plan'!Z360</f>
        <v>9.2</v>
      </c>
      <c r="G310" s="6" t="s">
        <v>1030</v>
      </c>
      <c r="H310" s="50" t="str">
        <f aca="false">IF('Project Plan'!AB360="Done","Completed",IF('Project Plan'!AB360="Not started","Not started","In progress"))</f>
        <v>Not started</v>
      </c>
      <c r="I310" s="50" t="str">
        <f aca="false">"Task: Module 14: Parks &amp; Horticulture Management. Deliverable: "&amp;'Project Plan'!AA360</f>
        <v>Task: Module 14: Parks &amp; Horticulture Management. Deliverable: LLD, OpenAPI, schemas</v>
      </c>
    </row>
    <row r="311" customFormat="false" ht="15" hidden="false" customHeight="false" outlineLevel="0" collapsed="false">
      <c r="A311" s="50" t="str">
        <f aca="false">'Project Plan'!B361&amp;" "&amp;'Project Plan'!E361</f>
        <v>6.5.3 UX wireframes and UI design</v>
      </c>
      <c r="B311" s="6" t="s">
        <v>1056</v>
      </c>
      <c r="C311" s="52" t="n">
        <f aca="false">'Project Plan'!K361</f>
        <v>46589</v>
      </c>
      <c r="D311" s="52" t="n">
        <f aca="false">'Project Plan'!L361</f>
        <v>46610</v>
      </c>
      <c r="E311" s="50" t="str">
        <f aca="false">'Project Plan'!H361</f>
        <v>FE</v>
      </c>
      <c r="F311" s="53" t="n">
        <f aca="false">'Project Plan'!Z361</f>
        <v>8.05</v>
      </c>
      <c r="G311" s="6" t="s">
        <v>1030</v>
      </c>
      <c r="H311" s="50" t="str">
        <f aca="false">IF('Project Plan'!AB361="Done","Completed",IF('Project Plan'!AB361="Not started","Not started","In progress"))</f>
        <v>Not started</v>
      </c>
      <c r="I311" s="50" t="str">
        <f aca="false">"Task: Module 14: Parks &amp; Horticulture Management. Deliverable: "&amp;'Project Plan'!AA361</f>
        <v>Task: Module 14: Parks &amp; Horticulture Management. Deliverable: Approved wireframes</v>
      </c>
    </row>
    <row r="312" customFormat="false" ht="15" hidden="false" customHeight="false" outlineLevel="0" collapsed="false">
      <c r="A312" s="50" t="str">
        <f aca="false">'Project Plan'!B362&amp;" "&amp;'Project Plan'!E362</f>
        <v>6.5.4 Database schema, domain logic and APIs</v>
      </c>
      <c r="B312" s="6" t="s">
        <v>1056</v>
      </c>
      <c r="C312" s="52" t="n">
        <f aca="false">'Project Plan'!K362</f>
        <v>46608</v>
      </c>
      <c r="D312" s="52" t="n">
        <f aca="false">'Project Plan'!L362</f>
        <v>46682</v>
      </c>
      <c r="E312" s="50" t="str">
        <f aca="false">'Project Plan'!H362</f>
        <v>BE</v>
      </c>
      <c r="F312" s="53" t="n">
        <f aca="false">'Project Plan'!Z362</f>
        <v>31.05</v>
      </c>
      <c r="G312" s="6" t="s">
        <v>1030</v>
      </c>
      <c r="H312" s="50" t="str">
        <f aca="false">IF('Project Plan'!AB362="Done","Completed",IF('Project Plan'!AB362="Not started","Not started","In progress"))</f>
        <v>Not started</v>
      </c>
      <c r="I312" s="50" t="str">
        <f aca="false">"Task: Module 14: Parks &amp; Horticulture Management. Deliverable: "&amp;'Project Plan'!AA362</f>
        <v>Task: Module 14: Parks &amp; Horticulture Management. Deliverable: Service build</v>
      </c>
    </row>
    <row r="313" customFormat="false" ht="15" hidden="false" customHeight="false" outlineLevel="0" collapsed="false">
      <c r="A313" s="50" t="str">
        <f aca="false">'Project Plan'!B363&amp;" "&amp;'Project Plan'!E363</f>
        <v>6.5.5 Workflows (BPMN) and rules (DMN) configuration</v>
      </c>
      <c r="B313" s="6" t="s">
        <v>1056</v>
      </c>
      <c r="C313" s="52" t="n">
        <f aca="false">'Project Plan'!K363</f>
        <v>46630</v>
      </c>
      <c r="D313" s="52" t="n">
        <f aca="false">'Project Plan'!L363</f>
        <v>46685</v>
      </c>
      <c r="E313" s="50" t="str">
        <f aca="false">'Project Plan'!H363</f>
        <v>BE</v>
      </c>
      <c r="F313" s="53" t="n">
        <f aca="false">'Project Plan'!Z363</f>
        <v>14.95</v>
      </c>
      <c r="G313" s="6" t="s">
        <v>1030</v>
      </c>
      <c r="H313" s="50" t="str">
        <f aca="false">IF('Project Plan'!AB363="Done","Completed",IF('Project Plan'!AB363="Not started","Not started","In progress"))</f>
        <v>Not started</v>
      </c>
      <c r="I313" s="50" t="str">
        <f aca="false">"Task: Module 14: Parks &amp; Horticulture Management. Deliverable: "&amp;'Project Plan'!AA363</f>
        <v>Task: Module 14: Parks &amp; Horticulture Management. Deliverable: Deployed workflows and decision tables</v>
      </c>
    </row>
    <row r="314" customFormat="false" ht="15" hidden="false" customHeight="false" outlineLevel="0" collapsed="false">
      <c r="A314" s="50" t="str">
        <f aca="false">'Project Plan'!B364&amp;" "&amp;'Project Plan'!E364</f>
        <v>6.5.6 Staff console screens</v>
      </c>
      <c r="B314" s="6" t="s">
        <v>1056</v>
      </c>
      <c r="C314" s="52" t="n">
        <f aca="false">'Project Plan'!K364</f>
        <v>46619</v>
      </c>
      <c r="D314" s="52" t="n">
        <f aca="false">'Project Plan'!L364</f>
        <v>46693</v>
      </c>
      <c r="E314" s="50" t="str">
        <f aca="false">'Project Plan'!H364</f>
        <v>FE</v>
      </c>
      <c r="F314" s="53" t="n">
        <f aca="false">'Project Plan'!Z364</f>
        <v>25.3</v>
      </c>
      <c r="G314" s="6" t="s">
        <v>1030</v>
      </c>
      <c r="H314" s="50" t="str">
        <f aca="false">IF('Project Plan'!AB364="Done","Completed",IF('Project Plan'!AB364="Not started","Not started","In progress"))</f>
        <v>Not started</v>
      </c>
      <c r="I314" s="50" t="str">
        <f aca="false">"Task: Module 14: Parks &amp; Horticulture Management. Deliverable: "&amp;'Project Plan'!AA364</f>
        <v>Task: Module 14: Parks &amp; Horticulture Management. Deliverable: Staff screens</v>
      </c>
    </row>
    <row r="315" customFormat="false" ht="15" hidden="false" customHeight="false" outlineLevel="0" collapsed="false">
      <c r="A315" s="50" t="str">
        <f aca="false">'Project Plan'!B365&amp;" "&amp;'Project Plan'!E365</f>
        <v>6.5.7 Citizen portal and app services</v>
      </c>
      <c r="B315" s="6" t="s">
        <v>1056</v>
      </c>
      <c r="C315" s="52" t="n">
        <f aca="false">'Project Plan'!K365</f>
        <v>46638</v>
      </c>
      <c r="D315" s="52" t="n">
        <f aca="false">'Project Plan'!L365</f>
        <v>46693</v>
      </c>
      <c r="E315" s="50" t="str">
        <f aca="false">'Project Plan'!H365</f>
        <v>FE</v>
      </c>
      <c r="F315" s="53" t="n">
        <f aca="false">'Project Plan'!Z365</f>
        <v>18.4</v>
      </c>
      <c r="G315" s="6" t="s">
        <v>1030</v>
      </c>
      <c r="H315" s="50" t="str">
        <f aca="false">IF('Project Plan'!AB365="Done","Completed",IF('Project Plan'!AB365="Not started","Not started","In progress"))</f>
        <v>Not started</v>
      </c>
      <c r="I315" s="50" t="str">
        <f aca="false">"Task: Module 14: Parks &amp; Horticulture Management. Deliverable: "&amp;'Project Plan'!AA365</f>
        <v>Task: Module 14: Parks &amp; Horticulture Management. Deliverable: Citizen services live in MyGWMC</v>
      </c>
    </row>
    <row r="316" customFormat="false" ht="15" hidden="false" customHeight="false" outlineLevel="0" collapsed="false">
      <c r="A316" s="50" t="str">
        <f aca="false">'Project Plan'!B366&amp;" "&amp;'Project Plan'!E366</f>
        <v>6.5.8 Field app tasks (offline)</v>
      </c>
      <c r="B316" s="6" t="s">
        <v>1056</v>
      </c>
      <c r="C316" s="52" t="n">
        <f aca="false">'Project Plan'!K366</f>
        <v>46638</v>
      </c>
      <c r="D316" s="52" t="n">
        <f aca="false">'Project Plan'!L366</f>
        <v>46693</v>
      </c>
      <c r="E316" s="50" t="str">
        <f aca="false">'Project Plan'!H366</f>
        <v>MOB</v>
      </c>
      <c r="F316" s="53" t="n">
        <f aca="false">'Project Plan'!Z366</f>
        <v>12.65</v>
      </c>
      <c r="G316" s="6" t="s">
        <v>1030</v>
      </c>
      <c r="H316" s="50" t="str">
        <f aca="false">IF('Project Plan'!AB366="Done","Completed",IF('Project Plan'!AB366="Not started","Not started","In progress"))</f>
        <v>Not started</v>
      </c>
      <c r="I316" s="50" t="str">
        <f aca="false">"Task: Module 14: Parks &amp; Horticulture Management. Deliverable: "&amp;'Project Plan'!AA366</f>
        <v>Task: Module 14: Parks &amp; Horticulture Management. Deliverable: Field app plug-in</v>
      </c>
    </row>
    <row r="317" customFormat="false" ht="15" hidden="false" customHeight="false" outlineLevel="0" collapsed="false">
      <c r="A317" s="50" t="str">
        <f aca="false">'Project Plan'!B367&amp;" "&amp;'Project Plan'!E367</f>
        <v>6.5.9 GIS layers, map views and spatial checks</v>
      </c>
      <c r="B317" s="6" t="s">
        <v>1056</v>
      </c>
      <c r="C317" s="52" t="n">
        <f aca="false">'Project Plan'!K367</f>
        <v>46619</v>
      </c>
      <c r="D317" s="52" t="n">
        <f aca="false">'Project Plan'!L367</f>
        <v>46682</v>
      </c>
      <c r="E317" s="50" t="str">
        <f aca="false">'Project Plan'!H367</f>
        <v>GIS</v>
      </c>
      <c r="F317" s="53" t="n">
        <f aca="false">'Project Plan'!Z367</f>
        <v>10.35</v>
      </c>
      <c r="G317" s="6" t="s">
        <v>1030</v>
      </c>
      <c r="H317" s="50" t="str">
        <f aca="false">IF('Project Plan'!AB367="Done","Completed",IF('Project Plan'!AB367="Not started","Not started","In progress"))</f>
        <v>Not started</v>
      </c>
      <c r="I317" s="50" t="str">
        <f aca="false">"Task: Module 14: Parks &amp; Horticulture Management. Deliverable: "&amp;'Project Plan'!AA367</f>
        <v>Task: Module 14: Parks &amp; Horticulture Management. Deliverable: Layers and map features</v>
      </c>
    </row>
    <row r="318" customFormat="false" ht="15" hidden="false" customHeight="false" outlineLevel="0" collapsed="false">
      <c r="A318" s="50" t="str">
        <f aca="false">'Project Plan'!B368&amp;" "&amp;'Project Plan'!E368</f>
        <v>6.5.10 Module interfaces (6 I-xx links): events and APIs</v>
      </c>
      <c r="B318" s="6" t="s">
        <v>1056</v>
      </c>
      <c r="C318" s="52" t="n">
        <f aca="false">'Project Plan'!K368</f>
        <v>46647</v>
      </c>
      <c r="D318" s="52" t="n">
        <f aca="false">'Project Plan'!L368</f>
        <v>46699</v>
      </c>
      <c r="E318" s="50" t="str">
        <f aca="false">'Project Plan'!H368</f>
        <v>BE</v>
      </c>
      <c r="F318" s="53" t="n">
        <f aca="false">'Project Plan'!Z368</f>
        <v>10.35</v>
      </c>
      <c r="G318" s="6" t="s">
        <v>1030</v>
      </c>
      <c r="H318" s="50" t="str">
        <f aca="false">IF('Project Plan'!AB368="Done","Completed",IF('Project Plan'!AB368="Not started","Not started","In progress"))</f>
        <v>Not started</v>
      </c>
      <c r="I318" s="50" t="str">
        <f aca="false">"Task: Module 14: Parks &amp; Horticulture Management. Deliverable: "&amp;'Project Plan'!AA368</f>
        <v>Task: Module 14: Parks &amp; Horticulture Management. Deliverable: Contract-tested interfaces</v>
      </c>
    </row>
    <row r="319" customFormat="false" ht="15" hidden="false" customHeight="false" outlineLevel="0" collapsed="false">
      <c r="A319" s="50" t="str">
        <f aca="false">'Project Plan'!B369&amp;" "&amp;'Project Plan'!E369</f>
        <v>6.5.11 Reports, dashboards, notices and templates (all active languages)</v>
      </c>
      <c r="B319" s="6" t="s">
        <v>1056</v>
      </c>
      <c r="C319" s="52" t="n">
        <f aca="false">'Project Plan'!K369</f>
        <v>46666</v>
      </c>
      <c r="D319" s="52" t="n">
        <f aca="false">'Project Plan'!L369</f>
        <v>46701</v>
      </c>
      <c r="E319" s="50" t="str">
        <f aca="false">'Project Plan'!H369</f>
        <v>BE</v>
      </c>
      <c r="F319" s="53" t="n">
        <f aca="false">'Project Plan'!Z369</f>
        <v>11.5</v>
      </c>
      <c r="G319" s="6" t="s">
        <v>1030</v>
      </c>
      <c r="H319" s="50" t="str">
        <f aca="false">IF('Project Plan'!AB369="Done","Completed",IF('Project Plan'!AB369="Not started","Not started","In progress"))</f>
        <v>Not started</v>
      </c>
      <c r="I319" s="50" t="str">
        <f aca="false">"Task: Module 14: Parks &amp; Horticulture Management. Deliverable: "&amp;'Project Plan'!AA369</f>
        <v>Task: Module 14: Parks &amp; Horticulture Management. Deliverable: Reports and templates</v>
      </c>
    </row>
    <row r="320" customFormat="false" ht="15" hidden="false" customHeight="false" outlineLevel="0" collapsed="false">
      <c r="A320" s="50" t="str">
        <f aca="false">'Project Plan'!B370&amp;" "&amp;'Project Plan'!E370</f>
        <v>6.5.12 System integration testing</v>
      </c>
      <c r="B320" s="6" t="s">
        <v>1056</v>
      </c>
      <c r="C320" s="52" t="n">
        <f aca="false">'Project Plan'!K370</f>
        <v>46688</v>
      </c>
      <c r="D320" s="52" t="n">
        <f aca="false">'Project Plan'!L370</f>
        <v>46716</v>
      </c>
      <c r="E320" s="50" t="str">
        <f aca="false">'Project Plan'!H370</f>
        <v>QA</v>
      </c>
      <c r="F320" s="53" t="n">
        <f aca="false">'Project Plan'!Z370</f>
        <v>20.7</v>
      </c>
      <c r="G320" s="6" t="s">
        <v>1030</v>
      </c>
      <c r="H320" s="50" t="str">
        <f aca="false">IF('Project Plan'!AB370="Done","Completed",IF('Project Plan'!AB370="Not started","Not started","In progress"))</f>
        <v>Not started</v>
      </c>
      <c r="I320" s="50" t="str">
        <f aca="false">"Task: Module 14: Parks &amp; Horticulture Management. Deliverable: "&amp;'Project Plan'!AA370</f>
        <v>Task: Module 14: Parks &amp; Horticulture Management. Deliverable: SIT report</v>
      </c>
    </row>
    <row r="321" customFormat="false" ht="15" hidden="false" customHeight="false" outlineLevel="0" collapsed="false">
      <c r="A321" s="50" t="str">
        <f aca="false">'Project Plan'!B371&amp;" "&amp;'Project Plan'!E371</f>
        <v>6.5.13 Defect fixing and regression</v>
      </c>
      <c r="B321" s="6" t="s">
        <v>1056</v>
      </c>
      <c r="C321" s="52" t="n">
        <f aca="false">'Project Plan'!K371</f>
        <v>46694</v>
      </c>
      <c r="D321" s="52" t="n">
        <f aca="false">'Project Plan'!L371</f>
        <v>46729</v>
      </c>
      <c r="E321" s="50" t="str">
        <f aca="false">'Project Plan'!H371</f>
        <v>BE</v>
      </c>
      <c r="F321" s="53" t="n">
        <f aca="false">'Project Plan'!Z371</f>
        <v>17.25</v>
      </c>
      <c r="G321" s="6" t="s">
        <v>1030</v>
      </c>
      <c r="H321" s="50" t="str">
        <f aca="false">IF('Project Plan'!AB371="Done","Completed",IF('Project Plan'!AB371="Not started","Not started","In progress"))</f>
        <v>Not started</v>
      </c>
      <c r="I321" s="50" t="str">
        <f aca="false">"Task: Module 14: Parks &amp; Horticulture Management. Deliverable: "&amp;'Project Plan'!AA371</f>
        <v>Task: Module 14: Parks &amp; Horticulture Management. Deliverable: Closed defects</v>
      </c>
    </row>
    <row r="322" customFormat="false" ht="15" hidden="false" customHeight="false" outlineLevel="0" collapsed="false">
      <c r="A322" s="50" t="str">
        <f aca="false">'Project Plan'!B372&amp;" "&amp;'Project Plan'!E372</f>
        <v>6.5.14 UAT support with GWMC department</v>
      </c>
      <c r="B322" s="6" t="s">
        <v>1056</v>
      </c>
      <c r="C322" s="52" t="n">
        <f aca="false">'Project Plan'!K372</f>
        <v>46717</v>
      </c>
      <c r="D322" s="52" t="n">
        <f aca="false">'Project Plan'!L372</f>
        <v>46735</v>
      </c>
      <c r="E322" s="50" t="str">
        <f aca="false">'Project Plan'!H372</f>
        <v>BA</v>
      </c>
      <c r="F322" s="53" t="n">
        <f aca="false">'Project Plan'!Z372</f>
        <v>9.2</v>
      </c>
      <c r="G322" s="6" t="s">
        <v>1030</v>
      </c>
      <c r="H322" s="50" t="str">
        <f aca="false">IF('Project Plan'!AB372="Done","Completed",IF('Project Plan'!AB372="Not started","Not started","In progress"))</f>
        <v>Not started</v>
      </c>
      <c r="I322" s="50" t="str">
        <f aca="false">"Task: Module 14: Parks &amp; Horticulture Management. Deliverable: "&amp;'Project Plan'!AA372</f>
        <v>Task: Module 14: Parks &amp; Horticulture Management. Deliverable: UAT sign-off</v>
      </c>
    </row>
    <row r="323" customFormat="false" ht="15" hidden="false" customHeight="false" outlineLevel="0" collapsed="false">
      <c r="A323" s="50" t="str">
        <f aca="false">'Project Plan'!B373&amp;" "&amp;'Project Plan'!E373</f>
        <v>6.5.15 Training material and department training</v>
      </c>
      <c r="B323" s="6" t="s">
        <v>1056</v>
      </c>
      <c r="C323" s="52" t="n">
        <f aca="false">'Project Plan'!K373</f>
        <v>46722</v>
      </c>
      <c r="D323" s="52" t="n">
        <f aca="false">'Project Plan'!L373</f>
        <v>46738</v>
      </c>
      <c r="E323" s="50" t="str">
        <f aca="false">'Project Plan'!H373</f>
        <v>TRN</v>
      </c>
      <c r="F323" s="53" t="n">
        <f aca="false">'Project Plan'!Z373</f>
        <v>8.05</v>
      </c>
      <c r="G323" s="6" t="s">
        <v>1030</v>
      </c>
      <c r="H323" s="50" t="str">
        <f aca="false">IF('Project Plan'!AB373="Done","Completed",IF('Project Plan'!AB373="Not started","Not started","In progress"))</f>
        <v>Not started</v>
      </c>
      <c r="I323" s="50" t="str">
        <f aca="false">"Task: Module 14: Parks &amp; Horticulture Management. Deliverable: "&amp;'Project Plan'!AA373</f>
        <v>Task: Module 14: Parks &amp; Horticulture Management. Deliverable: Trained users, manuals in Telugu and English</v>
      </c>
    </row>
    <row r="324" customFormat="false" ht="15" hidden="false" customHeight="false" outlineLevel="0" collapsed="false">
      <c r="A324" s="50" t="str">
        <f aca="false">'Project Plan'!B375&amp;" "&amp;'Project Plan'!E375</f>
        <v>6.6.1 Process validation workshops and to-be sign-off</v>
      </c>
      <c r="B324" s="6" t="s">
        <v>1057</v>
      </c>
      <c r="C324" s="52" t="n">
        <f aca="false">'Project Plan'!K375</f>
        <v>46574</v>
      </c>
      <c r="D324" s="52" t="n">
        <f aca="false">'Project Plan'!L375</f>
        <v>46595</v>
      </c>
      <c r="E324" s="50" t="str">
        <f aca="false">'Project Plan'!H375</f>
        <v>BA</v>
      </c>
      <c r="F324" s="53" t="n">
        <f aca="false">'Project Plan'!Z375</f>
        <v>11.5</v>
      </c>
      <c r="G324" s="6" t="s">
        <v>1030</v>
      </c>
      <c r="H324" s="50" t="str">
        <f aca="false">IF('Project Plan'!AB375="Done","Completed",IF('Project Plan'!AB375="Not started","Not started","In progress"))</f>
        <v>Not started</v>
      </c>
      <c r="I324" s="50" t="str">
        <f aca="false">"Task: Module 17: Inventory &amp; Stores Management. Deliverable: "&amp;'Project Plan'!AA375</f>
        <v>Task: Module 17: Inventory &amp; Stores Management. Deliverable: Signed process maps</v>
      </c>
    </row>
    <row r="325" customFormat="false" ht="15" hidden="false" customHeight="false" outlineLevel="0" collapsed="false">
      <c r="A325" s="50" t="str">
        <f aca="false">'Project Plan'!B376&amp;" "&amp;'Project Plan'!E376</f>
        <v>6.6.2 LLD, data model and API/event contracts</v>
      </c>
      <c r="B325" s="6" t="s">
        <v>1057</v>
      </c>
      <c r="C325" s="52" t="n">
        <f aca="false">'Project Plan'!K376</f>
        <v>46589</v>
      </c>
      <c r="D325" s="52" t="n">
        <f aca="false">'Project Plan'!L376</f>
        <v>46610</v>
      </c>
      <c r="E325" s="50" t="str">
        <f aca="false">'Project Plan'!H376</f>
        <v>ARC</v>
      </c>
      <c r="F325" s="53" t="n">
        <f aca="false">'Project Plan'!Z376</f>
        <v>9.2</v>
      </c>
      <c r="G325" s="6" t="s">
        <v>1030</v>
      </c>
      <c r="H325" s="50" t="str">
        <f aca="false">IF('Project Plan'!AB376="Done","Completed",IF('Project Plan'!AB376="Not started","Not started","In progress"))</f>
        <v>Not started</v>
      </c>
      <c r="I325" s="50" t="str">
        <f aca="false">"Task: Module 17: Inventory &amp; Stores Management. Deliverable: "&amp;'Project Plan'!AA376</f>
        <v>Task: Module 17: Inventory &amp; Stores Management. Deliverable: LLD, OpenAPI, schemas</v>
      </c>
    </row>
    <row r="326" customFormat="false" ht="15" hidden="false" customHeight="false" outlineLevel="0" collapsed="false">
      <c r="A326" s="50" t="str">
        <f aca="false">'Project Plan'!B377&amp;" "&amp;'Project Plan'!E377</f>
        <v>6.6.3 UX wireframes and UI design</v>
      </c>
      <c r="B326" s="6" t="s">
        <v>1057</v>
      </c>
      <c r="C326" s="52" t="n">
        <f aca="false">'Project Plan'!K377</f>
        <v>46589</v>
      </c>
      <c r="D326" s="52" t="n">
        <f aca="false">'Project Plan'!L377</f>
        <v>46610</v>
      </c>
      <c r="E326" s="50" t="str">
        <f aca="false">'Project Plan'!H377</f>
        <v>FE</v>
      </c>
      <c r="F326" s="53" t="n">
        <f aca="false">'Project Plan'!Z377</f>
        <v>8.05</v>
      </c>
      <c r="G326" s="6" t="s">
        <v>1030</v>
      </c>
      <c r="H326" s="50" t="str">
        <f aca="false">IF('Project Plan'!AB377="Done","Completed",IF('Project Plan'!AB377="Not started","Not started","In progress"))</f>
        <v>Not started</v>
      </c>
      <c r="I326" s="50" t="str">
        <f aca="false">"Task: Module 17: Inventory &amp; Stores Management. Deliverable: "&amp;'Project Plan'!AA377</f>
        <v>Task: Module 17: Inventory &amp; Stores Management. Deliverable: Approved wireframes</v>
      </c>
    </row>
    <row r="327" customFormat="false" ht="15" hidden="false" customHeight="false" outlineLevel="0" collapsed="false">
      <c r="A327" s="50" t="str">
        <f aca="false">'Project Plan'!B378&amp;" "&amp;'Project Plan'!E378</f>
        <v>6.6.4 Database schema, domain logic and APIs</v>
      </c>
      <c r="B327" s="6" t="s">
        <v>1057</v>
      </c>
      <c r="C327" s="52" t="n">
        <f aca="false">'Project Plan'!K378</f>
        <v>46608</v>
      </c>
      <c r="D327" s="52" t="n">
        <f aca="false">'Project Plan'!L378</f>
        <v>46682</v>
      </c>
      <c r="E327" s="50" t="str">
        <f aca="false">'Project Plan'!H378</f>
        <v>BE</v>
      </c>
      <c r="F327" s="53" t="n">
        <f aca="false">'Project Plan'!Z378</f>
        <v>29.9</v>
      </c>
      <c r="G327" s="6" t="s">
        <v>1030</v>
      </c>
      <c r="H327" s="50" t="str">
        <f aca="false">IF('Project Plan'!AB378="Done","Completed",IF('Project Plan'!AB378="Not started","Not started","In progress"))</f>
        <v>Not started</v>
      </c>
      <c r="I327" s="50" t="str">
        <f aca="false">"Task: Module 17: Inventory &amp; Stores Management. Deliverable: "&amp;'Project Plan'!AA378</f>
        <v>Task: Module 17: Inventory &amp; Stores Management. Deliverable: Service build</v>
      </c>
    </row>
    <row r="328" customFormat="false" ht="15" hidden="false" customHeight="false" outlineLevel="0" collapsed="false">
      <c r="A328" s="50" t="str">
        <f aca="false">'Project Plan'!B379&amp;" "&amp;'Project Plan'!E379</f>
        <v>6.6.5 Workflows (BPMN) and rules (DMN) configuration</v>
      </c>
      <c r="B328" s="6" t="s">
        <v>1057</v>
      </c>
      <c r="C328" s="52" t="n">
        <f aca="false">'Project Plan'!K379</f>
        <v>46630</v>
      </c>
      <c r="D328" s="52" t="n">
        <f aca="false">'Project Plan'!L379</f>
        <v>46685</v>
      </c>
      <c r="E328" s="50" t="str">
        <f aca="false">'Project Plan'!H379</f>
        <v>BE</v>
      </c>
      <c r="F328" s="53" t="n">
        <f aca="false">'Project Plan'!Z379</f>
        <v>12.65</v>
      </c>
      <c r="G328" s="6" t="s">
        <v>1030</v>
      </c>
      <c r="H328" s="50" t="str">
        <f aca="false">IF('Project Plan'!AB379="Done","Completed",IF('Project Plan'!AB379="Not started","Not started","In progress"))</f>
        <v>Not started</v>
      </c>
      <c r="I328" s="50" t="str">
        <f aca="false">"Task: Module 17: Inventory &amp; Stores Management. Deliverable: "&amp;'Project Plan'!AA379</f>
        <v>Task: Module 17: Inventory &amp; Stores Management. Deliverable: Deployed workflows and decision tables</v>
      </c>
    </row>
    <row r="329" customFormat="false" ht="15" hidden="false" customHeight="false" outlineLevel="0" collapsed="false">
      <c r="A329" s="50" t="str">
        <f aca="false">'Project Plan'!B380&amp;" "&amp;'Project Plan'!E380</f>
        <v>6.6.6 Staff console screens</v>
      </c>
      <c r="B329" s="6" t="s">
        <v>1057</v>
      </c>
      <c r="C329" s="52" t="n">
        <f aca="false">'Project Plan'!K380</f>
        <v>46619</v>
      </c>
      <c r="D329" s="52" t="n">
        <f aca="false">'Project Plan'!L380</f>
        <v>46693</v>
      </c>
      <c r="E329" s="50" t="str">
        <f aca="false">'Project Plan'!H380</f>
        <v>FE</v>
      </c>
      <c r="F329" s="53" t="n">
        <f aca="false">'Project Plan'!Z380</f>
        <v>24.15</v>
      </c>
      <c r="G329" s="6" t="s">
        <v>1030</v>
      </c>
      <c r="H329" s="50" t="str">
        <f aca="false">IF('Project Plan'!AB380="Done","Completed",IF('Project Plan'!AB380="Not started","Not started","In progress"))</f>
        <v>Not started</v>
      </c>
      <c r="I329" s="50" t="str">
        <f aca="false">"Task: Module 17: Inventory &amp; Stores Management. Deliverable: "&amp;'Project Plan'!AA380</f>
        <v>Task: Module 17: Inventory &amp; Stores Management. Deliverable: Staff screens</v>
      </c>
    </row>
    <row r="330" customFormat="false" ht="15" hidden="false" customHeight="false" outlineLevel="0" collapsed="false">
      <c r="A330" s="50" t="str">
        <f aca="false">'Project Plan'!B381&amp;" "&amp;'Project Plan'!E381</f>
        <v>6.6.7 Module interfaces (3 I-xx links): events and APIs</v>
      </c>
      <c r="B330" s="6" t="s">
        <v>1057</v>
      </c>
      <c r="C330" s="52" t="n">
        <f aca="false">'Project Plan'!K381</f>
        <v>46647</v>
      </c>
      <c r="D330" s="52" t="n">
        <f aca="false">'Project Plan'!L381</f>
        <v>46699</v>
      </c>
      <c r="E330" s="50" t="str">
        <f aca="false">'Project Plan'!H381</f>
        <v>BE</v>
      </c>
      <c r="F330" s="53" t="n">
        <f aca="false">'Project Plan'!Z381</f>
        <v>4.6</v>
      </c>
      <c r="G330" s="6" t="s">
        <v>1030</v>
      </c>
      <c r="H330" s="50" t="str">
        <f aca="false">IF('Project Plan'!AB381="Done","Completed",IF('Project Plan'!AB381="Not started","Not started","In progress"))</f>
        <v>Not started</v>
      </c>
      <c r="I330" s="50" t="str">
        <f aca="false">"Task: Module 17: Inventory &amp; Stores Management. Deliverable: "&amp;'Project Plan'!AA381</f>
        <v>Task: Module 17: Inventory &amp; Stores Management. Deliverable: Contract-tested interfaces</v>
      </c>
    </row>
    <row r="331" customFormat="false" ht="15" hidden="false" customHeight="false" outlineLevel="0" collapsed="false">
      <c r="A331" s="50" t="str">
        <f aca="false">'Project Plan'!B382&amp;" "&amp;'Project Plan'!E382</f>
        <v>6.6.8 External system adapters (1)</v>
      </c>
      <c r="B331" s="6" t="s">
        <v>1057</v>
      </c>
      <c r="C331" s="52" t="n">
        <f aca="false">'Project Plan'!K382</f>
        <v>46638</v>
      </c>
      <c r="D331" s="52" t="n">
        <f aca="false">'Project Plan'!L382</f>
        <v>46699</v>
      </c>
      <c r="E331" s="50" t="str">
        <f aca="false">'Project Plan'!H382</f>
        <v>BE</v>
      </c>
      <c r="F331" s="53" t="n">
        <f aca="false">'Project Plan'!Z382</f>
        <v>6.9</v>
      </c>
      <c r="G331" s="6" t="s">
        <v>1030</v>
      </c>
      <c r="H331" s="50" t="str">
        <f aca="false">IF('Project Plan'!AB382="Done","Completed",IF('Project Plan'!AB382="Not started","Not started","In progress"))</f>
        <v>Not started</v>
      </c>
      <c r="I331" s="50" t="str">
        <f aca="false">"Task: Module 17: Inventory &amp; Stores Management. Deliverable: "&amp;'Project Plan'!AA382</f>
        <v>Task: Module 17: Inventory &amp; Stores Management. Deliverable: Adapters tested with provider sandboxes</v>
      </c>
    </row>
    <row r="332" customFormat="false" ht="15" hidden="false" customHeight="false" outlineLevel="0" collapsed="false">
      <c r="A332" s="50" t="str">
        <f aca="false">'Project Plan'!B383&amp;" "&amp;'Project Plan'!E383</f>
        <v>6.6.9 Reports, dashboards, notices and templates (all active languages)</v>
      </c>
      <c r="B332" s="6" t="s">
        <v>1057</v>
      </c>
      <c r="C332" s="52" t="n">
        <f aca="false">'Project Plan'!K383</f>
        <v>46666</v>
      </c>
      <c r="D332" s="52" t="n">
        <f aca="false">'Project Plan'!L383</f>
        <v>46701</v>
      </c>
      <c r="E332" s="50" t="str">
        <f aca="false">'Project Plan'!H383</f>
        <v>BE</v>
      </c>
      <c r="F332" s="53" t="n">
        <f aca="false">'Project Plan'!Z383</f>
        <v>9.2</v>
      </c>
      <c r="G332" s="6" t="s">
        <v>1030</v>
      </c>
      <c r="H332" s="50" t="str">
        <f aca="false">IF('Project Plan'!AB383="Done","Completed",IF('Project Plan'!AB383="Not started","Not started","In progress"))</f>
        <v>Not started</v>
      </c>
      <c r="I332" s="50" t="str">
        <f aca="false">"Task: Module 17: Inventory &amp; Stores Management. Deliverable: "&amp;'Project Plan'!AA383</f>
        <v>Task: Module 17: Inventory &amp; Stores Management. Deliverable: Reports and templates</v>
      </c>
    </row>
    <row r="333" customFormat="false" ht="15" hidden="false" customHeight="false" outlineLevel="0" collapsed="false">
      <c r="A333" s="50" t="str">
        <f aca="false">'Project Plan'!B384&amp;" "&amp;'Project Plan'!E384</f>
        <v>6.6.10 System integration testing</v>
      </c>
      <c r="B333" s="6" t="s">
        <v>1057</v>
      </c>
      <c r="C333" s="52" t="n">
        <f aca="false">'Project Plan'!K384</f>
        <v>46688</v>
      </c>
      <c r="D333" s="52" t="n">
        <f aca="false">'Project Plan'!L384</f>
        <v>46716</v>
      </c>
      <c r="E333" s="50" t="str">
        <f aca="false">'Project Plan'!H384</f>
        <v>QA</v>
      </c>
      <c r="F333" s="53" t="n">
        <f aca="false">'Project Plan'!Z384</f>
        <v>19.55</v>
      </c>
      <c r="G333" s="6" t="s">
        <v>1030</v>
      </c>
      <c r="H333" s="50" t="str">
        <f aca="false">IF('Project Plan'!AB384="Done","Completed",IF('Project Plan'!AB384="Not started","Not started","In progress"))</f>
        <v>Not started</v>
      </c>
      <c r="I333" s="50" t="str">
        <f aca="false">"Task: Module 17: Inventory &amp; Stores Management. Deliverable: "&amp;'Project Plan'!AA384</f>
        <v>Task: Module 17: Inventory &amp; Stores Management. Deliverable: SIT report</v>
      </c>
    </row>
    <row r="334" customFormat="false" ht="15" hidden="false" customHeight="false" outlineLevel="0" collapsed="false">
      <c r="A334" s="50" t="str">
        <f aca="false">'Project Plan'!B385&amp;" "&amp;'Project Plan'!E385</f>
        <v>6.6.11 Defect fixing and regression</v>
      </c>
      <c r="B334" s="6" t="s">
        <v>1057</v>
      </c>
      <c r="C334" s="52" t="n">
        <f aca="false">'Project Plan'!K385</f>
        <v>46694</v>
      </c>
      <c r="D334" s="52" t="n">
        <f aca="false">'Project Plan'!L385</f>
        <v>46729</v>
      </c>
      <c r="E334" s="50" t="str">
        <f aca="false">'Project Plan'!H385</f>
        <v>BE</v>
      </c>
      <c r="F334" s="53" t="n">
        <f aca="false">'Project Plan'!Z385</f>
        <v>16.1</v>
      </c>
      <c r="G334" s="6" t="s">
        <v>1030</v>
      </c>
      <c r="H334" s="50" t="str">
        <f aca="false">IF('Project Plan'!AB385="Done","Completed",IF('Project Plan'!AB385="Not started","Not started","In progress"))</f>
        <v>Not started</v>
      </c>
      <c r="I334" s="50" t="str">
        <f aca="false">"Task: Module 17: Inventory &amp; Stores Management. Deliverable: "&amp;'Project Plan'!AA385</f>
        <v>Task: Module 17: Inventory &amp; Stores Management. Deliverable: Closed defects</v>
      </c>
    </row>
    <row r="335" customFormat="false" ht="15" hidden="false" customHeight="false" outlineLevel="0" collapsed="false">
      <c r="A335" s="50" t="str">
        <f aca="false">'Project Plan'!B386&amp;" "&amp;'Project Plan'!E386</f>
        <v>6.6.12 UAT support with GWMC department</v>
      </c>
      <c r="B335" s="6" t="s">
        <v>1057</v>
      </c>
      <c r="C335" s="52" t="n">
        <f aca="false">'Project Plan'!K386</f>
        <v>46717</v>
      </c>
      <c r="D335" s="52" t="n">
        <f aca="false">'Project Plan'!L386</f>
        <v>46735</v>
      </c>
      <c r="E335" s="50" t="str">
        <f aca="false">'Project Plan'!H386</f>
        <v>BA</v>
      </c>
      <c r="F335" s="53" t="n">
        <f aca="false">'Project Plan'!Z386</f>
        <v>9.2</v>
      </c>
      <c r="G335" s="6" t="s">
        <v>1030</v>
      </c>
      <c r="H335" s="50" t="str">
        <f aca="false">IF('Project Plan'!AB386="Done","Completed",IF('Project Plan'!AB386="Not started","Not started","In progress"))</f>
        <v>Not started</v>
      </c>
      <c r="I335" s="50" t="str">
        <f aca="false">"Task: Module 17: Inventory &amp; Stores Management. Deliverable: "&amp;'Project Plan'!AA386</f>
        <v>Task: Module 17: Inventory &amp; Stores Management. Deliverable: UAT sign-off</v>
      </c>
    </row>
    <row r="336" customFormat="false" ht="15" hidden="false" customHeight="false" outlineLevel="0" collapsed="false">
      <c r="A336" s="50" t="str">
        <f aca="false">'Project Plan'!B387&amp;" "&amp;'Project Plan'!E387</f>
        <v>6.6.13 Training material and department training</v>
      </c>
      <c r="B336" s="6" t="s">
        <v>1057</v>
      </c>
      <c r="C336" s="52" t="n">
        <f aca="false">'Project Plan'!K387</f>
        <v>46722</v>
      </c>
      <c r="D336" s="52" t="n">
        <f aca="false">'Project Plan'!L387</f>
        <v>46738</v>
      </c>
      <c r="E336" s="50" t="str">
        <f aca="false">'Project Plan'!H387</f>
        <v>TRN</v>
      </c>
      <c r="F336" s="53" t="n">
        <f aca="false">'Project Plan'!Z387</f>
        <v>8.05</v>
      </c>
      <c r="G336" s="6" t="s">
        <v>1030</v>
      </c>
      <c r="H336" s="50" t="str">
        <f aca="false">IF('Project Plan'!AB387="Done","Completed",IF('Project Plan'!AB387="Not started","Not started","In progress"))</f>
        <v>Not started</v>
      </c>
      <c r="I336" s="50" t="str">
        <f aca="false">"Task: Module 17: Inventory &amp; Stores Management. Deliverable: "&amp;'Project Plan'!AA387</f>
        <v>Task: Module 17: Inventory &amp; Stores Management. Deliverable: Trained users, manuals in Telugu and English</v>
      </c>
    </row>
    <row r="337" customFormat="false" ht="15" hidden="false" customHeight="false" outlineLevel="0" collapsed="false">
      <c r="A337" s="50" t="str">
        <f aca="false">'Project Plan'!B389&amp;" "&amp;'Project Plan'!E389</f>
        <v>6.7.1 End-to-end integration testing (SRS E2E scenarios)</v>
      </c>
      <c r="B337" s="6" t="s">
        <v>1058</v>
      </c>
      <c r="C337" s="52" t="n">
        <f aca="false">'Project Plan'!K389</f>
        <v>46707</v>
      </c>
      <c r="D337" s="52" t="n">
        <f aca="false">'Project Plan'!L389</f>
        <v>46723</v>
      </c>
      <c r="E337" s="50" t="str">
        <f aca="false">'Project Plan'!H389</f>
        <v>QA</v>
      </c>
      <c r="F337" s="53" t="n">
        <f aca="false">'Project Plan'!Z389</f>
        <v>34.5</v>
      </c>
      <c r="G337" s="6" t="s">
        <v>1030</v>
      </c>
      <c r="H337" s="50" t="str">
        <f aca="false">IF('Project Plan'!AB389="Done","Completed",IF('Project Plan'!AB389="Not started","Not started","In progress"))</f>
        <v>Not started</v>
      </c>
      <c r="I337" s="50" t="str">
        <f aca="false">"Task: Phase 3 release, testing and go-live. Deliverable: "&amp;'Project Plan'!AA389</f>
        <v>Task: Phase 3 release, testing and go-live. Deliverable: E2E report</v>
      </c>
    </row>
    <row r="338" customFormat="false" ht="15" hidden="false" customHeight="false" outlineLevel="0" collapsed="false">
      <c r="A338" s="50" t="str">
        <f aca="false">'Project Plan'!B390&amp;" "&amp;'Project Plan'!E390</f>
        <v>6.7.2 Performance and load testing (NFR-001/002)</v>
      </c>
      <c r="B338" s="6" t="s">
        <v>1058</v>
      </c>
      <c r="C338" s="52" t="n">
        <f aca="false">'Project Plan'!K390</f>
        <v>46713</v>
      </c>
      <c r="D338" s="52" t="n">
        <f aca="false">'Project Plan'!L390</f>
        <v>46723</v>
      </c>
      <c r="E338" s="50" t="str">
        <f aca="false">'Project Plan'!H390</f>
        <v>QA</v>
      </c>
      <c r="F338" s="53" t="n">
        <f aca="false">'Project Plan'!Z390</f>
        <v>18.4</v>
      </c>
      <c r="G338" s="6" t="s">
        <v>1030</v>
      </c>
      <c r="H338" s="50" t="str">
        <f aca="false">IF('Project Plan'!AB390="Done","Completed",IF('Project Plan'!AB390="Not started","Not started","In progress"))</f>
        <v>Not started</v>
      </c>
      <c r="I338" s="50" t="str">
        <f aca="false">"Task: Phase 3 release, testing and go-live. Deliverable: "&amp;'Project Plan'!AA390</f>
        <v>Task: Phase 3 release, testing and go-live. Deliverable: Performance report</v>
      </c>
    </row>
    <row r="339" customFormat="false" ht="15" hidden="false" customHeight="false" outlineLevel="0" collapsed="false">
      <c r="A339" s="50" t="str">
        <f aca="false">'Project Plan'!B391&amp;" "&amp;'Project Plan'!E391</f>
        <v>6.7.3 Security audit by CERT-In empanelled auditor and fixes</v>
      </c>
      <c r="B339" s="6" t="s">
        <v>1058</v>
      </c>
      <c r="C339" s="52" t="n">
        <f aca="false">'Project Plan'!K391</f>
        <v>46717</v>
      </c>
      <c r="D339" s="52" t="n">
        <f aca="false">'Project Plan'!L391</f>
        <v>46735</v>
      </c>
      <c r="E339" s="50" t="str">
        <f aca="false">'Project Plan'!H391</f>
        <v>QA</v>
      </c>
      <c r="F339" s="53" t="n">
        <f aca="false">'Project Plan'!Z391</f>
        <v>24.15</v>
      </c>
      <c r="G339" s="6" t="s">
        <v>1030</v>
      </c>
      <c r="H339" s="50" t="str">
        <f aca="false">IF('Project Plan'!AB391="Done","Completed",IF('Project Plan'!AB391="Not started","Not started","In progress"))</f>
        <v>Not started</v>
      </c>
      <c r="I339" s="50" t="str">
        <f aca="false">"Task: Phase 3 release, testing and go-live. Deliverable: "&amp;'Project Plan'!AA391</f>
        <v>Task: Phase 3 release, testing and go-live. Deliverable: Audit certificate</v>
      </c>
    </row>
    <row r="340" customFormat="false" ht="15" hidden="false" customHeight="false" outlineLevel="0" collapsed="false">
      <c r="A340" s="50" t="str">
        <f aca="false">'Project Plan'!B392&amp;" "&amp;'Project Plan'!E392</f>
        <v>6.7.4 Training of trainers and end-user training programme</v>
      </c>
      <c r="B340" s="6" t="s">
        <v>1058</v>
      </c>
      <c r="C340" s="52" t="n">
        <f aca="false">'Project Plan'!K392</f>
        <v>46724</v>
      </c>
      <c r="D340" s="52" t="n">
        <f aca="false">'Project Plan'!L392</f>
        <v>46742</v>
      </c>
      <c r="E340" s="50" t="str">
        <f aca="false">'Project Plan'!H392</f>
        <v>TRN</v>
      </c>
      <c r="F340" s="53" t="n">
        <f aca="false">'Project Plan'!Z392</f>
        <v>23</v>
      </c>
      <c r="G340" s="6" t="s">
        <v>1030</v>
      </c>
      <c r="H340" s="50" t="str">
        <f aca="false">IF('Project Plan'!AB392="Done","Completed",IF('Project Plan'!AB392="Not started","Not started","In progress"))</f>
        <v>Not started</v>
      </c>
      <c r="I340" s="50" t="str">
        <f aca="false">"Task: Phase 3 release, testing and go-live. Deliverable: "&amp;'Project Plan'!AA392</f>
        <v>Task: Phase 3 release, testing and go-live. Deliverable: Training attendance and feedback</v>
      </c>
    </row>
    <row r="341" customFormat="false" ht="15" hidden="false" customHeight="false" outlineLevel="0" collapsed="false">
      <c r="A341" s="50" t="str">
        <f aca="false">'Project Plan'!B393&amp;" "&amp;'Project Plan'!E393</f>
        <v>6.7.5 Migration dress rehearsal and cut-over plan</v>
      </c>
      <c r="B341" s="6" t="s">
        <v>1058</v>
      </c>
      <c r="C341" s="52" t="n">
        <f aca="false">'Project Plan'!K393</f>
        <v>46729</v>
      </c>
      <c r="D341" s="52" t="n">
        <f aca="false">'Project Plan'!L393</f>
        <v>46738</v>
      </c>
      <c r="E341" s="50" t="str">
        <f aca="false">'Project Plan'!H393</f>
        <v>DATA</v>
      </c>
      <c r="F341" s="53" t="n">
        <f aca="false">'Project Plan'!Z393</f>
        <v>14.95</v>
      </c>
      <c r="G341" s="6" t="s">
        <v>1030</v>
      </c>
      <c r="H341" s="50" t="str">
        <f aca="false">IF('Project Plan'!AB393="Done","Completed",IF('Project Plan'!AB393="Not started","Not started","In progress"))</f>
        <v>Not started</v>
      </c>
      <c r="I341" s="50" t="str">
        <f aca="false">"Task: Phase 3 release, testing and go-live. Deliverable: "&amp;'Project Plan'!AA393</f>
        <v>Task: Phase 3 release, testing and go-live. Deliverable: Cut-over runbook</v>
      </c>
    </row>
    <row r="342" customFormat="false" ht="15" hidden="false" customHeight="false" outlineLevel="0" collapsed="false">
      <c r="A342" s="50" t="str">
        <f aca="false">'Project Plan'!B394&amp;" "&amp;'Project Plan'!E394</f>
        <v>6.7.6 Production deployment and cut-over</v>
      </c>
      <c r="B342" s="6" t="s">
        <v>1058</v>
      </c>
      <c r="C342" s="52" t="n">
        <f aca="false">'Project Plan'!K394</f>
        <v>46741</v>
      </c>
      <c r="D342" s="52" t="n">
        <f aca="false">'Project Plan'!L394</f>
        <v>46743</v>
      </c>
      <c r="E342" s="50" t="str">
        <f aca="false">'Project Plan'!H394</f>
        <v>DEV</v>
      </c>
      <c r="F342" s="53" t="n">
        <f aca="false">'Project Plan'!Z394</f>
        <v>18.4</v>
      </c>
      <c r="G342" s="6" t="s">
        <v>1030</v>
      </c>
      <c r="H342" s="50" t="str">
        <f aca="false">IF('Project Plan'!AB394="Done","Completed",IF('Project Plan'!AB394="Not started","Not started","In progress"))</f>
        <v>Not started</v>
      </c>
      <c r="I342" s="50" t="str">
        <f aca="false">"Task: Phase 3 release, testing and go-live. Deliverable: "&amp;'Project Plan'!AA394</f>
        <v>Task: Phase 3 release, testing and go-live. Deliverable: Go-live</v>
      </c>
    </row>
    <row r="343" customFormat="false" ht="15" hidden="false" customHeight="false" outlineLevel="0" collapsed="false">
      <c r="A343" s="50" t="str">
        <f aca="false">'Project Plan'!B395&amp;" "&amp;'Project Plan'!E395</f>
        <v>6.8 M3: Phase 3 go-live</v>
      </c>
      <c r="B343" s="6" t="s">
        <v>1059</v>
      </c>
      <c r="C343" s="52" t="n">
        <f aca="false">'Project Plan'!K395</f>
        <v>46743</v>
      </c>
      <c r="D343" s="52" t="n">
        <f aca="false">'Project Plan'!L395</f>
        <v>46743</v>
      </c>
      <c r="E343" s="50" t="n">
        <f aca="false">'Project Plan'!H395</f>
        <v>0</v>
      </c>
      <c r="F343" s="53" t="n">
        <f aca="false">'Project Plan'!Z395</f>
        <v>0</v>
      </c>
      <c r="G343" s="6" t="s">
        <v>1035</v>
      </c>
      <c r="H343" s="50" t="str">
        <f aca="false">IF('Project Plan'!AB395="Done","Completed",IF('Project Plan'!AB395="Not started","Not started","In progress"))</f>
        <v>Not started</v>
      </c>
      <c r="I343" s="50" t="str">
        <f aca="false">"Task: Phase 3: Field operations. Deliverable: "&amp;'Project Plan'!AA395</f>
        <v>Task: Phase 3: Field operations. Deliverable: </v>
      </c>
    </row>
    <row r="344" customFormat="false" ht="15" hidden="false" customHeight="false" outlineLevel="0" collapsed="false">
      <c r="A344" s="50" t="str">
        <f aca="false">'Project Plan'!B396&amp;" "&amp;'Project Plan'!E396</f>
        <v>6.8.1 Hypercare and stabilisation (4 weeks)</v>
      </c>
      <c r="B344" s="6" t="s">
        <v>1058</v>
      </c>
      <c r="C344" s="52" t="n">
        <f aca="false">'Project Plan'!K396</f>
        <v>46743</v>
      </c>
      <c r="D344" s="52" t="n">
        <f aca="false">'Project Plan'!L396</f>
        <v>46770</v>
      </c>
      <c r="E344" s="50" t="str">
        <f aca="false">'Project Plan'!H396</f>
        <v>BE</v>
      </c>
      <c r="F344" s="53" t="n">
        <f aca="false">'Project Plan'!Z396</f>
        <v>33.35</v>
      </c>
      <c r="G344" s="6" t="s">
        <v>1030</v>
      </c>
      <c r="H344" s="50" t="str">
        <f aca="false">IF('Project Plan'!AB396="Done","Completed",IF('Project Plan'!AB396="Not started","Not started","In progress"))</f>
        <v>Not started</v>
      </c>
      <c r="I344" s="50" t="str">
        <f aca="false">"Task: M3: Phase 3 go-live. Deliverable: "&amp;'Project Plan'!AA396</f>
        <v>Task: M3: Phase 3 go-live. Deliverable: Hypercare closure report</v>
      </c>
    </row>
    <row r="345" customFormat="false" ht="15" hidden="false" customHeight="false" outlineLevel="0" collapsed="false">
      <c r="A345" s="50" t="str">
        <f aca="false">'Project Plan'!B397&amp;" "&amp;'Project Plan'!E397</f>
        <v>6.9 Phase 3 acceptance and sign-off</v>
      </c>
      <c r="B345" s="6" t="s">
        <v>1059</v>
      </c>
      <c r="C345" s="52" t="n">
        <f aca="false">'Project Plan'!K397</f>
        <v>46771</v>
      </c>
      <c r="D345" s="52" t="n">
        <f aca="false">'Project Plan'!L397</f>
        <v>46771</v>
      </c>
      <c r="E345" s="50" t="n">
        <f aca="false">'Project Plan'!H397</f>
        <v>0</v>
      </c>
      <c r="F345" s="53" t="n">
        <f aca="false">'Project Plan'!Z397</f>
        <v>0</v>
      </c>
      <c r="G345" s="6" t="s">
        <v>1035</v>
      </c>
      <c r="H345" s="50" t="str">
        <f aca="false">IF('Project Plan'!AB397="Done","Completed",IF('Project Plan'!AB397="Not started","Not started","In progress"))</f>
        <v>Not started</v>
      </c>
      <c r="I345" s="50" t="str">
        <f aca="false">"Task: Phase 3: Field operations. Deliverable: "&amp;'Project Plan'!AA397</f>
        <v>Task: Phase 3: Field operations. Deliverable: </v>
      </c>
    </row>
    <row r="346" customFormat="false" ht="15" hidden="false" customHeight="false" outlineLevel="0" collapsed="false">
      <c r="A346" s="50" t="str">
        <f aca="false">'Project Plan'!B398&amp;" "&amp;'Project Plan'!E398</f>
        <v>6.10 Phase 3 build mid-point (next phase design may start)</v>
      </c>
      <c r="B346" s="6" t="s">
        <v>1059</v>
      </c>
      <c r="C346" s="52" t="n">
        <f aca="false">'Project Plan'!K398</f>
        <v>46666</v>
      </c>
      <c r="D346" s="52" t="n">
        <f aca="false">'Project Plan'!L398</f>
        <v>46666</v>
      </c>
      <c r="E346" s="50" t="n">
        <f aca="false">'Project Plan'!H398</f>
        <v>0</v>
      </c>
      <c r="F346" s="53" t="n">
        <f aca="false">'Project Plan'!Z398</f>
        <v>0</v>
      </c>
      <c r="G346" s="6" t="s">
        <v>1035</v>
      </c>
      <c r="H346" s="50" t="str">
        <f aca="false">IF('Project Plan'!AB398="Done","Completed",IF('Project Plan'!AB398="Not started","Not started","In progress"))</f>
        <v>Not started</v>
      </c>
      <c r="I346" s="50" t="str">
        <f aca="false">"Task: Phase 3: Field operations. Deliverable: "&amp;'Project Plan'!AA398</f>
        <v>Task: Phase 3: Field operations. Deliverable: </v>
      </c>
    </row>
    <row r="347" customFormat="false" ht="15" hidden="false" customHeight="false" outlineLevel="0" collapsed="false">
      <c r="A347" s="50" t="str">
        <f aca="false">'Project Plan'!B401&amp;" "&amp;'Project Plan'!E401</f>
        <v>7.1.1 Org hierarchy and approvers move to HR (workflow switch-over)</v>
      </c>
      <c r="B347" s="6" t="s">
        <v>1060</v>
      </c>
      <c r="C347" s="52" t="n">
        <f aca="false">'Project Plan'!K401</f>
        <v>46715</v>
      </c>
      <c r="D347" s="52" t="n">
        <f aca="false">'Project Plan'!L401</f>
        <v>46797</v>
      </c>
      <c r="E347" s="50" t="str">
        <f aca="false">'Project Plan'!H401</f>
        <v>BE</v>
      </c>
      <c r="F347" s="53" t="n">
        <f aca="false">'Project Plan'!Z401</f>
        <v>17.25</v>
      </c>
      <c r="G347" s="6" t="s">
        <v>1030</v>
      </c>
      <c r="H347" s="50" t="str">
        <f aca="false">IF('Project Plan'!AB401="Done","Completed",IF('Project Plan'!AB401="Not started","Not started","In progress"))</f>
        <v>Not started</v>
      </c>
      <c r="I347" s="50" t="str">
        <f aca="false">"Task: Platform increments for Phase 4. Deliverable: "&amp;'Project Plan'!AA401</f>
        <v>Task: Platform increments for Phase 4. Deliverable: Platform release</v>
      </c>
    </row>
    <row r="348" customFormat="false" ht="15" hidden="false" customHeight="false" outlineLevel="0" collapsed="false">
      <c r="A348" s="50" t="str">
        <f aca="false">'Project Plan'!B402&amp;" "&amp;'Project Plan'!E402</f>
        <v>7.1.2 Legal and asset interim records migrated (I-30, I-42)</v>
      </c>
      <c r="B348" s="6" t="s">
        <v>1060</v>
      </c>
      <c r="C348" s="52" t="n">
        <f aca="false">'Project Plan'!K402</f>
        <v>46715</v>
      </c>
      <c r="D348" s="52" t="n">
        <f aca="false">'Project Plan'!L402</f>
        <v>46797</v>
      </c>
      <c r="E348" s="50" t="str">
        <f aca="false">'Project Plan'!H402</f>
        <v>DATA</v>
      </c>
      <c r="F348" s="53" t="n">
        <f aca="false">'Project Plan'!Z402</f>
        <v>13.8</v>
      </c>
      <c r="G348" s="6" t="s">
        <v>1030</v>
      </c>
      <c r="H348" s="50" t="str">
        <f aca="false">IF('Project Plan'!AB402="Done","Completed",IF('Project Plan'!AB402="Not started","Not started","In progress"))</f>
        <v>Not started</v>
      </c>
      <c r="I348" s="50" t="str">
        <f aca="false">"Task: Platform increments for Phase 4. Deliverable: "&amp;'Project Plan'!AA402</f>
        <v>Task: Platform increments for Phase 4. Deliverable: Platform release</v>
      </c>
    </row>
    <row r="349" customFormat="false" ht="15" hidden="false" customHeight="false" outlineLevel="0" collapsed="false">
      <c r="A349" s="50" t="str">
        <f aca="false">'Project Plan'!B403&amp;" "&amp;'Project Plan'!E403</f>
        <v>7.1.3 Full cross-module MIS and state dashboards</v>
      </c>
      <c r="B349" s="6" t="s">
        <v>1060</v>
      </c>
      <c r="C349" s="52" t="n">
        <f aca="false">'Project Plan'!K403</f>
        <v>46715</v>
      </c>
      <c r="D349" s="52" t="n">
        <f aca="false">'Project Plan'!L403</f>
        <v>46797</v>
      </c>
      <c r="E349" s="50" t="str">
        <f aca="false">'Project Plan'!H403</f>
        <v>BE</v>
      </c>
      <c r="F349" s="53" t="n">
        <f aca="false">'Project Plan'!Z403</f>
        <v>28.75</v>
      </c>
      <c r="G349" s="6" t="s">
        <v>1030</v>
      </c>
      <c r="H349" s="50" t="str">
        <f aca="false">IF('Project Plan'!AB403="Done","Completed",IF('Project Plan'!AB403="Not started","Not started","In progress"))</f>
        <v>Not started</v>
      </c>
      <c r="I349" s="50" t="str">
        <f aca="false">"Task: Platform increments for Phase 4. Deliverable: "&amp;'Project Plan'!AA403</f>
        <v>Task: Platform increments for Phase 4. Deliverable: Platform release</v>
      </c>
    </row>
    <row r="350" customFormat="false" ht="15" hidden="false" customHeight="false" outlineLevel="0" collapsed="false">
      <c r="A350" s="50" t="str">
        <f aca="false">'Project Plan'!B405&amp;" "&amp;'Project Plan'!E405</f>
        <v>7.2.1 Process validation workshops and to-be sign-off</v>
      </c>
      <c r="B350" s="6" t="s">
        <v>1061</v>
      </c>
      <c r="C350" s="52" t="n">
        <f aca="false">'Project Plan'!K405</f>
        <v>46696</v>
      </c>
      <c r="D350" s="52" t="n">
        <f aca="false">'Project Plan'!L405</f>
        <v>46717</v>
      </c>
      <c r="E350" s="50" t="str">
        <f aca="false">'Project Plan'!H405</f>
        <v>BA</v>
      </c>
      <c r="F350" s="53" t="n">
        <f aca="false">'Project Plan'!Z405</f>
        <v>12.65</v>
      </c>
      <c r="G350" s="6" t="s">
        <v>1030</v>
      </c>
      <c r="H350" s="50" t="str">
        <f aca="false">IF('Project Plan'!AB405="Done","Completed",IF('Project Plan'!AB405="Not started","Not started","In progress"))</f>
        <v>Not started</v>
      </c>
      <c r="I350" s="50" t="str">
        <f aca="false">"Task: Module 8: Payroll &amp; HR Management. Deliverable: "&amp;'Project Plan'!AA405</f>
        <v>Task: Module 8: Payroll &amp; HR Management. Deliverable: Signed process maps</v>
      </c>
    </row>
    <row r="351" customFormat="false" ht="15" hidden="false" customHeight="false" outlineLevel="0" collapsed="false">
      <c r="A351" s="50" t="str">
        <f aca="false">'Project Plan'!B406&amp;" "&amp;'Project Plan'!E406</f>
        <v>7.2.2 LLD, data model and API/event contracts</v>
      </c>
      <c r="B351" s="6" t="s">
        <v>1061</v>
      </c>
      <c r="C351" s="52" t="n">
        <f aca="false">'Project Plan'!K406</f>
        <v>46713</v>
      </c>
      <c r="D351" s="52" t="n">
        <f aca="false">'Project Plan'!L406</f>
        <v>46734</v>
      </c>
      <c r="E351" s="50" t="str">
        <f aca="false">'Project Plan'!H406</f>
        <v>ARC</v>
      </c>
      <c r="F351" s="53" t="n">
        <f aca="false">'Project Plan'!Z406</f>
        <v>11.5</v>
      </c>
      <c r="G351" s="6" t="s">
        <v>1030</v>
      </c>
      <c r="H351" s="50" t="str">
        <f aca="false">IF('Project Plan'!AB406="Done","Completed",IF('Project Plan'!AB406="Not started","Not started","In progress"))</f>
        <v>Not started</v>
      </c>
      <c r="I351" s="50" t="str">
        <f aca="false">"Task: Module 8: Payroll &amp; HR Management. Deliverable: "&amp;'Project Plan'!AA406</f>
        <v>Task: Module 8: Payroll &amp; HR Management. Deliverable: LLD, OpenAPI, schemas</v>
      </c>
    </row>
    <row r="352" customFormat="false" ht="15" hidden="false" customHeight="false" outlineLevel="0" collapsed="false">
      <c r="A352" s="50" t="str">
        <f aca="false">'Project Plan'!B407&amp;" "&amp;'Project Plan'!E407</f>
        <v>7.2.3 UX wireframes and UI design</v>
      </c>
      <c r="B352" s="6" t="s">
        <v>1061</v>
      </c>
      <c r="C352" s="52" t="n">
        <f aca="false">'Project Plan'!K407</f>
        <v>46713</v>
      </c>
      <c r="D352" s="52" t="n">
        <f aca="false">'Project Plan'!L407</f>
        <v>46734</v>
      </c>
      <c r="E352" s="50" t="str">
        <f aca="false">'Project Plan'!H407</f>
        <v>FE</v>
      </c>
      <c r="F352" s="53" t="n">
        <f aca="false">'Project Plan'!Z407</f>
        <v>9.2</v>
      </c>
      <c r="G352" s="6" t="s">
        <v>1030</v>
      </c>
      <c r="H352" s="50" t="str">
        <f aca="false">IF('Project Plan'!AB407="Done","Completed",IF('Project Plan'!AB407="Not started","Not started","In progress"))</f>
        <v>Not started</v>
      </c>
      <c r="I352" s="50" t="str">
        <f aca="false">"Task: Module 8: Payroll &amp; HR Management. Deliverable: "&amp;'Project Plan'!AA407</f>
        <v>Task: Module 8: Payroll &amp; HR Management. Deliverable: Approved wireframes</v>
      </c>
    </row>
    <row r="353" customFormat="false" ht="15" hidden="false" customHeight="false" outlineLevel="0" collapsed="false">
      <c r="A353" s="50" t="str">
        <f aca="false">'Project Plan'!B408&amp;" "&amp;'Project Plan'!E408</f>
        <v>7.2.4 Database schema, domain logic and APIs</v>
      </c>
      <c r="B353" s="6" t="s">
        <v>1061</v>
      </c>
      <c r="C353" s="52" t="n">
        <f aca="false">'Project Plan'!K408</f>
        <v>46730</v>
      </c>
      <c r="D353" s="52" t="n">
        <f aca="false">'Project Plan'!L408</f>
        <v>46806</v>
      </c>
      <c r="E353" s="50" t="str">
        <f aca="false">'Project Plan'!H408</f>
        <v>BE</v>
      </c>
      <c r="F353" s="53" t="n">
        <f aca="false">'Project Plan'!Z408</f>
        <v>32.2</v>
      </c>
      <c r="G353" s="6" t="s">
        <v>1030</v>
      </c>
      <c r="H353" s="50" t="str">
        <f aca="false">IF('Project Plan'!AB408="Done","Completed",IF('Project Plan'!AB408="Not started","Not started","In progress"))</f>
        <v>Not started</v>
      </c>
      <c r="I353" s="50" t="str">
        <f aca="false">"Task: Module 8: Payroll &amp; HR Management. Deliverable: "&amp;'Project Plan'!AA408</f>
        <v>Task: Module 8: Payroll &amp; HR Management. Deliverable: Service build</v>
      </c>
    </row>
    <row r="354" customFormat="false" ht="15" hidden="false" customHeight="false" outlineLevel="0" collapsed="false">
      <c r="A354" s="50" t="str">
        <f aca="false">'Project Plan'!B409&amp;" "&amp;'Project Plan'!E409</f>
        <v>7.2.5 Workflows (BPMN) and rules (DMN) configuration</v>
      </c>
      <c r="B354" s="6" t="s">
        <v>1061</v>
      </c>
      <c r="C354" s="52" t="n">
        <f aca="false">'Project Plan'!K409</f>
        <v>46752</v>
      </c>
      <c r="D354" s="52" t="n">
        <f aca="false">'Project Plan'!L409</f>
        <v>46807</v>
      </c>
      <c r="E354" s="50" t="str">
        <f aca="false">'Project Plan'!H409</f>
        <v>BE</v>
      </c>
      <c r="F354" s="53" t="n">
        <f aca="false">'Project Plan'!Z409</f>
        <v>16.1</v>
      </c>
      <c r="G354" s="6" t="s">
        <v>1030</v>
      </c>
      <c r="H354" s="50" t="str">
        <f aca="false">IF('Project Plan'!AB409="Done","Completed",IF('Project Plan'!AB409="Not started","Not started","In progress"))</f>
        <v>Not started</v>
      </c>
      <c r="I354" s="50" t="str">
        <f aca="false">"Task: Module 8: Payroll &amp; HR Management. Deliverable: "&amp;'Project Plan'!AA409</f>
        <v>Task: Module 8: Payroll &amp; HR Management. Deliverable: Deployed workflows and decision tables</v>
      </c>
    </row>
    <row r="355" customFormat="false" ht="15" hidden="false" customHeight="false" outlineLevel="0" collapsed="false">
      <c r="A355" s="50" t="str">
        <f aca="false">'Project Plan'!B410&amp;" "&amp;'Project Plan'!E410</f>
        <v>7.2.6 Staff console screens</v>
      </c>
      <c r="B355" s="6" t="s">
        <v>1061</v>
      </c>
      <c r="C355" s="52" t="n">
        <f aca="false">'Project Plan'!K410</f>
        <v>46743</v>
      </c>
      <c r="D355" s="52" t="n">
        <f aca="false">'Project Plan'!L410</f>
        <v>46815</v>
      </c>
      <c r="E355" s="50" t="str">
        <f aca="false">'Project Plan'!H410</f>
        <v>FE</v>
      </c>
      <c r="F355" s="53" t="n">
        <f aca="false">'Project Plan'!Z410</f>
        <v>27.6</v>
      </c>
      <c r="G355" s="6" t="s">
        <v>1030</v>
      </c>
      <c r="H355" s="50" t="str">
        <f aca="false">IF('Project Plan'!AB410="Done","Completed",IF('Project Plan'!AB410="Not started","Not started","In progress"))</f>
        <v>Not started</v>
      </c>
      <c r="I355" s="50" t="str">
        <f aca="false">"Task: Module 8: Payroll &amp; HR Management. Deliverable: "&amp;'Project Plan'!AA410</f>
        <v>Task: Module 8: Payroll &amp; HR Management. Deliverable: Staff screens</v>
      </c>
    </row>
    <row r="356" customFormat="false" ht="15" hidden="false" customHeight="false" outlineLevel="0" collapsed="false">
      <c r="A356" s="50" t="str">
        <f aca="false">'Project Plan'!B411&amp;" "&amp;'Project Plan'!E411</f>
        <v>7.2.7 Field app tasks (offline)</v>
      </c>
      <c r="B356" s="6" t="s">
        <v>1061</v>
      </c>
      <c r="C356" s="52" t="n">
        <f aca="false">'Project Plan'!K411</f>
        <v>46762</v>
      </c>
      <c r="D356" s="52" t="n">
        <f aca="false">'Project Plan'!L411</f>
        <v>46815</v>
      </c>
      <c r="E356" s="50" t="str">
        <f aca="false">'Project Plan'!H411</f>
        <v>MOB</v>
      </c>
      <c r="F356" s="53" t="n">
        <f aca="false">'Project Plan'!Z411</f>
        <v>12.65</v>
      </c>
      <c r="G356" s="6" t="s">
        <v>1030</v>
      </c>
      <c r="H356" s="50" t="str">
        <f aca="false">IF('Project Plan'!AB411="Done","Completed",IF('Project Plan'!AB411="Not started","Not started","In progress"))</f>
        <v>Not started</v>
      </c>
      <c r="I356" s="50" t="str">
        <f aca="false">"Task: Module 8: Payroll &amp; HR Management. Deliverable: "&amp;'Project Plan'!AA411</f>
        <v>Task: Module 8: Payroll &amp; HR Management. Deliverable: Field app plug-in</v>
      </c>
    </row>
    <row r="357" customFormat="false" ht="15" hidden="false" customHeight="false" outlineLevel="0" collapsed="false">
      <c r="A357" s="50" t="str">
        <f aca="false">'Project Plan'!B412&amp;" "&amp;'Project Plan'!E412</f>
        <v>7.2.8 Module interfaces (4 I-xx links): events and APIs</v>
      </c>
      <c r="B357" s="6" t="s">
        <v>1061</v>
      </c>
      <c r="C357" s="52" t="n">
        <f aca="false">'Project Plan'!K412</f>
        <v>46771</v>
      </c>
      <c r="D357" s="52" t="n">
        <f aca="false">'Project Plan'!L412</f>
        <v>46821</v>
      </c>
      <c r="E357" s="50" t="str">
        <f aca="false">'Project Plan'!H412</f>
        <v>BE</v>
      </c>
      <c r="F357" s="53" t="n">
        <f aca="false">'Project Plan'!Z412</f>
        <v>6.9</v>
      </c>
      <c r="G357" s="6" t="s">
        <v>1030</v>
      </c>
      <c r="H357" s="50" t="str">
        <f aca="false">IF('Project Plan'!AB412="Done","Completed",IF('Project Plan'!AB412="Not started","Not started","In progress"))</f>
        <v>Not started</v>
      </c>
      <c r="I357" s="50" t="str">
        <f aca="false">"Task: Module 8: Payroll &amp; HR Management. Deliverable: "&amp;'Project Plan'!AA412</f>
        <v>Task: Module 8: Payroll &amp; HR Management. Deliverable: Contract-tested interfaces</v>
      </c>
    </row>
    <row r="358" customFormat="false" ht="15" hidden="false" customHeight="false" outlineLevel="0" collapsed="false">
      <c r="A358" s="50" t="str">
        <f aca="false">'Project Plan'!B413&amp;" "&amp;'Project Plan'!E413</f>
        <v>7.2.9 External system adapters (2)</v>
      </c>
      <c r="B358" s="6" t="s">
        <v>1061</v>
      </c>
      <c r="C358" s="52" t="n">
        <f aca="false">'Project Plan'!K413</f>
        <v>46762</v>
      </c>
      <c r="D358" s="52" t="n">
        <f aca="false">'Project Plan'!L413</f>
        <v>46821</v>
      </c>
      <c r="E358" s="50" t="str">
        <f aca="false">'Project Plan'!H413</f>
        <v>BE</v>
      </c>
      <c r="F358" s="53" t="n">
        <f aca="false">'Project Plan'!Z413</f>
        <v>13.8</v>
      </c>
      <c r="G358" s="6" t="s">
        <v>1030</v>
      </c>
      <c r="H358" s="50" t="str">
        <f aca="false">IF('Project Plan'!AB413="Done","Completed",IF('Project Plan'!AB413="Not started","Not started","In progress"))</f>
        <v>Not started</v>
      </c>
      <c r="I358" s="50" t="str">
        <f aca="false">"Task: Module 8: Payroll &amp; HR Management. Deliverable: "&amp;'Project Plan'!AA413</f>
        <v>Task: Module 8: Payroll &amp; HR Management. Deliverable: Adapters tested with provider sandboxes</v>
      </c>
    </row>
    <row r="359" customFormat="false" ht="15" hidden="false" customHeight="false" outlineLevel="0" collapsed="false">
      <c r="A359" s="50" t="str">
        <f aca="false">'Project Plan'!B414&amp;" "&amp;'Project Plan'!E414</f>
        <v>7.2.10 Reports, dashboards, notices and templates (all active languages)</v>
      </c>
      <c r="B359" s="6" t="s">
        <v>1061</v>
      </c>
      <c r="C359" s="52" t="n">
        <f aca="false">'Project Plan'!K414</f>
        <v>46790</v>
      </c>
      <c r="D359" s="52" t="n">
        <f aca="false">'Project Plan'!L414</f>
        <v>46825</v>
      </c>
      <c r="E359" s="50" t="str">
        <f aca="false">'Project Plan'!H414</f>
        <v>BE</v>
      </c>
      <c r="F359" s="53" t="n">
        <f aca="false">'Project Plan'!Z414</f>
        <v>11.5</v>
      </c>
      <c r="G359" s="6" t="s">
        <v>1030</v>
      </c>
      <c r="H359" s="50" t="str">
        <f aca="false">IF('Project Plan'!AB414="Done","Completed",IF('Project Plan'!AB414="Not started","Not started","In progress"))</f>
        <v>Not started</v>
      </c>
      <c r="I359" s="50" t="str">
        <f aca="false">"Task: Module 8: Payroll &amp; HR Management. Deliverable: "&amp;'Project Plan'!AA414</f>
        <v>Task: Module 8: Payroll &amp; HR Management. Deliverable: Reports and templates</v>
      </c>
    </row>
    <row r="360" customFormat="false" ht="15" hidden="false" customHeight="false" outlineLevel="0" collapsed="false">
      <c r="A360" s="50" t="str">
        <f aca="false">'Project Plan'!B415&amp;" "&amp;'Project Plan'!E415</f>
        <v>7.2.11 Data migration: employee master and service books</v>
      </c>
      <c r="B360" s="6" t="s">
        <v>1061</v>
      </c>
      <c r="C360" s="52" t="n">
        <f aca="false">'Project Plan'!K415</f>
        <v>46752</v>
      </c>
      <c r="D360" s="52" t="n">
        <f aca="false">'Project Plan'!L415</f>
        <v>46834</v>
      </c>
      <c r="E360" s="50" t="str">
        <f aca="false">'Project Plan'!H415</f>
        <v>DATA</v>
      </c>
      <c r="F360" s="53" t="n">
        <f aca="false">'Project Plan'!Z415</f>
        <v>14.95</v>
      </c>
      <c r="G360" s="6" t="s">
        <v>1030</v>
      </c>
      <c r="H360" s="50" t="str">
        <f aca="false">IF('Project Plan'!AB415="Done","Completed",IF('Project Plan'!AB415="Not started","Not started","In progress"))</f>
        <v>Not started</v>
      </c>
      <c r="I360" s="50" t="str">
        <f aca="false">"Task: Module 8: Payroll &amp; HR Management. Deliverable: "&amp;'Project Plan'!AA415</f>
        <v>Task: Module 8: Payroll &amp; HR Management. Deliverable: Migration scripts and reconciliation report</v>
      </c>
    </row>
    <row r="361" customFormat="false" ht="15" hidden="false" customHeight="false" outlineLevel="0" collapsed="false">
      <c r="A361" s="50" t="str">
        <f aca="false">'Project Plan'!B416&amp;" "&amp;'Project Plan'!E416</f>
        <v>7.2.12 System integration testing</v>
      </c>
      <c r="B361" s="6" t="s">
        <v>1061</v>
      </c>
      <c r="C361" s="52" t="n">
        <f aca="false">'Project Plan'!K416</f>
        <v>46812</v>
      </c>
      <c r="D361" s="52" t="n">
        <f aca="false">'Project Plan'!L416</f>
        <v>46840</v>
      </c>
      <c r="E361" s="50" t="str">
        <f aca="false">'Project Plan'!H416</f>
        <v>QA</v>
      </c>
      <c r="F361" s="53" t="n">
        <f aca="false">'Project Plan'!Z416</f>
        <v>21.85</v>
      </c>
      <c r="G361" s="6" t="s">
        <v>1030</v>
      </c>
      <c r="H361" s="50" t="str">
        <f aca="false">IF('Project Plan'!AB416="Done","Completed",IF('Project Plan'!AB416="Not started","Not started","In progress"))</f>
        <v>Not started</v>
      </c>
      <c r="I361" s="50" t="str">
        <f aca="false">"Task: Module 8: Payroll &amp; HR Management. Deliverable: "&amp;'Project Plan'!AA416</f>
        <v>Task: Module 8: Payroll &amp; HR Management. Deliverable: SIT report</v>
      </c>
    </row>
    <row r="362" customFormat="false" ht="15" hidden="false" customHeight="false" outlineLevel="0" collapsed="false">
      <c r="A362" s="50" t="str">
        <f aca="false">'Project Plan'!B417&amp;" "&amp;'Project Plan'!E417</f>
        <v>7.2.13 Defect fixing and regression</v>
      </c>
      <c r="B362" s="6" t="s">
        <v>1061</v>
      </c>
      <c r="C362" s="52" t="n">
        <f aca="false">'Project Plan'!K417</f>
        <v>46818</v>
      </c>
      <c r="D362" s="52" t="n">
        <f aca="false">'Project Plan'!L417</f>
        <v>46853</v>
      </c>
      <c r="E362" s="50" t="str">
        <f aca="false">'Project Plan'!H417</f>
        <v>BE</v>
      </c>
      <c r="F362" s="53" t="n">
        <f aca="false">'Project Plan'!Z417</f>
        <v>19.55</v>
      </c>
      <c r="G362" s="6" t="s">
        <v>1030</v>
      </c>
      <c r="H362" s="50" t="str">
        <f aca="false">IF('Project Plan'!AB417="Done","Completed",IF('Project Plan'!AB417="Not started","Not started","In progress"))</f>
        <v>Not started</v>
      </c>
      <c r="I362" s="50" t="str">
        <f aca="false">"Task: Module 8: Payroll &amp; HR Management. Deliverable: "&amp;'Project Plan'!AA417</f>
        <v>Task: Module 8: Payroll &amp; HR Management. Deliverable: Closed defects</v>
      </c>
    </row>
    <row r="363" customFormat="false" ht="15" hidden="false" customHeight="false" outlineLevel="0" collapsed="false">
      <c r="A363" s="50" t="str">
        <f aca="false">'Project Plan'!B418&amp;" "&amp;'Project Plan'!E418</f>
        <v>7.2.14 UAT support with GWMC department</v>
      </c>
      <c r="B363" s="6" t="s">
        <v>1061</v>
      </c>
      <c r="C363" s="52" t="n">
        <f aca="false">'Project Plan'!K418</f>
        <v>46841</v>
      </c>
      <c r="D363" s="52" t="n">
        <f aca="false">'Project Plan'!L418</f>
        <v>46857</v>
      </c>
      <c r="E363" s="50" t="str">
        <f aca="false">'Project Plan'!H418</f>
        <v>BA</v>
      </c>
      <c r="F363" s="53" t="n">
        <f aca="false">'Project Plan'!Z418</f>
        <v>11.5</v>
      </c>
      <c r="G363" s="6" t="s">
        <v>1030</v>
      </c>
      <c r="H363" s="50" t="str">
        <f aca="false">IF('Project Plan'!AB418="Done","Completed",IF('Project Plan'!AB418="Not started","Not started","In progress"))</f>
        <v>Not started</v>
      </c>
      <c r="I363" s="50" t="str">
        <f aca="false">"Task: Module 8: Payroll &amp; HR Management. Deliverable: "&amp;'Project Plan'!AA418</f>
        <v>Task: Module 8: Payroll &amp; HR Management. Deliverable: UAT sign-off</v>
      </c>
    </row>
    <row r="364" customFormat="false" ht="15" hidden="false" customHeight="false" outlineLevel="0" collapsed="false">
      <c r="A364" s="50" t="str">
        <f aca="false">'Project Plan'!B419&amp;" "&amp;'Project Plan'!E419</f>
        <v>7.2.15 Training material and department training</v>
      </c>
      <c r="B364" s="6" t="s">
        <v>1061</v>
      </c>
      <c r="C364" s="52" t="n">
        <f aca="false">'Project Plan'!K419</f>
        <v>46846</v>
      </c>
      <c r="D364" s="52" t="n">
        <f aca="false">'Project Plan'!L419</f>
        <v>46862</v>
      </c>
      <c r="E364" s="50" t="str">
        <f aca="false">'Project Plan'!H419</f>
        <v>TRN</v>
      </c>
      <c r="F364" s="53" t="n">
        <f aca="false">'Project Plan'!Z419</f>
        <v>9.2</v>
      </c>
      <c r="G364" s="6" t="s">
        <v>1030</v>
      </c>
      <c r="H364" s="50" t="str">
        <f aca="false">IF('Project Plan'!AB419="Done","Completed",IF('Project Plan'!AB419="Not started","Not started","In progress"))</f>
        <v>Not started</v>
      </c>
      <c r="I364" s="50" t="str">
        <f aca="false">"Task: Module 8: Payroll &amp; HR Management. Deliverable: "&amp;'Project Plan'!AA419</f>
        <v>Task: Module 8: Payroll &amp; HR Management. Deliverable: Trained users, manuals in Telugu and English</v>
      </c>
    </row>
    <row r="365" customFormat="false" ht="15" hidden="false" customHeight="false" outlineLevel="0" collapsed="false">
      <c r="A365" s="50" t="str">
        <f aca="false">'Project Plan'!B421&amp;" "&amp;'Project Plan'!E421</f>
        <v>7.3.1 Process validation workshops and to-be sign-off</v>
      </c>
      <c r="B365" s="6" t="s">
        <v>1062</v>
      </c>
      <c r="C365" s="52" t="n">
        <f aca="false">'Project Plan'!K421</f>
        <v>46696</v>
      </c>
      <c r="D365" s="52" t="n">
        <f aca="false">'Project Plan'!L421</f>
        <v>46717</v>
      </c>
      <c r="E365" s="50" t="str">
        <f aca="false">'Project Plan'!H421</f>
        <v>BA</v>
      </c>
      <c r="F365" s="53" t="n">
        <f aca="false">'Project Plan'!Z421</f>
        <v>10.35</v>
      </c>
      <c r="G365" s="6" t="s">
        <v>1030</v>
      </c>
      <c r="H365" s="50" t="str">
        <f aca="false">IF('Project Plan'!AB421="Done","Completed",IF('Project Plan'!AB421="Not started","Not started","In progress"))</f>
        <v>Not started</v>
      </c>
      <c r="I365" s="50" t="str">
        <f aca="false">"Task: Module 15: Municipal Property Management. Deliverable: "&amp;'Project Plan'!AA421</f>
        <v>Task: Module 15: Municipal Property Management. Deliverable: Signed process maps</v>
      </c>
    </row>
    <row r="366" customFormat="false" ht="15" hidden="false" customHeight="false" outlineLevel="0" collapsed="false">
      <c r="A366" s="50" t="str">
        <f aca="false">'Project Plan'!B422&amp;" "&amp;'Project Plan'!E422</f>
        <v>7.3.2 LLD, data model and API/event contracts</v>
      </c>
      <c r="B366" s="6" t="s">
        <v>1062</v>
      </c>
      <c r="C366" s="52" t="n">
        <f aca="false">'Project Plan'!K422</f>
        <v>46713</v>
      </c>
      <c r="D366" s="52" t="n">
        <f aca="false">'Project Plan'!L422</f>
        <v>46734</v>
      </c>
      <c r="E366" s="50" t="str">
        <f aca="false">'Project Plan'!H422</f>
        <v>ARC</v>
      </c>
      <c r="F366" s="53" t="n">
        <f aca="false">'Project Plan'!Z422</f>
        <v>9.2</v>
      </c>
      <c r="G366" s="6" t="s">
        <v>1030</v>
      </c>
      <c r="H366" s="50" t="str">
        <f aca="false">IF('Project Plan'!AB422="Done","Completed",IF('Project Plan'!AB422="Not started","Not started","In progress"))</f>
        <v>Not started</v>
      </c>
      <c r="I366" s="50" t="str">
        <f aca="false">"Task: Module 15: Municipal Property Management. Deliverable: "&amp;'Project Plan'!AA422</f>
        <v>Task: Module 15: Municipal Property Management. Deliverable: LLD, OpenAPI, schemas</v>
      </c>
    </row>
    <row r="367" customFormat="false" ht="15" hidden="false" customHeight="false" outlineLevel="0" collapsed="false">
      <c r="A367" s="50" t="str">
        <f aca="false">'Project Plan'!B423&amp;" "&amp;'Project Plan'!E423</f>
        <v>7.3.3 UX wireframes and UI design</v>
      </c>
      <c r="B367" s="6" t="s">
        <v>1062</v>
      </c>
      <c r="C367" s="52" t="n">
        <f aca="false">'Project Plan'!K423</f>
        <v>46713</v>
      </c>
      <c r="D367" s="52" t="n">
        <f aca="false">'Project Plan'!L423</f>
        <v>46734</v>
      </c>
      <c r="E367" s="50" t="str">
        <f aca="false">'Project Plan'!H423</f>
        <v>FE</v>
      </c>
      <c r="F367" s="53" t="n">
        <f aca="false">'Project Plan'!Z423</f>
        <v>6.9</v>
      </c>
      <c r="G367" s="6" t="s">
        <v>1030</v>
      </c>
      <c r="H367" s="50" t="str">
        <f aca="false">IF('Project Plan'!AB423="Done","Completed",IF('Project Plan'!AB423="Not started","Not started","In progress"))</f>
        <v>Not started</v>
      </c>
      <c r="I367" s="50" t="str">
        <f aca="false">"Task: Module 15: Municipal Property Management. Deliverable: "&amp;'Project Plan'!AA423</f>
        <v>Task: Module 15: Municipal Property Management. Deliverable: Approved wireframes</v>
      </c>
    </row>
    <row r="368" customFormat="false" ht="15" hidden="false" customHeight="false" outlineLevel="0" collapsed="false">
      <c r="A368" s="50" t="str">
        <f aca="false">'Project Plan'!B424&amp;" "&amp;'Project Plan'!E424</f>
        <v>7.3.4 Database schema, domain logic and APIs</v>
      </c>
      <c r="B368" s="6" t="s">
        <v>1062</v>
      </c>
      <c r="C368" s="52" t="n">
        <f aca="false">'Project Plan'!K424</f>
        <v>46730</v>
      </c>
      <c r="D368" s="52" t="n">
        <f aca="false">'Project Plan'!L424</f>
        <v>46806</v>
      </c>
      <c r="E368" s="50" t="str">
        <f aca="false">'Project Plan'!H424</f>
        <v>BE</v>
      </c>
      <c r="F368" s="53" t="n">
        <f aca="false">'Project Plan'!Z424</f>
        <v>25.3</v>
      </c>
      <c r="G368" s="6" t="s">
        <v>1030</v>
      </c>
      <c r="H368" s="50" t="str">
        <f aca="false">IF('Project Plan'!AB424="Done","Completed",IF('Project Plan'!AB424="Not started","Not started","In progress"))</f>
        <v>Not started</v>
      </c>
      <c r="I368" s="50" t="str">
        <f aca="false">"Task: Module 15: Municipal Property Management. Deliverable: "&amp;'Project Plan'!AA424</f>
        <v>Task: Module 15: Municipal Property Management. Deliverable: Service build</v>
      </c>
    </row>
    <row r="369" customFormat="false" ht="15" hidden="false" customHeight="false" outlineLevel="0" collapsed="false">
      <c r="A369" s="50" t="str">
        <f aca="false">'Project Plan'!B425&amp;" "&amp;'Project Plan'!E425</f>
        <v>7.3.5 Workflows (BPMN) and rules (DMN) configuration</v>
      </c>
      <c r="B369" s="6" t="s">
        <v>1062</v>
      </c>
      <c r="C369" s="52" t="n">
        <f aca="false">'Project Plan'!K425</f>
        <v>46752</v>
      </c>
      <c r="D369" s="52" t="n">
        <f aca="false">'Project Plan'!L425</f>
        <v>46807</v>
      </c>
      <c r="E369" s="50" t="str">
        <f aca="false">'Project Plan'!H425</f>
        <v>BE</v>
      </c>
      <c r="F369" s="53" t="n">
        <f aca="false">'Project Plan'!Z425</f>
        <v>12.65</v>
      </c>
      <c r="G369" s="6" t="s">
        <v>1030</v>
      </c>
      <c r="H369" s="50" t="str">
        <f aca="false">IF('Project Plan'!AB425="Done","Completed",IF('Project Plan'!AB425="Not started","Not started","In progress"))</f>
        <v>Not started</v>
      </c>
      <c r="I369" s="50" t="str">
        <f aca="false">"Task: Module 15: Municipal Property Management. Deliverable: "&amp;'Project Plan'!AA425</f>
        <v>Task: Module 15: Municipal Property Management. Deliverable: Deployed workflows and decision tables</v>
      </c>
    </row>
    <row r="370" customFormat="false" ht="15" hidden="false" customHeight="false" outlineLevel="0" collapsed="false">
      <c r="A370" s="50" t="str">
        <f aca="false">'Project Plan'!B426&amp;" "&amp;'Project Plan'!E426</f>
        <v>7.3.6 Staff console screens</v>
      </c>
      <c r="B370" s="6" t="s">
        <v>1062</v>
      </c>
      <c r="C370" s="52" t="n">
        <f aca="false">'Project Plan'!K426</f>
        <v>46743</v>
      </c>
      <c r="D370" s="52" t="n">
        <f aca="false">'Project Plan'!L426</f>
        <v>46815</v>
      </c>
      <c r="E370" s="50" t="str">
        <f aca="false">'Project Plan'!H426</f>
        <v>FE</v>
      </c>
      <c r="F370" s="53" t="n">
        <f aca="false">'Project Plan'!Z426</f>
        <v>21.85</v>
      </c>
      <c r="G370" s="6" t="s">
        <v>1030</v>
      </c>
      <c r="H370" s="50" t="str">
        <f aca="false">IF('Project Plan'!AB426="Done","Completed",IF('Project Plan'!AB426="Not started","Not started","In progress"))</f>
        <v>Not started</v>
      </c>
      <c r="I370" s="50" t="str">
        <f aca="false">"Task: Module 15: Municipal Property Management. Deliverable: "&amp;'Project Plan'!AA426</f>
        <v>Task: Module 15: Municipal Property Management. Deliverable: Staff screens</v>
      </c>
    </row>
    <row r="371" customFormat="false" ht="15" hidden="false" customHeight="false" outlineLevel="0" collapsed="false">
      <c r="A371" s="50" t="str">
        <f aca="false">'Project Plan'!B427&amp;" "&amp;'Project Plan'!E427</f>
        <v>7.3.7 Field app tasks (offline)</v>
      </c>
      <c r="B371" s="6" t="s">
        <v>1062</v>
      </c>
      <c r="C371" s="52" t="n">
        <f aca="false">'Project Plan'!K427</f>
        <v>46762</v>
      </c>
      <c r="D371" s="52" t="n">
        <f aca="false">'Project Plan'!L427</f>
        <v>46815</v>
      </c>
      <c r="E371" s="50" t="str">
        <f aca="false">'Project Plan'!H427</f>
        <v>MOB</v>
      </c>
      <c r="F371" s="53" t="n">
        <f aca="false">'Project Plan'!Z427</f>
        <v>10.35</v>
      </c>
      <c r="G371" s="6" t="s">
        <v>1030</v>
      </c>
      <c r="H371" s="50" t="str">
        <f aca="false">IF('Project Plan'!AB427="Done","Completed",IF('Project Plan'!AB427="Not started","Not started","In progress"))</f>
        <v>Not started</v>
      </c>
      <c r="I371" s="50" t="str">
        <f aca="false">"Task: Module 15: Municipal Property Management. Deliverable: "&amp;'Project Plan'!AA427</f>
        <v>Task: Module 15: Municipal Property Management. Deliverable: Field app plug-in</v>
      </c>
    </row>
    <row r="372" customFormat="false" ht="15" hidden="false" customHeight="false" outlineLevel="0" collapsed="false">
      <c r="A372" s="50" t="str">
        <f aca="false">'Project Plan'!B428&amp;" "&amp;'Project Plan'!E428</f>
        <v>7.3.8 GIS layers, map views and spatial checks</v>
      </c>
      <c r="B372" s="6" t="s">
        <v>1062</v>
      </c>
      <c r="C372" s="52" t="n">
        <f aca="false">'Project Plan'!K428</f>
        <v>46743</v>
      </c>
      <c r="D372" s="52" t="n">
        <f aca="false">'Project Plan'!L428</f>
        <v>46806</v>
      </c>
      <c r="E372" s="50" t="str">
        <f aca="false">'Project Plan'!H428</f>
        <v>GIS</v>
      </c>
      <c r="F372" s="53" t="n">
        <f aca="false">'Project Plan'!Z428</f>
        <v>9.2</v>
      </c>
      <c r="G372" s="6" t="s">
        <v>1030</v>
      </c>
      <c r="H372" s="50" t="str">
        <f aca="false">IF('Project Plan'!AB428="Done","Completed",IF('Project Plan'!AB428="Not started","Not started","In progress"))</f>
        <v>Not started</v>
      </c>
      <c r="I372" s="50" t="str">
        <f aca="false">"Task: Module 15: Municipal Property Management. Deliverable: "&amp;'Project Plan'!AA428</f>
        <v>Task: Module 15: Municipal Property Management. Deliverable: Layers and map features</v>
      </c>
    </row>
    <row r="373" customFormat="false" ht="15" hidden="false" customHeight="false" outlineLevel="0" collapsed="false">
      <c r="A373" s="50" t="str">
        <f aca="false">'Project Plan'!B429&amp;" "&amp;'Project Plan'!E429</f>
        <v>7.3.9 Module interfaces (12 I-xx links): events and APIs</v>
      </c>
      <c r="B373" s="6" t="s">
        <v>1062</v>
      </c>
      <c r="C373" s="52" t="n">
        <f aca="false">'Project Plan'!K429</f>
        <v>46771</v>
      </c>
      <c r="D373" s="52" t="n">
        <f aca="false">'Project Plan'!L429</f>
        <v>46821</v>
      </c>
      <c r="E373" s="50" t="str">
        <f aca="false">'Project Plan'!H429</f>
        <v>BE</v>
      </c>
      <c r="F373" s="53" t="n">
        <f aca="false">'Project Plan'!Z429</f>
        <v>20.7</v>
      </c>
      <c r="G373" s="6" t="s">
        <v>1030</v>
      </c>
      <c r="H373" s="50" t="str">
        <f aca="false">IF('Project Plan'!AB429="Done","Completed",IF('Project Plan'!AB429="Not started","Not started","In progress"))</f>
        <v>Not started</v>
      </c>
      <c r="I373" s="50" t="str">
        <f aca="false">"Task: Module 15: Municipal Property Management. Deliverable: "&amp;'Project Plan'!AA429</f>
        <v>Task: Module 15: Municipal Property Management. Deliverable: Contract-tested interfaces</v>
      </c>
    </row>
    <row r="374" customFormat="false" ht="15" hidden="false" customHeight="false" outlineLevel="0" collapsed="false">
      <c r="A374" s="50" t="str">
        <f aca="false">'Project Plan'!B430&amp;" "&amp;'Project Plan'!E430</f>
        <v>7.3.10 Reports, dashboards, notices and templates (all active languages)</v>
      </c>
      <c r="B374" s="6" t="s">
        <v>1062</v>
      </c>
      <c r="C374" s="52" t="n">
        <f aca="false">'Project Plan'!K430</f>
        <v>46790</v>
      </c>
      <c r="D374" s="52" t="n">
        <f aca="false">'Project Plan'!L430</f>
        <v>46825</v>
      </c>
      <c r="E374" s="50" t="str">
        <f aca="false">'Project Plan'!H430</f>
        <v>BE</v>
      </c>
      <c r="F374" s="53" t="n">
        <f aca="false">'Project Plan'!Z430</f>
        <v>9.2</v>
      </c>
      <c r="G374" s="6" t="s">
        <v>1030</v>
      </c>
      <c r="H374" s="50" t="str">
        <f aca="false">IF('Project Plan'!AB430="Done","Completed",IF('Project Plan'!AB430="Not started","Not started","In progress"))</f>
        <v>Not started</v>
      </c>
      <c r="I374" s="50" t="str">
        <f aca="false">"Task: Module 15: Municipal Property Management. Deliverable: "&amp;'Project Plan'!AA430</f>
        <v>Task: Module 15: Municipal Property Management. Deliverable: Reports and templates</v>
      </c>
    </row>
    <row r="375" customFormat="false" ht="15" hidden="false" customHeight="false" outlineLevel="0" collapsed="false">
      <c r="A375" s="50" t="str">
        <f aca="false">'Project Plan'!B431&amp;" "&amp;'Project Plan'!E431</f>
        <v>7.3.11 Data migration: asset and lease registers</v>
      </c>
      <c r="B375" s="6" t="s">
        <v>1062</v>
      </c>
      <c r="C375" s="52" t="n">
        <f aca="false">'Project Plan'!K431</f>
        <v>46752</v>
      </c>
      <c r="D375" s="52" t="n">
        <f aca="false">'Project Plan'!L431</f>
        <v>46834</v>
      </c>
      <c r="E375" s="50" t="str">
        <f aca="false">'Project Plan'!H431</f>
        <v>DATA</v>
      </c>
      <c r="F375" s="53" t="n">
        <f aca="false">'Project Plan'!Z431</f>
        <v>12.65</v>
      </c>
      <c r="G375" s="6" t="s">
        <v>1030</v>
      </c>
      <c r="H375" s="50" t="str">
        <f aca="false">IF('Project Plan'!AB431="Done","Completed",IF('Project Plan'!AB431="Not started","Not started","In progress"))</f>
        <v>Not started</v>
      </c>
      <c r="I375" s="50" t="str">
        <f aca="false">"Task: Module 15: Municipal Property Management. Deliverable: "&amp;'Project Plan'!AA431</f>
        <v>Task: Module 15: Municipal Property Management. Deliverable: Migration scripts and reconciliation report</v>
      </c>
    </row>
    <row r="376" customFormat="false" ht="15" hidden="false" customHeight="false" outlineLevel="0" collapsed="false">
      <c r="A376" s="50" t="str">
        <f aca="false">'Project Plan'!B432&amp;" "&amp;'Project Plan'!E432</f>
        <v>7.3.12 System integration testing</v>
      </c>
      <c r="B376" s="6" t="s">
        <v>1062</v>
      </c>
      <c r="C376" s="52" t="n">
        <f aca="false">'Project Plan'!K432</f>
        <v>46812</v>
      </c>
      <c r="D376" s="52" t="n">
        <f aca="false">'Project Plan'!L432</f>
        <v>46840</v>
      </c>
      <c r="E376" s="50" t="str">
        <f aca="false">'Project Plan'!H432</f>
        <v>QA</v>
      </c>
      <c r="F376" s="53" t="n">
        <f aca="false">'Project Plan'!Z432</f>
        <v>17.25</v>
      </c>
      <c r="G376" s="6" t="s">
        <v>1030</v>
      </c>
      <c r="H376" s="50" t="str">
        <f aca="false">IF('Project Plan'!AB432="Done","Completed",IF('Project Plan'!AB432="Not started","Not started","In progress"))</f>
        <v>Not started</v>
      </c>
      <c r="I376" s="50" t="str">
        <f aca="false">"Task: Module 15: Municipal Property Management. Deliverable: "&amp;'Project Plan'!AA432</f>
        <v>Task: Module 15: Municipal Property Management. Deliverable: SIT report</v>
      </c>
    </row>
    <row r="377" customFormat="false" ht="15" hidden="false" customHeight="false" outlineLevel="0" collapsed="false">
      <c r="A377" s="50" t="str">
        <f aca="false">'Project Plan'!B433&amp;" "&amp;'Project Plan'!E433</f>
        <v>7.3.13 Defect fixing and regression</v>
      </c>
      <c r="B377" s="6" t="s">
        <v>1062</v>
      </c>
      <c r="C377" s="52" t="n">
        <f aca="false">'Project Plan'!K433</f>
        <v>46818</v>
      </c>
      <c r="D377" s="52" t="n">
        <f aca="false">'Project Plan'!L433</f>
        <v>46853</v>
      </c>
      <c r="E377" s="50" t="str">
        <f aca="false">'Project Plan'!H433</f>
        <v>BE</v>
      </c>
      <c r="F377" s="53" t="n">
        <f aca="false">'Project Plan'!Z433</f>
        <v>14.95</v>
      </c>
      <c r="G377" s="6" t="s">
        <v>1030</v>
      </c>
      <c r="H377" s="50" t="str">
        <f aca="false">IF('Project Plan'!AB433="Done","Completed",IF('Project Plan'!AB433="Not started","Not started","In progress"))</f>
        <v>Not started</v>
      </c>
      <c r="I377" s="50" t="str">
        <f aca="false">"Task: Module 15: Municipal Property Management. Deliverable: "&amp;'Project Plan'!AA433</f>
        <v>Task: Module 15: Municipal Property Management. Deliverable: Closed defects</v>
      </c>
    </row>
    <row r="378" customFormat="false" ht="15" hidden="false" customHeight="false" outlineLevel="0" collapsed="false">
      <c r="A378" s="50" t="str">
        <f aca="false">'Project Plan'!B434&amp;" "&amp;'Project Plan'!E434</f>
        <v>7.3.14 UAT support with GWMC department</v>
      </c>
      <c r="B378" s="6" t="s">
        <v>1062</v>
      </c>
      <c r="C378" s="52" t="n">
        <f aca="false">'Project Plan'!K434</f>
        <v>46841</v>
      </c>
      <c r="D378" s="52" t="n">
        <f aca="false">'Project Plan'!L434</f>
        <v>46857</v>
      </c>
      <c r="E378" s="50" t="str">
        <f aca="false">'Project Plan'!H434</f>
        <v>BA</v>
      </c>
      <c r="F378" s="53" t="n">
        <f aca="false">'Project Plan'!Z434</f>
        <v>9.2</v>
      </c>
      <c r="G378" s="6" t="s">
        <v>1030</v>
      </c>
      <c r="H378" s="50" t="str">
        <f aca="false">IF('Project Plan'!AB434="Done","Completed",IF('Project Plan'!AB434="Not started","Not started","In progress"))</f>
        <v>Not started</v>
      </c>
      <c r="I378" s="50" t="str">
        <f aca="false">"Task: Module 15: Municipal Property Management. Deliverable: "&amp;'Project Plan'!AA434</f>
        <v>Task: Module 15: Municipal Property Management. Deliverable: UAT sign-off</v>
      </c>
    </row>
    <row r="379" customFormat="false" ht="15" hidden="false" customHeight="false" outlineLevel="0" collapsed="false">
      <c r="A379" s="50" t="str">
        <f aca="false">'Project Plan'!B435&amp;" "&amp;'Project Plan'!E435</f>
        <v>7.3.15 Training material and department training</v>
      </c>
      <c r="B379" s="6" t="s">
        <v>1062</v>
      </c>
      <c r="C379" s="52" t="n">
        <f aca="false">'Project Plan'!K435</f>
        <v>46846</v>
      </c>
      <c r="D379" s="52" t="n">
        <f aca="false">'Project Plan'!L435</f>
        <v>46862</v>
      </c>
      <c r="E379" s="50" t="str">
        <f aca="false">'Project Plan'!H435</f>
        <v>TRN</v>
      </c>
      <c r="F379" s="53" t="n">
        <f aca="false">'Project Plan'!Z435</f>
        <v>6.9</v>
      </c>
      <c r="G379" s="6" t="s">
        <v>1030</v>
      </c>
      <c r="H379" s="50" t="str">
        <f aca="false">IF('Project Plan'!AB435="Done","Completed",IF('Project Plan'!AB435="Not started","Not started","In progress"))</f>
        <v>Not started</v>
      </c>
      <c r="I379" s="50" t="str">
        <f aca="false">"Task: Module 15: Municipal Property Management. Deliverable: "&amp;'Project Plan'!AA435</f>
        <v>Task: Module 15: Municipal Property Management. Deliverable: Trained users, manuals in Telugu and English</v>
      </c>
    </row>
    <row r="380" customFormat="false" ht="15" hidden="false" customHeight="false" outlineLevel="0" collapsed="false">
      <c r="A380" s="50" t="str">
        <f aca="false">'Project Plan'!B437&amp;" "&amp;'Project Plan'!E437</f>
        <v>7.4.1 Process validation workshops and to-be sign-off</v>
      </c>
      <c r="B380" s="6" t="s">
        <v>1063</v>
      </c>
      <c r="C380" s="52" t="n">
        <f aca="false">'Project Plan'!K437</f>
        <v>46696</v>
      </c>
      <c r="D380" s="52" t="n">
        <f aca="false">'Project Plan'!L437</f>
        <v>46717</v>
      </c>
      <c r="E380" s="50" t="str">
        <f aca="false">'Project Plan'!H437</f>
        <v>BA</v>
      </c>
      <c r="F380" s="53" t="n">
        <f aca="false">'Project Plan'!Z437</f>
        <v>11.5</v>
      </c>
      <c r="G380" s="6" t="s">
        <v>1030</v>
      </c>
      <c r="H380" s="50" t="str">
        <f aca="false">IF('Project Plan'!AB437="Done","Completed",IF('Project Plan'!AB437="Not started","Not started","In progress"))</f>
        <v>Not started</v>
      </c>
      <c r="I380" s="50" t="str">
        <f aca="false">"Task: Module 16: Legal Case Management. Deliverable: "&amp;'Project Plan'!AA437</f>
        <v>Task: Module 16: Legal Case Management. Deliverable: Signed process maps</v>
      </c>
    </row>
    <row r="381" customFormat="false" ht="15" hidden="false" customHeight="false" outlineLevel="0" collapsed="false">
      <c r="A381" s="50" t="str">
        <f aca="false">'Project Plan'!B438&amp;" "&amp;'Project Plan'!E438</f>
        <v>7.4.2 LLD, data model and API/event contracts</v>
      </c>
      <c r="B381" s="6" t="s">
        <v>1063</v>
      </c>
      <c r="C381" s="52" t="n">
        <f aca="false">'Project Plan'!K438</f>
        <v>46713</v>
      </c>
      <c r="D381" s="52" t="n">
        <f aca="false">'Project Plan'!L438</f>
        <v>46734</v>
      </c>
      <c r="E381" s="50" t="str">
        <f aca="false">'Project Plan'!H438</f>
        <v>ARC</v>
      </c>
      <c r="F381" s="53" t="n">
        <f aca="false">'Project Plan'!Z438</f>
        <v>9.2</v>
      </c>
      <c r="G381" s="6" t="s">
        <v>1030</v>
      </c>
      <c r="H381" s="50" t="str">
        <f aca="false">IF('Project Plan'!AB438="Done","Completed",IF('Project Plan'!AB438="Not started","Not started","In progress"))</f>
        <v>Not started</v>
      </c>
      <c r="I381" s="50" t="str">
        <f aca="false">"Task: Module 16: Legal Case Management. Deliverable: "&amp;'Project Plan'!AA438</f>
        <v>Task: Module 16: Legal Case Management. Deliverable: LLD, OpenAPI, schemas</v>
      </c>
    </row>
    <row r="382" customFormat="false" ht="15" hidden="false" customHeight="false" outlineLevel="0" collapsed="false">
      <c r="A382" s="50" t="str">
        <f aca="false">'Project Plan'!B439&amp;" "&amp;'Project Plan'!E439</f>
        <v>7.4.3 UX wireframes and UI design</v>
      </c>
      <c r="B382" s="6" t="s">
        <v>1063</v>
      </c>
      <c r="C382" s="52" t="n">
        <f aca="false">'Project Plan'!K439</f>
        <v>46713</v>
      </c>
      <c r="D382" s="52" t="n">
        <f aca="false">'Project Plan'!L439</f>
        <v>46734</v>
      </c>
      <c r="E382" s="50" t="str">
        <f aca="false">'Project Plan'!H439</f>
        <v>FE</v>
      </c>
      <c r="F382" s="53" t="n">
        <f aca="false">'Project Plan'!Z439</f>
        <v>8.05</v>
      </c>
      <c r="G382" s="6" t="s">
        <v>1030</v>
      </c>
      <c r="H382" s="50" t="str">
        <f aca="false">IF('Project Plan'!AB439="Done","Completed",IF('Project Plan'!AB439="Not started","Not started","In progress"))</f>
        <v>Not started</v>
      </c>
      <c r="I382" s="50" t="str">
        <f aca="false">"Task: Module 16: Legal Case Management. Deliverable: "&amp;'Project Plan'!AA439</f>
        <v>Task: Module 16: Legal Case Management. Deliverable: Approved wireframes</v>
      </c>
    </row>
    <row r="383" customFormat="false" ht="15" hidden="false" customHeight="false" outlineLevel="0" collapsed="false">
      <c r="A383" s="50" t="str">
        <f aca="false">'Project Plan'!B440&amp;" "&amp;'Project Plan'!E440</f>
        <v>7.4.4 Database schema, domain logic and APIs</v>
      </c>
      <c r="B383" s="6" t="s">
        <v>1063</v>
      </c>
      <c r="C383" s="52" t="n">
        <f aca="false">'Project Plan'!K440</f>
        <v>46730</v>
      </c>
      <c r="D383" s="52" t="n">
        <f aca="false">'Project Plan'!L440</f>
        <v>46806</v>
      </c>
      <c r="E383" s="50" t="str">
        <f aca="false">'Project Plan'!H440</f>
        <v>BE</v>
      </c>
      <c r="F383" s="53" t="n">
        <f aca="false">'Project Plan'!Z440</f>
        <v>29.9</v>
      </c>
      <c r="G383" s="6" t="s">
        <v>1030</v>
      </c>
      <c r="H383" s="50" t="str">
        <f aca="false">IF('Project Plan'!AB440="Done","Completed",IF('Project Plan'!AB440="Not started","Not started","In progress"))</f>
        <v>Not started</v>
      </c>
      <c r="I383" s="50" t="str">
        <f aca="false">"Task: Module 16: Legal Case Management. Deliverable: "&amp;'Project Plan'!AA440</f>
        <v>Task: Module 16: Legal Case Management. Deliverable: Service build</v>
      </c>
    </row>
    <row r="384" customFormat="false" ht="15" hidden="false" customHeight="false" outlineLevel="0" collapsed="false">
      <c r="A384" s="50" t="str">
        <f aca="false">'Project Plan'!B441&amp;" "&amp;'Project Plan'!E441</f>
        <v>7.4.5 Workflows (BPMN) and rules (DMN) configuration</v>
      </c>
      <c r="B384" s="6" t="s">
        <v>1063</v>
      </c>
      <c r="C384" s="52" t="n">
        <f aca="false">'Project Plan'!K441</f>
        <v>46752</v>
      </c>
      <c r="D384" s="52" t="n">
        <f aca="false">'Project Plan'!L441</f>
        <v>46807</v>
      </c>
      <c r="E384" s="50" t="str">
        <f aca="false">'Project Plan'!H441</f>
        <v>BE</v>
      </c>
      <c r="F384" s="53" t="n">
        <f aca="false">'Project Plan'!Z441</f>
        <v>12.65</v>
      </c>
      <c r="G384" s="6" t="s">
        <v>1030</v>
      </c>
      <c r="H384" s="50" t="str">
        <f aca="false">IF('Project Plan'!AB441="Done","Completed",IF('Project Plan'!AB441="Not started","Not started","In progress"))</f>
        <v>Not started</v>
      </c>
      <c r="I384" s="50" t="str">
        <f aca="false">"Task: Module 16: Legal Case Management. Deliverable: "&amp;'Project Plan'!AA441</f>
        <v>Task: Module 16: Legal Case Management. Deliverable: Deployed workflows and decision tables</v>
      </c>
    </row>
    <row r="385" customFormat="false" ht="15" hidden="false" customHeight="false" outlineLevel="0" collapsed="false">
      <c r="A385" s="50" t="str">
        <f aca="false">'Project Plan'!B442&amp;" "&amp;'Project Plan'!E442</f>
        <v>7.4.6 Staff console screens</v>
      </c>
      <c r="B385" s="6" t="s">
        <v>1063</v>
      </c>
      <c r="C385" s="52" t="n">
        <f aca="false">'Project Plan'!K442</f>
        <v>46743</v>
      </c>
      <c r="D385" s="52" t="n">
        <f aca="false">'Project Plan'!L442</f>
        <v>46815</v>
      </c>
      <c r="E385" s="50" t="str">
        <f aca="false">'Project Plan'!H442</f>
        <v>FE</v>
      </c>
      <c r="F385" s="53" t="n">
        <f aca="false">'Project Plan'!Z442</f>
        <v>24.15</v>
      </c>
      <c r="G385" s="6" t="s">
        <v>1030</v>
      </c>
      <c r="H385" s="50" t="str">
        <f aca="false">IF('Project Plan'!AB442="Done","Completed",IF('Project Plan'!AB442="Not started","Not started","In progress"))</f>
        <v>Not started</v>
      </c>
      <c r="I385" s="50" t="str">
        <f aca="false">"Task: Module 16: Legal Case Management. Deliverable: "&amp;'Project Plan'!AA442</f>
        <v>Task: Module 16: Legal Case Management. Deliverable: Staff screens</v>
      </c>
    </row>
    <row r="386" customFormat="false" ht="15" hidden="false" customHeight="false" outlineLevel="0" collapsed="false">
      <c r="A386" s="50" t="str">
        <f aca="false">'Project Plan'!B443&amp;" "&amp;'Project Plan'!E443</f>
        <v>7.4.7 Module interfaces (4 I-xx links): events and APIs</v>
      </c>
      <c r="B386" s="6" t="s">
        <v>1063</v>
      </c>
      <c r="C386" s="52" t="n">
        <f aca="false">'Project Plan'!K443</f>
        <v>46771</v>
      </c>
      <c r="D386" s="52" t="n">
        <f aca="false">'Project Plan'!L443</f>
        <v>46821</v>
      </c>
      <c r="E386" s="50" t="str">
        <f aca="false">'Project Plan'!H443</f>
        <v>BE</v>
      </c>
      <c r="F386" s="53" t="n">
        <f aca="false">'Project Plan'!Z443</f>
        <v>6.9</v>
      </c>
      <c r="G386" s="6" t="s">
        <v>1030</v>
      </c>
      <c r="H386" s="50" t="str">
        <f aca="false">IF('Project Plan'!AB443="Done","Completed",IF('Project Plan'!AB443="Not started","Not started","In progress"))</f>
        <v>Not started</v>
      </c>
      <c r="I386" s="50" t="str">
        <f aca="false">"Task: Module 16: Legal Case Management. Deliverable: "&amp;'Project Plan'!AA443</f>
        <v>Task: Module 16: Legal Case Management. Deliverable: Contract-tested interfaces</v>
      </c>
    </row>
    <row r="387" customFormat="false" ht="15" hidden="false" customHeight="false" outlineLevel="0" collapsed="false">
      <c r="A387" s="50" t="str">
        <f aca="false">'Project Plan'!B444&amp;" "&amp;'Project Plan'!E444</f>
        <v>7.4.8 External system adapters (1)</v>
      </c>
      <c r="B387" s="6" t="s">
        <v>1063</v>
      </c>
      <c r="C387" s="52" t="n">
        <f aca="false">'Project Plan'!K444</f>
        <v>46762</v>
      </c>
      <c r="D387" s="52" t="n">
        <f aca="false">'Project Plan'!L444</f>
        <v>46821</v>
      </c>
      <c r="E387" s="50" t="str">
        <f aca="false">'Project Plan'!H444</f>
        <v>BE</v>
      </c>
      <c r="F387" s="53" t="n">
        <f aca="false">'Project Plan'!Z444</f>
        <v>6.9</v>
      </c>
      <c r="G387" s="6" t="s">
        <v>1030</v>
      </c>
      <c r="H387" s="50" t="str">
        <f aca="false">IF('Project Plan'!AB444="Done","Completed",IF('Project Plan'!AB444="Not started","Not started","In progress"))</f>
        <v>Not started</v>
      </c>
      <c r="I387" s="50" t="str">
        <f aca="false">"Task: Module 16: Legal Case Management. Deliverable: "&amp;'Project Plan'!AA444</f>
        <v>Task: Module 16: Legal Case Management. Deliverable: Adapters tested with provider sandboxes</v>
      </c>
    </row>
    <row r="388" customFormat="false" ht="15" hidden="false" customHeight="false" outlineLevel="0" collapsed="false">
      <c r="A388" s="50" t="str">
        <f aca="false">'Project Plan'!B445&amp;" "&amp;'Project Plan'!E445</f>
        <v>7.4.9 Reports, dashboards, notices and templates (all active languages)</v>
      </c>
      <c r="B388" s="6" t="s">
        <v>1063</v>
      </c>
      <c r="C388" s="52" t="n">
        <f aca="false">'Project Plan'!K445</f>
        <v>46790</v>
      </c>
      <c r="D388" s="52" t="n">
        <f aca="false">'Project Plan'!L445</f>
        <v>46825</v>
      </c>
      <c r="E388" s="50" t="str">
        <f aca="false">'Project Plan'!H445</f>
        <v>BE</v>
      </c>
      <c r="F388" s="53" t="n">
        <f aca="false">'Project Plan'!Z445</f>
        <v>9.2</v>
      </c>
      <c r="G388" s="6" t="s">
        <v>1030</v>
      </c>
      <c r="H388" s="50" t="str">
        <f aca="false">IF('Project Plan'!AB445="Done","Completed",IF('Project Plan'!AB445="Not started","Not started","In progress"))</f>
        <v>Not started</v>
      </c>
      <c r="I388" s="50" t="str">
        <f aca="false">"Task: Module 16: Legal Case Management. Deliverable: "&amp;'Project Plan'!AA445</f>
        <v>Task: Module 16: Legal Case Management. Deliverable: Reports and templates</v>
      </c>
    </row>
    <row r="389" customFormat="false" ht="15" hidden="false" customHeight="false" outlineLevel="0" collapsed="false">
      <c r="A389" s="50" t="str">
        <f aca="false">'Project Plan'!B446&amp;" "&amp;'Project Plan'!E446</f>
        <v>7.4.10 Data migration: pending court cases</v>
      </c>
      <c r="B389" s="6" t="s">
        <v>1063</v>
      </c>
      <c r="C389" s="52" t="n">
        <f aca="false">'Project Plan'!K446</f>
        <v>46752</v>
      </c>
      <c r="D389" s="52" t="n">
        <f aca="false">'Project Plan'!L446</f>
        <v>46834</v>
      </c>
      <c r="E389" s="50" t="str">
        <f aca="false">'Project Plan'!H446</f>
        <v>DATA</v>
      </c>
      <c r="F389" s="53" t="n">
        <f aca="false">'Project Plan'!Z446</f>
        <v>13.8</v>
      </c>
      <c r="G389" s="6" t="s">
        <v>1030</v>
      </c>
      <c r="H389" s="50" t="str">
        <f aca="false">IF('Project Plan'!AB446="Done","Completed",IF('Project Plan'!AB446="Not started","Not started","In progress"))</f>
        <v>Not started</v>
      </c>
      <c r="I389" s="50" t="str">
        <f aca="false">"Task: Module 16: Legal Case Management. Deliverable: "&amp;'Project Plan'!AA446</f>
        <v>Task: Module 16: Legal Case Management. Deliverable: Migration scripts and reconciliation report</v>
      </c>
    </row>
    <row r="390" customFormat="false" ht="15" hidden="false" customHeight="false" outlineLevel="0" collapsed="false">
      <c r="A390" s="50" t="str">
        <f aca="false">'Project Plan'!B447&amp;" "&amp;'Project Plan'!E447</f>
        <v>7.4.11 System integration testing</v>
      </c>
      <c r="B390" s="6" t="s">
        <v>1063</v>
      </c>
      <c r="C390" s="52" t="n">
        <f aca="false">'Project Plan'!K447</f>
        <v>46812</v>
      </c>
      <c r="D390" s="52" t="n">
        <f aca="false">'Project Plan'!L447</f>
        <v>46840</v>
      </c>
      <c r="E390" s="50" t="str">
        <f aca="false">'Project Plan'!H447</f>
        <v>QA</v>
      </c>
      <c r="F390" s="53" t="n">
        <f aca="false">'Project Plan'!Z447</f>
        <v>19.55</v>
      </c>
      <c r="G390" s="6" t="s">
        <v>1030</v>
      </c>
      <c r="H390" s="50" t="str">
        <f aca="false">IF('Project Plan'!AB447="Done","Completed",IF('Project Plan'!AB447="Not started","Not started","In progress"))</f>
        <v>Not started</v>
      </c>
      <c r="I390" s="50" t="str">
        <f aca="false">"Task: Module 16: Legal Case Management. Deliverable: "&amp;'Project Plan'!AA447</f>
        <v>Task: Module 16: Legal Case Management. Deliverable: SIT report</v>
      </c>
    </row>
    <row r="391" customFormat="false" ht="15" hidden="false" customHeight="false" outlineLevel="0" collapsed="false">
      <c r="A391" s="50" t="str">
        <f aca="false">'Project Plan'!B448&amp;" "&amp;'Project Plan'!E448</f>
        <v>7.4.12 Defect fixing and regression</v>
      </c>
      <c r="B391" s="6" t="s">
        <v>1063</v>
      </c>
      <c r="C391" s="52" t="n">
        <f aca="false">'Project Plan'!K448</f>
        <v>46818</v>
      </c>
      <c r="D391" s="52" t="n">
        <f aca="false">'Project Plan'!L448</f>
        <v>46853</v>
      </c>
      <c r="E391" s="50" t="str">
        <f aca="false">'Project Plan'!H448</f>
        <v>BE</v>
      </c>
      <c r="F391" s="53" t="n">
        <f aca="false">'Project Plan'!Z448</f>
        <v>16.1</v>
      </c>
      <c r="G391" s="6" t="s">
        <v>1030</v>
      </c>
      <c r="H391" s="50" t="str">
        <f aca="false">IF('Project Plan'!AB448="Done","Completed",IF('Project Plan'!AB448="Not started","Not started","In progress"))</f>
        <v>Not started</v>
      </c>
      <c r="I391" s="50" t="str">
        <f aca="false">"Task: Module 16: Legal Case Management. Deliverable: "&amp;'Project Plan'!AA448</f>
        <v>Task: Module 16: Legal Case Management. Deliverable: Closed defects</v>
      </c>
    </row>
    <row r="392" customFormat="false" ht="15" hidden="false" customHeight="false" outlineLevel="0" collapsed="false">
      <c r="A392" s="50" t="str">
        <f aca="false">'Project Plan'!B449&amp;" "&amp;'Project Plan'!E449</f>
        <v>7.4.13 UAT support with GWMC department</v>
      </c>
      <c r="B392" s="6" t="s">
        <v>1063</v>
      </c>
      <c r="C392" s="52" t="n">
        <f aca="false">'Project Plan'!K449</f>
        <v>46841</v>
      </c>
      <c r="D392" s="52" t="n">
        <f aca="false">'Project Plan'!L449</f>
        <v>46857</v>
      </c>
      <c r="E392" s="50" t="str">
        <f aca="false">'Project Plan'!H449</f>
        <v>BA</v>
      </c>
      <c r="F392" s="53" t="n">
        <f aca="false">'Project Plan'!Z449</f>
        <v>9.2</v>
      </c>
      <c r="G392" s="6" t="s">
        <v>1030</v>
      </c>
      <c r="H392" s="50" t="str">
        <f aca="false">IF('Project Plan'!AB449="Done","Completed",IF('Project Plan'!AB449="Not started","Not started","In progress"))</f>
        <v>Not started</v>
      </c>
      <c r="I392" s="50" t="str">
        <f aca="false">"Task: Module 16: Legal Case Management. Deliverable: "&amp;'Project Plan'!AA449</f>
        <v>Task: Module 16: Legal Case Management. Deliverable: UAT sign-off</v>
      </c>
    </row>
    <row r="393" customFormat="false" ht="15" hidden="false" customHeight="false" outlineLevel="0" collapsed="false">
      <c r="A393" s="50" t="str">
        <f aca="false">'Project Plan'!B450&amp;" "&amp;'Project Plan'!E450</f>
        <v>7.4.14 Training material and department training</v>
      </c>
      <c r="B393" s="6" t="s">
        <v>1063</v>
      </c>
      <c r="C393" s="52" t="n">
        <f aca="false">'Project Plan'!K450</f>
        <v>46846</v>
      </c>
      <c r="D393" s="52" t="n">
        <f aca="false">'Project Plan'!L450</f>
        <v>46862</v>
      </c>
      <c r="E393" s="50" t="str">
        <f aca="false">'Project Plan'!H450</f>
        <v>TRN</v>
      </c>
      <c r="F393" s="53" t="n">
        <f aca="false">'Project Plan'!Z450</f>
        <v>8.05</v>
      </c>
      <c r="G393" s="6" t="s">
        <v>1030</v>
      </c>
      <c r="H393" s="50" t="str">
        <f aca="false">IF('Project Plan'!AB450="Done","Completed",IF('Project Plan'!AB450="Not started","Not started","In progress"))</f>
        <v>Not started</v>
      </c>
      <c r="I393" s="50" t="str">
        <f aca="false">"Task: Module 16: Legal Case Management. Deliverable: "&amp;'Project Plan'!AA450</f>
        <v>Task: Module 16: Legal Case Management. Deliverable: Trained users, manuals in Telugu and English</v>
      </c>
    </row>
    <row r="394" customFormat="false" ht="15" hidden="false" customHeight="false" outlineLevel="0" collapsed="false">
      <c r="A394" s="50" t="str">
        <f aca="false">'Project Plan'!B452&amp;" "&amp;'Project Plan'!E452</f>
        <v>7.5.1 Process validation workshops and to-be sign-off</v>
      </c>
      <c r="B394" s="6" t="s">
        <v>1064</v>
      </c>
      <c r="C394" s="52" t="n">
        <f aca="false">'Project Plan'!K452</f>
        <v>46696</v>
      </c>
      <c r="D394" s="52" t="n">
        <f aca="false">'Project Plan'!L452</f>
        <v>46717</v>
      </c>
      <c r="E394" s="50" t="str">
        <f aca="false">'Project Plan'!H452</f>
        <v>BA</v>
      </c>
      <c r="F394" s="53" t="n">
        <f aca="false">'Project Plan'!Z452</f>
        <v>9.2</v>
      </c>
      <c r="G394" s="6" t="s">
        <v>1030</v>
      </c>
      <c r="H394" s="50" t="str">
        <f aca="false">IF('Project Plan'!AB452="Done","Completed",IF('Project Plan'!AB452="Not started","Not started","In progress"))</f>
        <v>Not started</v>
      </c>
      <c r="I394" s="50" t="str">
        <f aca="false">"Task: Module 19: Government Schemes Management. Deliverable: "&amp;'Project Plan'!AA452</f>
        <v>Task: Module 19: Government Schemes Management. Deliverable: Signed process maps</v>
      </c>
    </row>
    <row r="395" customFormat="false" ht="15" hidden="false" customHeight="false" outlineLevel="0" collapsed="false">
      <c r="A395" s="50" t="str">
        <f aca="false">'Project Plan'!B453&amp;" "&amp;'Project Plan'!E453</f>
        <v>7.5.2 LLD, data model and API/event contracts</v>
      </c>
      <c r="B395" s="6" t="s">
        <v>1064</v>
      </c>
      <c r="C395" s="52" t="n">
        <f aca="false">'Project Plan'!K453</f>
        <v>46713</v>
      </c>
      <c r="D395" s="52" t="n">
        <f aca="false">'Project Plan'!L453</f>
        <v>46734</v>
      </c>
      <c r="E395" s="50" t="str">
        <f aca="false">'Project Plan'!H453</f>
        <v>ARC</v>
      </c>
      <c r="F395" s="53" t="n">
        <f aca="false">'Project Plan'!Z453</f>
        <v>9.2</v>
      </c>
      <c r="G395" s="6" t="s">
        <v>1030</v>
      </c>
      <c r="H395" s="50" t="str">
        <f aca="false">IF('Project Plan'!AB453="Done","Completed",IF('Project Plan'!AB453="Not started","Not started","In progress"))</f>
        <v>Not started</v>
      </c>
      <c r="I395" s="50" t="str">
        <f aca="false">"Task: Module 19: Government Schemes Management. Deliverable: "&amp;'Project Plan'!AA453</f>
        <v>Task: Module 19: Government Schemes Management. Deliverable: LLD, OpenAPI, schemas</v>
      </c>
    </row>
    <row r="396" customFormat="false" ht="15" hidden="false" customHeight="false" outlineLevel="0" collapsed="false">
      <c r="A396" s="50" t="str">
        <f aca="false">'Project Plan'!B454&amp;" "&amp;'Project Plan'!E454</f>
        <v>7.5.3 UX wireframes and UI design</v>
      </c>
      <c r="B396" s="6" t="s">
        <v>1064</v>
      </c>
      <c r="C396" s="52" t="n">
        <f aca="false">'Project Plan'!K454</f>
        <v>46713</v>
      </c>
      <c r="D396" s="52" t="n">
        <f aca="false">'Project Plan'!L454</f>
        <v>46734</v>
      </c>
      <c r="E396" s="50" t="str">
        <f aca="false">'Project Plan'!H454</f>
        <v>FE</v>
      </c>
      <c r="F396" s="53" t="n">
        <f aca="false">'Project Plan'!Z454</f>
        <v>5.75</v>
      </c>
      <c r="G396" s="6" t="s">
        <v>1030</v>
      </c>
      <c r="H396" s="50" t="str">
        <f aca="false">IF('Project Plan'!AB454="Done","Completed",IF('Project Plan'!AB454="Not started","Not started","In progress"))</f>
        <v>Not started</v>
      </c>
      <c r="I396" s="50" t="str">
        <f aca="false">"Task: Module 19: Government Schemes Management. Deliverable: "&amp;'Project Plan'!AA454</f>
        <v>Task: Module 19: Government Schemes Management. Deliverable: Approved wireframes</v>
      </c>
    </row>
    <row r="397" customFormat="false" ht="15" hidden="false" customHeight="false" outlineLevel="0" collapsed="false">
      <c r="A397" s="50" t="str">
        <f aca="false">'Project Plan'!B455&amp;" "&amp;'Project Plan'!E455</f>
        <v>7.5.4 Database schema, domain logic and APIs</v>
      </c>
      <c r="B397" s="6" t="s">
        <v>1064</v>
      </c>
      <c r="C397" s="52" t="n">
        <f aca="false">'Project Plan'!K455</f>
        <v>46730</v>
      </c>
      <c r="D397" s="52" t="n">
        <f aca="false">'Project Plan'!L455</f>
        <v>46806</v>
      </c>
      <c r="E397" s="50" t="str">
        <f aca="false">'Project Plan'!H455</f>
        <v>BE</v>
      </c>
      <c r="F397" s="53" t="n">
        <f aca="false">'Project Plan'!Z455</f>
        <v>24.15</v>
      </c>
      <c r="G397" s="6" t="s">
        <v>1030</v>
      </c>
      <c r="H397" s="50" t="str">
        <f aca="false">IF('Project Plan'!AB455="Done","Completed",IF('Project Plan'!AB455="Not started","Not started","In progress"))</f>
        <v>Not started</v>
      </c>
      <c r="I397" s="50" t="str">
        <f aca="false">"Task: Module 19: Government Schemes Management. Deliverable: "&amp;'Project Plan'!AA455</f>
        <v>Task: Module 19: Government Schemes Management. Deliverable: Service build</v>
      </c>
    </row>
    <row r="398" customFormat="false" ht="15" hidden="false" customHeight="false" outlineLevel="0" collapsed="false">
      <c r="A398" s="50" t="str">
        <f aca="false">'Project Plan'!B456&amp;" "&amp;'Project Plan'!E456</f>
        <v>7.5.5 Workflows (BPMN) and rules (DMN) configuration</v>
      </c>
      <c r="B398" s="6" t="s">
        <v>1064</v>
      </c>
      <c r="C398" s="52" t="n">
        <f aca="false">'Project Plan'!K456</f>
        <v>46752</v>
      </c>
      <c r="D398" s="52" t="n">
        <f aca="false">'Project Plan'!L456</f>
        <v>46807</v>
      </c>
      <c r="E398" s="50" t="str">
        <f aca="false">'Project Plan'!H456</f>
        <v>BE</v>
      </c>
      <c r="F398" s="53" t="n">
        <f aca="false">'Project Plan'!Z456</f>
        <v>11.5</v>
      </c>
      <c r="G398" s="6" t="s">
        <v>1030</v>
      </c>
      <c r="H398" s="50" t="str">
        <f aca="false">IF('Project Plan'!AB456="Done","Completed",IF('Project Plan'!AB456="Not started","Not started","In progress"))</f>
        <v>Not started</v>
      </c>
      <c r="I398" s="50" t="str">
        <f aca="false">"Task: Module 19: Government Schemes Management. Deliverable: "&amp;'Project Plan'!AA456</f>
        <v>Task: Module 19: Government Schemes Management. Deliverable: Deployed workflows and decision tables</v>
      </c>
    </row>
    <row r="399" customFormat="false" ht="15" hidden="false" customHeight="false" outlineLevel="0" collapsed="false">
      <c r="A399" s="50" t="str">
        <f aca="false">'Project Plan'!B457&amp;" "&amp;'Project Plan'!E457</f>
        <v>7.5.6 Staff console screens</v>
      </c>
      <c r="B399" s="6" t="s">
        <v>1064</v>
      </c>
      <c r="C399" s="52" t="n">
        <f aca="false">'Project Plan'!K457</f>
        <v>46743</v>
      </c>
      <c r="D399" s="52" t="n">
        <f aca="false">'Project Plan'!L457</f>
        <v>46815</v>
      </c>
      <c r="E399" s="50" t="str">
        <f aca="false">'Project Plan'!H457</f>
        <v>FE</v>
      </c>
      <c r="F399" s="53" t="n">
        <f aca="false">'Project Plan'!Z457</f>
        <v>20.7</v>
      </c>
      <c r="G399" s="6" t="s">
        <v>1030</v>
      </c>
      <c r="H399" s="50" t="str">
        <f aca="false">IF('Project Plan'!AB457="Done","Completed",IF('Project Plan'!AB457="Not started","Not started","In progress"))</f>
        <v>Not started</v>
      </c>
      <c r="I399" s="50" t="str">
        <f aca="false">"Task: Module 19: Government Schemes Management. Deliverable: "&amp;'Project Plan'!AA457</f>
        <v>Task: Module 19: Government Schemes Management. Deliverable: Staff screens</v>
      </c>
    </row>
    <row r="400" customFormat="false" ht="15" hidden="false" customHeight="false" outlineLevel="0" collapsed="false">
      <c r="A400" s="50" t="str">
        <f aca="false">'Project Plan'!B458&amp;" "&amp;'Project Plan'!E458</f>
        <v>7.5.7 Citizen portal and app services</v>
      </c>
      <c r="B400" s="6" t="s">
        <v>1064</v>
      </c>
      <c r="C400" s="52" t="n">
        <f aca="false">'Project Plan'!K458</f>
        <v>46762</v>
      </c>
      <c r="D400" s="52" t="n">
        <f aca="false">'Project Plan'!L458</f>
        <v>46815</v>
      </c>
      <c r="E400" s="50" t="str">
        <f aca="false">'Project Plan'!H458</f>
        <v>FE</v>
      </c>
      <c r="F400" s="53" t="n">
        <f aca="false">'Project Plan'!Z458</f>
        <v>13.8</v>
      </c>
      <c r="G400" s="6" t="s">
        <v>1030</v>
      </c>
      <c r="H400" s="50" t="str">
        <f aca="false">IF('Project Plan'!AB458="Done","Completed",IF('Project Plan'!AB458="Not started","Not started","In progress"))</f>
        <v>Not started</v>
      </c>
      <c r="I400" s="50" t="str">
        <f aca="false">"Task: Module 19: Government Schemes Management. Deliverable: "&amp;'Project Plan'!AA458</f>
        <v>Task: Module 19: Government Schemes Management. Deliverable: Citizen services live in MyGWMC</v>
      </c>
    </row>
    <row r="401" customFormat="false" ht="15" hidden="false" customHeight="false" outlineLevel="0" collapsed="false">
      <c r="A401" s="50" t="str">
        <f aca="false">'Project Plan'!B459&amp;" "&amp;'Project Plan'!E459</f>
        <v>7.5.8 Field app tasks (offline)</v>
      </c>
      <c r="B401" s="6" t="s">
        <v>1064</v>
      </c>
      <c r="C401" s="52" t="n">
        <f aca="false">'Project Plan'!K459</f>
        <v>46762</v>
      </c>
      <c r="D401" s="52" t="n">
        <f aca="false">'Project Plan'!L459</f>
        <v>46815</v>
      </c>
      <c r="E401" s="50" t="str">
        <f aca="false">'Project Plan'!H459</f>
        <v>MOB</v>
      </c>
      <c r="F401" s="53" t="n">
        <f aca="false">'Project Plan'!Z459</f>
        <v>9.2</v>
      </c>
      <c r="G401" s="6" t="s">
        <v>1030</v>
      </c>
      <c r="H401" s="50" t="str">
        <f aca="false">IF('Project Plan'!AB459="Done","Completed",IF('Project Plan'!AB459="Not started","Not started","In progress"))</f>
        <v>Not started</v>
      </c>
      <c r="I401" s="50" t="str">
        <f aca="false">"Task: Module 19: Government Schemes Management. Deliverable: "&amp;'Project Plan'!AA459</f>
        <v>Task: Module 19: Government Schemes Management. Deliverable: Field app plug-in</v>
      </c>
    </row>
    <row r="402" customFormat="false" ht="15" hidden="false" customHeight="false" outlineLevel="0" collapsed="false">
      <c r="A402" s="50" t="str">
        <f aca="false">'Project Plan'!B460&amp;" "&amp;'Project Plan'!E460</f>
        <v>7.5.9 Module interfaces (5 I-xx links): events and APIs</v>
      </c>
      <c r="B402" s="6" t="s">
        <v>1064</v>
      </c>
      <c r="C402" s="52" t="n">
        <f aca="false">'Project Plan'!K460</f>
        <v>46771</v>
      </c>
      <c r="D402" s="52" t="n">
        <f aca="false">'Project Plan'!L460</f>
        <v>46821</v>
      </c>
      <c r="E402" s="50" t="str">
        <f aca="false">'Project Plan'!H460</f>
        <v>BE</v>
      </c>
      <c r="F402" s="53" t="n">
        <f aca="false">'Project Plan'!Z460</f>
        <v>9.2</v>
      </c>
      <c r="G402" s="6" t="s">
        <v>1030</v>
      </c>
      <c r="H402" s="50" t="str">
        <f aca="false">IF('Project Plan'!AB460="Done","Completed",IF('Project Plan'!AB460="Not started","Not started","In progress"))</f>
        <v>Not started</v>
      </c>
      <c r="I402" s="50" t="str">
        <f aca="false">"Task: Module 19: Government Schemes Management. Deliverable: "&amp;'Project Plan'!AA460</f>
        <v>Task: Module 19: Government Schemes Management. Deliverable: Contract-tested interfaces</v>
      </c>
    </row>
    <row r="403" customFormat="false" ht="15" hidden="false" customHeight="false" outlineLevel="0" collapsed="false">
      <c r="A403" s="50" t="str">
        <f aca="false">'Project Plan'!B461&amp;" "&amp;'Project Plan'!E461</f>
        <v>7.5.10 External system adapters (2)</v>
      </c>
      <c r="B403" s="6" t="s">
        <v>1064</v>
      </c>
      <c r="C403" s="52" t="n">
        <f aca="false">'Project Plan'!K461</f>
        <v>46762</v>
      </c>
      <c r="D403" s="52" t="n">
        <f aca="false">'Project Plan'!L461</f>
        <v>46821</v>
      </c>
      <c r="E403" s="50" t="str">
        <f aca="false">'Project Plan'!H461</f>
        <v>BE</v>
      </c>
      <c r="F403" s="53" t="n">
        <f aca="false">'Project Plan'!Z461</f>
        <v>13.8</v>
      </c>
      <c r="G403" s="6" t="s">
        <v>1030</v>
      </c>
      <c r="H403" s="50" t="str">
        <f aca="false">IF('Project Plan'!AB461="Done","Completed",IF('Project Plan'!AB461="Not started","Not started","In progress"))</f>
        <v>Not started</v>
      </c>
      <c r="I403" s="50" t="str">
        <f aca="false">"Task: Module 19: Government Schemes Management. Deliverable: "&amp;'Project Plan'!AA461</f>
        <v>Task: Module 19: Government Schemes Management. Deliverable: Adapters tested with provider sandboxes</v>
      </c>
    </row>
    <row r="404" customFormat="false" ht="15" hidden="false" customHeight="false" outlineLevel="0" collapsed="false">
      <c r="A404" s="50" t="str">
        <f aca="false">'Project Plan'!B462&amp;" "&amp;'Project Plan'!E462</f>
        <v>7.5.11 Reports, dashboards, notices and templates (all active languages)</v>
      </c>
      <c r="B404" s="6" t="s">
        <v>1064</v>
      </c>
      <c r="C404" s="52" t="n">
        <f aca="false">'Project Plan'!K462</f>
        <v>46790</v>
      </c>
      <c r="D404" s="52" t="n">
        <f aca="false">'Project Plan'!L462</f>
        <v>46825</v>
      </c>
      <c r="E404" s="50" t="str">
        <f aca="false">'Project Plan'!H462</f>
        <v>BE</v>
      </c>
      <c r="F404" s="53" t="n">
        <f aca="false">'Project Plan'!Z462</f>
        <v>8.05</v>
      </c>
      <c r="G404" s="6" t="s">
        <v>1030</v>
      </c>
      <c r="H404" s="50" t="str">
        <f aca="false">IF('Project Plan'!AB462="Done","Completed",IF('Project Plan'!AB462="Not started","Not started","In progress"))</f>
        <v>Not started</v>
      </c>
      <c r="I404" s="50" t="str">
        <f aca="false">"Task: Module 19: Government Schemes Management. Deliverable: "&amp;'Project Plan'!AA462</f>
        <v>Task: Module 19: Government Schemes Management. Deliverable: Reports and templates</v>
      </c>
    </row>
    <row r="405" customFormat="false" ht="15" hidden="false" customHeight="false" outlineLevel="0" collapsed="false">
      <c r="A405" s="50" t="str">
        <f aca="false">'Project Plan'!B463&amp;" "&amp;'Project Plan'!E463</f>
        <v>7.5.12 Data migration: existing beneficiaries</v>
      </c>
      <c r="B405" s="6" t="s">
        <v>1064</v>
      </c>
      <c r="C405" s="52" t="n">
        <f aca="false">'Project Plan'!K463</f>
        <v>46752</v>
      </c>
      <c r="D405" s="52" t="n">
        <f aca="false">'Project Plan'!L463</f>
        <v>46834</v>
      </c>
      <c r="E405" s="50" t="str">
        <f aca="false">'Project Plan'!H463</f>
        <v>DATA</v>
      </c>
      <c r="F405" s="53" t="n">
        <f aca="false">'Project Plan'!Z463</f>
        <v>10.35</v>
      </c>
      <c r="G405" s="6" t="s">
        <v>1030</v>
      </c>
      <c r="H405" s="50" t="str">
        <f aca="false">IF('Project Plan'!AB463="Done","Completed",IF('Project Plan'!AB463="Not started","Not started","In progress"))</f>
        <v>Not started</v>
      </c>
      <c r="I405" s="50" t="str">
        <f aca="false">"Task: Module 19: Government Schemes Management. Deliverable: "&amp;'Project Plan'!AA463</f>
        <v>Task: Module 19: Government Schemes Management. Deliverable: Migration scripts and reconciliation report</v>
      </c>
    </row>
    <row r="406" customFormat="false" ht="15" hidden="false" customHeight="false" outlineLevel="0" collapsed="false">
      <c r="A406" s="50" t="str">
        <f aca="false">'Project Plan'!B464&amp;" "&amp;'Project Plan'!E464</f>
        <v>7.5.13 System integration testing</v>
      </c>
      <c r="B406" s="6" t="s">
        <v>1064</v>
      </c>
      <c r="C406" s="52" t="n">
        <f aca="false">'Project Plan'!K464</f>
        <v>46812</v>
      </c>
      <c r="D406" s="52" t="n">
        <f aca="false">'Project Plan'!L464</f>
        <v>46840</v>
      </c>
      <c r="E406" s="50" t="str">
        <f aca="false">'Project Plan'!H464</f>
        <v>QA</v>
      </c>
      <c r="F406" s="53" t="n">
        <f aca="false">'Project Plan'!Z464</f>
        <v>16.1</v>
      </c>
      <c r="G406" s="6" t="s">
        <v>1030</v>
      </c>
      <c r="H406" s="50" t="str">
        <f aca="false">IF('Project Plan'!AB464="Done","Completed",IF('Project Plan'!AB464="Not started","Not started","In progress"))</f>
        <v>Not started</v>
      </c>
      <c r="I406" s="50" t="str">
        <f aca="false">"Task: Module 19: Government Schemes Management. Deliverable: "&amp;'Project Plan'!AA464</f>
        <v>Task: Module 19: Government Schemes Management. Deliverable: SIT report</v>
      </c>
    </row>
    <row r="407" customFormat="false" ht="15" hidden="false" customHeight="false" outlineLevel="0" collapsed="false">
      <c r="A407" s="50" t="str">
        <f aca="false">'Project Plan'!B465&amp;" "&amp;'Project Plan'!E465</f>
        <v>7.5.14 Defect fixing and regression</v>
      </c>
      <c r="B407" s="6" t="s">
        <v>1064</v>
      </c>
      <c r="C407" s="52" t="n">
        <f aca="false">'Project Plan'!K465</f>
        <v>46818</v>
      </c>
      <c r="D407" s="52" t="n">
        <f aca="false">'Project Plan'!L465</f>
        <v>46853</v>
      </c>
      <c r="E407" s="50" t="str">
        <f aca="false">'Project Plan'!H465</f>
        <v>BE</v>
      </c>
      <c r="F407" s="53" t="n">
        <f aca="false">'Project Plan'!Z465</f>
        <v>14.95</v>
      </c>
      <c r="G407" s="6" t="s">
        <v>1030</v>
      </c>
      <c r="H407" s="50" t="str">
        <f aca="false">IF('Project Plan'!AB465="Done","Completed",IF('Project Plan'!AB465="Not started","Not started","In progress"))</f>
        <v>Not started</v>
      </c>
      <c r="I407" s="50" t="str">
        <f aca="false">"Task: Module 19: Government Schemes Management. Deliverable: "&amp;'Project Plan'!AA465</f>
        <v>Task: Module 19: Government Schemes Management. Deliverable: Closed defects</v>
      </c>
    </row>
    <row r="408" customFormat="false" ht="15" hidden="false" customHeight="false" outlineLevel="0" collapsed="false">
      <c r="A408" s="50" t="str">
        <f aca="false">'Project Plan'!B466&amp;" "&amp;'Project Plan'!E466</f>
        <v>7.5.15 UAT support with GWMC department</v>
      </c>
      <c r="B408" s="6" t="s">
        <v>1064</v>
      </c>
      <c r="C408" s="52" t="n">
        <f aca="false">'Project Plan'!K466</f>
        <v>46841</v>
      </c>
      <c r="D408" s="52" t="n">
        <f aca="false">'Project Plan'!L466</f>
        <v>46857</v>
      </c>
      <c r="E408" s="50" t="str">
        <f aca="false">'Project Plan'!H466</f>
        <v>BA</v>
      </c>
      <c r="F408" s="53" t="n">
        <f aca="false">'Project Plan'!Z466</f>
        <v>9.2</v>
      </c>
      <c r="G408" s="6" t="s">
        <v>1030</v>
      </c>
      <c r="H408" s="50" t="str">
        <f aca="false">IF('Project Plan'!AB466="Done","Completed",IF('Project Plan'!AB466="Not started","Not started","In progress"))</f>
        <v>Not started</v>
      </c>
      <c r="I408" s="50" t="str">
        <f aca="false">"Task: Module 19: Government Schemes Management. Deliverable: "&amp;'Project Plan'!AA466</f>
        <v>Task: Module 19: Government Schemes Management. Deliverable: UAT sign-off</v>
      </c>
    </row>
    <row r="409" customFormat="false" ht="15" hidden="false" customHeight="false" outlineLevel="0" collapsed="false">
      <c r="A409" s="50" t="str">
        <f aca="false">'Project Plan'!B467&amp;" "&amp;'Project Plan'!E467</f>
        <v>7.5.16 Training material and department training</v>
      </c>
      <c r="B409" s="6" t="s">
        <v>1064</v>
      </c>
      <c r="C409" s="52" t="n">
        <f aca="false">'Project Plan'!K467</f>
        <v>46846</v>
      </c>
      <c r="D409" s="52" t="n">
        <f aca="false">'Project Plan'!L467</f>
        <v>46862</v>
      </c>
      <c r="E409" s="50" t="str">
        <f aca="false">'Project Plan'!H467</f>
        <v>TRN</v>
      </c>
      <c r="F409" s="53" t="n">
        <f aca="false">'Project Plan'!Z467</f>
        <v>5.75</v>
      </c>
      <c r="G409" s="6" t="s">
        <v>1030</v>
      </c>
      <c r="H409" s="50" t="str">
        <f aca="false">IF('Project Plan'!AB467="Done","Completed",IF('Project Plan'!AB467="Not started","Not started","In progress"))</f>
        <v>Not started</v>
      </c>
      <c r="I409" s="50" t="str">
        <f aca="false">"Task: Module 19: Government Schemes Management. Deliverable: "&amp;'Project Plan'!AA467</f>
        <v>Task: Module 19: Government Schemes Management. Deliverable: Trained users, manuals in Telugu and English</v>
      </c>
    </row>
    <row r="410" customFormat="false" ht="15" hidden="false" customHeight="false" outlineLevel="0" collapsed="false">
      <c r="A410" s="50" t="str">
        <f aca="false">'Project Plan'!B469&amp;" "&amp;'Project Plan'!E469</f>
        <v>7.6.1 End-to-end integration testing (SRS E2E scenarios)</v>
      </c>
      <c r="B410" s="6" t="s">
        <v>1065</v>
      </c>
      <c r="C410" s="52" t="n">
        <f aca="false">'Project Plan'!K469</f>
        <v>46829</v>
      </c>
      <c r="D410" s="52" t="n">
        <f aca="false">'Project Plan'!L469</f>
        <v>46847</v>
      </c>
      <c r="E410" s="50" t="str">
        <f aca="false">'Project Plan'!H469</f>
        <v>QA</v>
      </c>
      <c r="F410" s="53" t="n">
        <f aca="false">'Project Plan'!Z469</f>
        <v>34.5</v>
      </c>
      <c r="G410" s="6" t="s">
        <v>1030</v>
      </c>
      <c r="H410" s="50" t="str">
        <f aca="false">IF('Project Plan'!AB469="Done","Completed",IF('Project Plan'!AB469="Not started","Not started","In progress"))</f>
        <v>Not started</v>
      </c>
      <c r="I410" s="50" t="str">
        <f aca="false">"Task: Phase 4 release, testing and go-live. Deliverable: "&amp;'Project Plan'!AA469</f>
        <v>Task: Phase 4 release, testing and go-live. Deliverable: E2E report</v>
      </c>
    </row>
    <row r="411" customFormat="false" ht="15" hidden="false" customHeight="false" outlineLevel="0" collapsed="false">
      <c r="A411" s="50" t="str">
        <f aca="false">'Project Plan'!B470&amp;" "&amp;'Project Plan'!E470</f>
        <v>7.6.2 Performance and load testing (NFR-001/002)</v>
      </c>
      <c r="B411" s="6" t="s">
        <v>1065</v>
      </c>
      <c r="C411" s="52" t="n">
        <f aca="false">'Project Plan'!K470</f>
        <v>46835</v>
      </c>
      <c r="D411" s="52" t="n">
        <f aca="false">'Project Plan'!L470</f>
        <v>46847</v>
      </c>
      <c r="E411" s="50" t="str">
        <f aca="false">'Project Plan'!H470</f>
        <v>QA</v>
      </c>
      <c r="F411" s="53" t="n">
        <f aca="false">'Project Plan'!Z470</f>
        <v>18.4</v>
      </c>
      <c r="G411" s="6" t="s">
        <v>1030</v>
      </c>
      <c r="H411" s="50" t="str">
        <f aca="false">IF('Project Plan'!AB470="Done","Completed",IF('Project Plan'!AB470="Not started","Not started","In progress"))</f>
        <v>Not started</v>
      </c>
      <c r="I411" s="50" t="str">
        <f aca="false">"Task: Phase 4 release, testing and go-live. Deliverable: "&amp;'Project Plan'!AA470</f>
        <v>Task: Phase 4 release, testing and go-live. Deliverable: Performance report</v>
      </c>
    </row>
    <row r="412" customFormat="false" ht="15" hidden="false" customHeight="false" outlineLevel="0" collapsed="false">
      <c r="A412" s="50" t="str">
        <f aca="false">'Project Plan'!B471&amp;" "&amp;'Project Plan'!E471</f>
        <v>7.6.3 Security audit by CERT-In empanelled auditor and fixes</v>
      </c>
      <c r="B412" s="6" t="s">
        <v>1065</v>
      </c>
      <c r="C412" s="52" t="n">
        <f aca="false">'Project Plan'!K471</f>
        <v>46841</v>
      </c>
      <c r="D412" s="52" t="n">
        <f aca="false">'Project Plan'!L471</f>
        <v>46857</v>
      </c>
      <c r="E412" s="50" t="str">
        <f aca="false">'Project Plan'!H471</f>
        <v>QA</v>
      </c>
      <c r="F412" s="53" t="n">
        <f aca="false">'Project Plan'!Z471</f>
        <v>24.15</v>
      </c>
      <c r="G412" s="6" t="s">
        <v>1030</v>
      </c>
      <c r="H412" s="50" t="str">
        <f aca="false">IF('Project Plan'!AB471="Done","Completed",IF('Project Plan'!AB471="Not started","Not started","In progress"))</f>
        <v>Not started</v>
      </c>
      <c r="I412" s="50" t="str">
        <f aca="false">"Task: Phase 4 release, testing and go-live. Deliverable: "&amp;'Project Plan'!AA471</f>
        <v>Task: Phase 4 release, testing and go-live. Deliverable: Audit certificate</v>
      </c>
    </row>
    <row r="413" customFormat="false" ht="15" hidden="false" customHeight="false" outlineLevel="0" collapsed="false">
      <c r="A413" s="50" t="str">
        <f aca="false">'Project Plan'!B472&amp;" "&amp;'Project Plan'!E472</f>
        <v>7.6.4 Training of trainers and end-user training programme</v>
      </c>
      <c r="B413" s="6" t="s">
        <v>1065</v>
      </c>
      <c r="C413" s="52" t="n">
        <f aca="false">'Project Plan'!K472</f>
        <v>46848</v>
      </c>
      <c r="D413" s="52" t="n">
        <f aca="false">'Project Plan'!L472</f>
        <v>46864</v>
      </c>
      <c r="E413" s="50" t="str">
        <f aca="false">'Project Plan'!H472</f>
        <v>TRN</v>
      </c>
      <c r="F413" s="53" t="n">
        <f aca="false">'Project Plan'!Z472</f>
        <v>23</v>
      </c>
      <c r="G413" s="6" t="s">
        <v>1030</v>
      </c>
      <c r="H413" s="50" t="str">
        <f aca="false">IF('Project Plan'!AB472="Done","Completed",IF('Project Plan'!AB472="Not started","Not started","In progress"))</f>
        <v>Not started</v>
      </c>
      <c r="I413" s="50" t="str">
        <f aca="false">"Task: Phase 4 release, testing and go-live. Deliverable: "&amp;'Project Plan'!AA472</f>
        <v>Task: Phase 4 release, testing and go-live. Deliverable: Training attendance and feedback</v>
      </c>
    </row>
    <row r="414" customFormat="false" ht="15" hidden="false" customHeight="false" outlineLevel="0" collapsed="false">
      <c r="A414" s="50" t="str">
        <f aca="false">'Project Plan'!B473&amp;" "&amp;'Project Plan'!E473</f>
        <v>7.6.5 Migration dress rehearsal and cut-over plan</v>
      </c>
      <c r="B414" s="6" t="s">
        <v>1065</v>
      </c>
      <c r="C414" s="52" t="n">
        <f aca="false">'Project Plan'!K473</f>
        <v>46853</v>
      </c>
      <c r="D414" s="52" t="n">
        <f aca="false">'Project Plan'!L473</f>
        <v>46862</v>
      </c>
      <c r="E414" s="50" t="str">
        <f aca="false">'Project Plan'!H473</f>
        <v>DATA</v>
      </c>
      <c r="F414" s="53" t="n">
        <f aca="false">'Project Plan'!Z473</f>
        <v>14.95</v>
      </c>
      <c r="G414" s="6" t="s">
        <v>1030</v>
      </c>
      <c r="H414" s="50" t="str">
        <f aca="false">IF('Project Plan'!AB473="Done","Completed",IF('Project Plan'!AB473="Not started","Not started","In progress"))</f>
        <v>Not started</v>
      </c>
      <c r="I414" s="50" t="str">
        <f aca="false">"Task: Phase 4 release, testing and go-live. Deliverable: "&amp;'Project Plan'!AA473</f>
        <v>Task: Phase 4 release, testing and go-live. Deliverable: Cut-over runbook</v>
      </c>
    </row>
    <row r="415" customFormat="false" ht="15" hidden="false" customHeight="false" outlineLevel="0" collapsed="false">
      <c r="A415" s="50" t="str">
        <f aca="false">'Project Plan'!B474&amp;" "&amp;'Project Plan'!E474</f>
        <v>7.6.6 Production deployment and cut-over</v>
      </c>
      <c r="B415" s="6" t="s">
        <v>1065</v>
      </c>
      <c r="C415" s="52" t="n">
        <f aca="false">'Project Plan'!K474</f>
        <v>46863</v>
      </c>
      <c r="D415" s="52" t="n">
        <f aca="false">'Project Plan'!L474</f>
        <v>46867</v>
      </c>
      <c r="E415" s="50" t="str">
        <f aca="false">'Project Plan'!H474</f>
        <v>DEV</v>
      </c>
      <c r="F415" s="53" t="n">
        <f aca="false">'Project Plan'!Z474</f>
        <v>18.4</v>
      </c>
      <c r="G415" s="6" t="s">
        <v>1030</v>
      </c>
      <c r="H415" s="50" t="str">
        <f aca="false">IF('Project Plan'!AB474="Done","Completed",IF('Project Plan'!AB474="Not started","Not started","In progress"))</f>
        <v>Not started</v>
      </c>
      <c r="I415" s="50" t="str">
        <f aca="false">"Task: Phase 4 release, testing and go-live. Deliverable: "&amp;'Project Plan'!AA474</f>
        <v>Task: Phase 4 release, testing and go-live. Deliverable: Go-live</v>
      </c>
    </row>
    <row r="416" customFormat="false" ht="15" hidden="false" customHeight="false" outlineLevel="0" collapsed="false">
      <c r="A416" s="50" t="str">
        <f aca="false">'Project Plan'!B475&amp;" "&amp;'Project Plan'!E475</f>
        <v>7.7 M4: Phase 4 go-live</v>
      </c>
      <c r="B416" s="6" t="s">
        <v>1066</v>
      </c>
      <c r="C416" s="52" t="n">
        <f aca="false">'Project Plan'!K475</f>
        <v>46867</v>
      </c>
      <c r="D416" s="52" t="n">
        <f aca="false">'Project Plan'!L475</f>
        <v>46867</v>
      </c>
      <c r="E416" s="50" t="n">
        <f aca="false">'Project Plan'!H475</f>
        <v>0</v>
      </c>
      <c r="F416" s="53" t="n">
        <f aca="false">'Project Plan'!Z475</f>
        <v>0</v>
      </c>
      <c r="G416" s="6" t="s">
        <v>1035</v>
      </c>
      <c r="H416" s="50" t="str">
        <f aca="false">IF('Project Plan'!AB475="Done","Completed",IF('Project Plan'!AB475="Not started","Not started","In progress"))</f>
        <v>Not started</v>
      </c>
      <c r="I416" s="50" t="str">
        <f aca="false">"Task: Phase 4: Administration and welfare. Deliverable: "&amp;'Project Plan'!AA475</f>
        <v>Task: Phase 4: Administration and welfare. Deliverable: </v>
      </c>
    </row>
    <row r="417" customFormat="false" ht="15" hidden="false" customHeight="false" outlineLevel="0" collapsed="false">
      <c r="A417" s="50" t="str">
        <f aca="false">'Project Plan'!B476&amp;" "&amp;'Project Plan'!E476</f>
        <v>7.7.1 Hypercare and stabilisation (4 weeks)</v>
      </c>
      <c r="B417" s="6" t="s">
        <v>1065</v>
      </c>
      <c r="C417" s="52" t="n">
        <f aca="false">'Project Plan'!K476</f>
        <v>46867</v>
      </c>
      <c r="D417" s="52" t="n">
        <f aca="false">'Project Plan'!L476</f>
        <v>46892</v>
      </c>
      <c r="E417" s="50" t="str">
        <f aca="false">'Project Plan'!H476</f>
        <v>BE</v>
      </c>
      <c r="F417" s="53" t="n">
        <f aca="false">'Project Plan'!Z476</f>
        <v>33.35</v>
      </c>
      <c r="G417" s="6" t="s">
        <v>1030</v>
      </c>
      <c r="H417" s="50" t="str">
        <f aca="false">IF('Project Plan'!AB476="Done","Completed",IF('Project Plan'!AB476="Not started","Not started","In progress"))</f>
        <v>Not started</v>
      </c>
      <c r="I417" s="50" t="str">
        <f aca="false">"Task: M4: Phase 4 go-live. Deliverable: "&amp;'Project Plan'!AA476</f>
        <v>Task: M4: Phase 4 go-live. Deliverable: Hypercare closure report</v>
      </c>
    </row>
    <row r="418" customFormat="false" ht="15" hidden="false" customHeight="false" outlineLevel="0" collapsed="false">
      <c r="A418" s="50" t="str">
        <f aca="false">'Project Plan'!B477&amp;" "&amp;'Project Plan'!E477</f>
        <v>7.8 Phase 4 acceptance and sign-off</v>
      </c>
      <c r="B418" s="6" t="s">
        <v>1066</v>
      </c>
      <c r="C418" s="52" t="n">
        <f aca="false">'Project Plan'!K477</f>
        <v>46895</v>
      </c>
      <c r="D418" s="52" t="n">
        <f aca="false">'Project Plan'!L477</f>
        <v>46895</v>
      </c>
      <c r="E418" s="50" t="n">
        <f aca="false">'Project Plan'!H477</f>
        <v>0</v>
      </c>
      <c r="F418" s="53" t="n">
        <f aca="false">'Project Plan'!Z477</f>
        <v>0</v>
      </c>
      <c r="G418" s="6" t="s">
        <v>1035</v>
      </c>
      <c r="H418" s="50" t="str">
        <f aca="false">IF('Project Plan'!AB477="Done","Completed",IF('Project Plan'!AB477="Not started","Not started","In progress"))</f>
        <v>Not started</v>
      </c>
      <c r="I418" s="50" t="str">
        <f aca="false">"Task: Phase 4: Administration and welfare. Deliverable: "&amp;'Project Plan'!AA477</f>
        <v>Task: Phase 4: Administration and welfare. Deliverable: </v>
      </c>
    </row>
    <row r="419" customFormat="false" ht="15" hidden="false" customHeight="false" outlineLevel="0" collapsed="false">
      <c r="A419" s="50" t="str">
        <f aca="false">'Project Plan'!B478&amp;" "&amp;'Project Plan'!E478</f>
        <v>7.9 Phase 4 build mid-point (next phase design may start)</v>
      </c>
      <c r="B419" s="6" t="s">
        <v>1066</v>
      </c>
      <c r="C419" s="52" t="n">
        <f aca="false">'Project Plan'!K478</f>
        <v>46790</v>
      </c>
      <c r="D419" s="52" t="n">
        <f aca="false">'Project Plan'!L478</f>
        <v>46790</v>
      </c>
      <c r="E419" s="50" t="n">
        <f aca="false">'Project Plan'!H478</f>
        <v>0</v>
      </c>
      <c r="F419" s="53" t="n">
        <f aca="false">'Project Plan'!Z478</f>
        <v>0</v>
      </c>
      <c r="G419" s="6" t="s">
        <v>1035</v>
      </c>
      <c r="H419" s="50" t="str">
        <f aca="false">IF('Project Plan'!AB478="Done","Completed",IF('Project Plan'!AB478="Not started","Not started","In progress"))</f>
        <v>Not started</v>
      </c>
      <c r="I419" s="50" t="str">
        <f aca="false">"Task: Phase 4: Administration and welfare. Deliverable: "&amp;'Project Plan'!AA478</f>
        <v>Task: Phase 4: Administration and welfare. Deliverable: </v>
      </c>
    </row>
    <row r="420" customFormat="false" ht="15" hidden="false" customHeight="false" outlineLevel="0" collapsed="false">
      <c r="A420" s="50" t="str">
        <f aca="false">'Project Plan'!B480&amp;" "&amp;'Project Plan'!E480</f>
        <v>8.1 Programme completion and handover to operations</v>
      </c>
      <c r="B420" s="6" t="s">
        <v>1067</v>
      </c>
      <c r="C420" s="52" t="n">
        <f aca="false">'Project Plan'!K480</f>
        <v>46944</v>
      </c>
      <c r="D420" s="52" t="n">
        <f aca="false">'Project Plan'!L480</f>
        <v>46944</v>
      </c>
      <c r="E420" s="50" t="n">
        <f aca="false">'Project Plan'!H480</f>
        <v>0</v>
      </c>
      <c r="F420" s="53" t="n">
        <f aca="false">'Project Plan'!Z480</f>
        <v>0</v>
      </c>
      <c r="G420" s="6" t="s">
        <v>1035</v>
      </c>
      <c r="H420" s="50" t="str">
        <f aca="false">IF('Project Plan'!AB480="Done","Completed",IF('Project Plan'!AB480="Not started","Not started","In progress"))</f>
        <v>Not started</v>
      </c>
      <c r="I420" s="50" t="str">
        <f aca="false">"Task: Programme close. Deliverable: "&amp;'Project Plan'!AA480</f>
        <v>Task: Programme close. Deliverable: </v>
      </c>
    </row>
  </sheetData>
  <autoFilter ref="A1:I4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8"/>
    <col collapsed="false" customWidth="true" hidden="false" outlineLevel="0" max="4" min="4" style="0" width="9"/>
    <col collapsed="false" customWidth="true" hidden="false" outlineLevel="0" max="6" min="5" style="0" width="12"/>
    <col collapsed="false" customWidth="true" hidden="false" outlineLevel="0" max="7" min="7" style="0" width="16"/>
    <col collapsed="false" customWidth="true" hidden="false" outlineLevel="0" max="8" min="8" style="0" width="10"/>
    <col collapsed="false" customWidth="true" hidden="false" outlineLevel="0" max="9" min="9" style="0" width="9"/>
  </cols>
  <sheetData>
    <row r="1" customFormat="false" ht="15" hidden="false" customHeight="false" outlineLevel="0" collapsed="false">
      <c r="A1" s="5" t="s">
        <v>66</v>
      </c>
      <c r="B1" s="5" t="s">
        <v>1068</v>
      </c>
      <c r="C1" s="5" t="s">
        <v>1069</v>
      </c>
      <c r="D1" s="5" t="s">
        <v>1070</v>
      </c>
      <c r="E1" s="5" t="s">
        <v>76</v>
      </c>
      <c r="F1" s="5" t="s">
        <v>77</v>
      </c>
      <c r="G1" s="5" t="s">
        <v>1071</v>
      </c>
      <c r="H1" s="5" t="s">
        <v>1072</v>
      </c>
      <c r="I1" s="5" t="s">
        <v>1073</v>
      </c>
    </row>
    <row r="2" customFormat="false" ht="15" hidden="false" customHeight="false" outlineLevel="0" collapsed="false">
      <c r="A2" s="50" t="n">
        <f aca="false">'Project Plan'!A5</f>
        <v>1</v>
      </c>
      <c r="B2" s="50" t="str">
        <f aca="false">'Project Plan'!E5</f>
        <v>Programme management and governance</v>
      </c>
      <c r="C2" s="50" t="n">
        <f aca="false">'Project Plan'!C5</f>
        <v>1</v>
      </c>
      <c r="D2" s="50" t="str">
        <f aca="false">'Project Plan'!J5&amp;"d"</f>
        <v>440d</v>
      </c>
      <c r="E2" s="54" t="n">
        <f aca="false">'Project Plan'!K5</f>
        <v>46328</v>
      </c>
      <c r="F2" s="54" t="n">
        <f aca="false">'Project Plan'!L5</f>
        <v>46941</v>
      </c>
      <c r="G2" s="50" t="str">
        <f aca="false">'Project Plan'!M5&amp;""</f>
        <v/>
      </c>
      <c r="H2" s="50" t="str">
        <f aca="false">'Project Plan'!H5&amp;""</f>
        <v/>
      </c>
      <c r="I2" s="50" t="str">
        <f aca="false">IF('Project Plan'!C5=3,ROUND('Project Plan'!Z5*Assumptions!$C$6,0)&amp;"h","")</f>
        <v/>
      </c>
    </row>
    <row r="3" customFormat="false" ht="15" hidden="false" customHeight="false" outlineLevel="0" collapsed="false">
      <c r="A3" s="50" t="n">
        <f aca="false">'Project Plan'!A6</f>
        <v>2</v>
      </c>
      <c r="B3" s="50" t="str">
        <f aca="false">'Project Plan'!E6</f>
        <v>Project governance and PMO</v>
      </c>
      <c r="C3" s="50" t="n">
        <f aca="false">'Project Plan'!C6</f>
        <v>2</v>
      </c>
      <c r="D3" s="50" t="str">
        <f aca="false">'Project Plan'!J6&amp;"d"</f>
        <v>440d</v>
      </c>
      <c r="E3" s="54" t="n">
        <f aca="false">'Project Plan'!K6</f>
        <v>46328</v>
      </c>
      <c r="F3" s="54" t="n">
        <f aca="false">'Project Plan'!L6</f>
        <v>46941</v>
      </c>
      <c r="G3" s="50" t="str">
        <f aca="false">'Project Plan'!M6&amp;""</f>
        <v/>
      </c>
      <c r="H3" s="50" t="str">
        <f aca="false">'Project Plan'!H6&amp;""</f>
        <v/>
      </c>
      <c r="I3" s="50" t="str">
        <f aca="false">IF('Project Plan'!C6=3,ROUND('Project Plan'!Z6*Assumptions!$C$6,0)&amp;"h","")</f>
        <v/>
      </c>
    </row>
    <row r="4" customFormat="false" ht="15" hidden="false" customHeight="false" outlineLevel="0" collapsed="false">
      <c r="A4" s="50" t="n">
        <f aca="false">'Project Plan'!A7</f>
        <v>3</v>
      </c>
      <c r="B4" s="50" t="str">
        <f aca="false">'Project Plan'!E7</f>
        <v>PMO, planning, status reporting and steering committee: Phase 1</v>
      </c>
      <c r="C4" s="50" t="n">
        <f aca="false">'Project Plan'!C7</f>
        <v>3</v>
      </c>
      <c r="D4" s="50" t="str">
        <f aca="false">'Project Plan'!J7&amp;"d"</f>
        <v>140d</v>
      </c>
      <c r="E4" s="54" t="n">
        <f aca="false">'Project Plan'!K7</f>
        <v>46328</v>
      </c>
      <c r="F4" s="54" t="n">
        <f aca="false">'Project Plan'!L7</f>
        <v>46521</v>
      </c>
      <c r="G4" s="50" t="str">
        <f aca="false">'Project Plan'!M7&amp;""</f>
        <v/>
      </c>
      <c r="H4" s="50" t="str">
        <f aca="false">'Project Plan'!H7&amp;""</f>
        <v>PM</v>
      </c>
      <c r="I4" s="50" t="str">
        <f aca="false">IF('Project Plan'!C7=3,ROUND('Project Plan'!Z7*Assumptions!$C$6,0)&amp;"h","")</f>
        <v>773h</v>
      </c>
    </row>
    <row r="5" customFormat="false" ht="15" hidden="false" customHeight="false" outlineLevel="0" collapsed="false">
      <c r="A5" s="50" t="n">
        <f aca="false">'Project Plan'!A8</f>
        <v>4</v>
      </c>
      <c r="B5" s="50" t="str">
        <f aca="false">'Project Plan'!E8</f>
        <v>PMO, planning, status reporting and steering committee: Phase 2</v>
      </c>
      <c r="C5" s="50" t="n">
        <f aca="false">'Project Plan'!C8</f>
        <v>3</v>
      </c>
      <c r="D5" s="50" t="str">
        <f aca="false">'Project Plan'!J8&amp;"d"</f>
        <v>141d</v>
      </c>
      <c r="E5" s="54" t="n">
        <f aca="false">'Project Plan'!K8</f>
        <v>46450</v>
      </c>
      <c r="F5" s="54" t="n">
        <f aca="false">'Project Plan'!L8</f>
        <v>46646</v>
      </c>
      <c r="G5" s="50" t="str">
        <f aca="false">'Project Plan'!M8&amp;""</f>
        <v/>
      </c>
      <c r="H5" s="50" t="str">
        <f aca="false">'Project Plan'!H8&amp;""</f>
        <v>PM</v>
      </c>
      <c r="I5" s="50" t="str">
        <f aca="false">IF('Project Plan'!C8=3,ROUND('Project Plan'!Z8*Assumptions!$C$6,0)&amp;"h","")</f>
        <v>782h</v>
      </c>
    </row>
    <row r="6" customFormat="false" ht="15" hidden="false" customHeight="false" outlineLevel="0" collapsed="false">
      <c r="A6" s="50" t="n">
        <f aca="false">'Project Plan'!A9</f>
        <v>5</v>
      </c>
      <c r="B6" s="50" t="str">
        <f aca="false">'Project Plan'!E9</f>
        <v>PMO, planning, status reporting and steering committee: Phase 3</v>
      </c>
      <c r="C6" s="50" t="n">
        <f aca="false">'Project Plan'!C9</f>
        <v>3</v>
      </c>
      <c r="D6" s="50" t="str">
        <f aca="false">'Project Plan'!J9&amp;"d"</f>
        <v>141d</v>
      </c>
      <c r="E6" s="54" t="n">
        <f aca="false">'Project Plan'!K9</f>
        <v>46574</v>
      </c>
      <c r="F6" s="54" t="n">
        <f aca="false">'Project Plan'!L9</f>
        <v>46770</v>
      </c>
      <c r="G6" s="50" t="str">
        <f aca="false">'Project Plan'!M9&amp;""</f>
        <v/>
      </c>
      <c r="H6" s="50" t="str">
        <f aca="false">'Project Plan'!H9&amp;""</f>
        <v>PM</v>
      </c>
      <c r="I6" s="50" t="str">
        <f aca="false">IF('Project Plan'!C9=3,ROUND('Project Plan'!Z9*Assumptions!$C$6,0)&amp;"h","")</f>
        <v>782h</v>
      </c>
    </row>
    <row r="7" customFormat="false" ht="15" hidden="false" customHeight="false" outlineLevel="0" collapsed="false">
      <c r="A7" s="50" t="n">
        <f aca="false">'Project Plan'!A10</f>
        <v>6</v>
      </c>
      <c r="B7" s="50" t="str">
        <f aca="false">'Project Plan'!E10</f>
        <v>PMO, planning, status reporting and steering committee: Phase 4</v>
      </c>
      <c r="C7" s="50" t="n">
        <f aca="false">'Project Plan'!C10</f>
        <v>3</v>
      </c>
      <c r="D7" s="50" t="str">
        <f aca="false">'Project Plan'!J10&amp;"d"</f>
        <v>141d</v>
      </c>
      <c r="E7" s="54" t="n">
        <f aca="false">'Project Plan'!K10</f>
        <v>46696</v>
      </c>
      <c r="F7" s="54" t="n">
        <f aca="false">'Project Plan'!L10</f>
        <v>46892</v>
      </c>
      <c r="G7" s="50" t="str">
        <f aca="false">'Project Plan'!M10&amp;""</f>
        <v/>
      </c>
      <c r="H7" s="50" t="str">
        <f aca="false">'Project Plan'!H10&amp;""</f>
        <v>PM</v>
      </c>
      <c r="I7" s="50" t="str">
        <f aca="false">IF('Project Plan'!C10=3,ROUND('Project Plan'!Z10*Assumptions!$C$6,0)&amp;"h","")</f>
        <v>782h</v>
      </c>
    </row>
    <row r="8" customFormat="false" ht="15" hidden="false" customHeight="false" outlineLevel="0" collapsed="false">
      <c r="A8" s="50" t="n">
        <f aca="false">'Project Plan'!A11</f>
        <v>7</v>
      </c>
      <c r="B8" s="50" t="str">
        <f aca="false">'Project Plan'!E11</f>
        <v>Final stabilisation, knowledge transfer and handover</v>
      </c>
      <c r="C8" s="50" t="n">
        <f aca="false">'Project Plan'!C11</f>
        <v>3</v>
      </c>
      <c r="D8" s="50" t="str">
        <f aca="false">'Project Plan'!J11&amp;"d"</f>
        <v>40d</v>
      </c>
      <c r="E8" s="54" t="n">
        <f aca="false">'Project Plan'!K11</f>
        <v>46888</v>
      </c>
      <c r="F8" s="54" t="n">
        <f aca="false">'Project Plan'!L11</f>
        <v>46941</v>
      </c>
      <c r="G8" s="50" t="str">
        <f aca="false">'Project Plan'!M11&amp;""</f>
        <v/>
      </c>
      <c r="H8" s="50" t="str">
        <f aca="false">'Project Plan'!H11&amp;""</f>
        <v>PM</v>
      </c>
      <c r="I8" s="50" t="str">
        <f aca="false">IF('Project Plan'!C11=3,ROUND('Project Plan'!Z11*Assumptions!$C$6,0)&amp;"h","")</f>
        <v>1012h</v>
      </c>
    </row>
    <row r="9" customFormat="false" ht="15" hidden="false" customHeight="false" outlineLevel="0" collapsed="false">
      <c r="A9" s="50" t="n">
        <f aca="false">'Project Plan'!A12</f>
        <v>8</v>
      </c>
      <c r="B9" s="50" t="str">
        <f aca="false">'Project Plan'!E12</f>
        <v>Change control and quality</v>
      </c>
      <c r="C9" s="50" t="n">
        <f aca="false">'Project Plan'!C12</f>
        <v>2</v>
      </c>
      <c r="D9" s="50" t="str">
        <f aca="false">'Project Plan'!J12&amp;"d"</f>
        <v>400d</v>
      </c>
      <c r="E9" s="54" t="n">
        <f aca="false">'Project Plan'!K12</f>
        <v>46356</v>
      </c>
      <c r="F9" s="54" t="n">
        <f aca="false">'Project Plan'!L12</f>
        <v>46913</v>
      </c>
      <c r="G9" s="50" t="str">
        <f aca="false">'Project Plan'!M12&amp;""</f>
        <v/>
      </c>
      <c r="H9" s="50" t="str">
        <f aca="false">'Project Plan'!H12&amp;""</f>
        <v/>
      </c>
      <c r="I9" s="50" t="str">
        <f aca="false">IF('Project Plan'!C12=3,ROUND('Project Plan'!Z12*Assumptions!$C$6,0)&amp;"h","")</f>
        <v/>
      </c>
    </row>
    <row r="10" customFormat="false" ht="15" hidden="false" customHeight="false" outlineLevel="0" collapsed="false">
      <c r="A10" s="50" t="n">
        <f aca="false">'Project Plan'!A13</f>
        <v>9</v>
      </c>
      <c r="B10" s="50" t="str">
        <f aca="false">'Project Plan'!E13</f>
        <v>Change request process and impact assessments (whole programme)</v>
      </c>
      <c r="C10" s="50" t="n">
        <f aca="false">'Project Plan'!C13</f>
        <v>3</v>
      </c>
      <c r="D10" s="50" t="str">
        <f aca="false">'Project Plan'!J13&amp;"d"</f>
        <v>400d</v>
      </c>
      <c r="E10" s="54" t="n">
        <f aca="false">'Project Plan'!K13</f>
        <v>46356</v>
      </c>
      <c r="F10" s="54" t="n">
        <f aca="false">'Project Plan'!L13</f>
        <v>46913</v>
      </c>
      <c r="G10" s="50" t="str">
        <f aca="false">'Project Plan'!M13&amp;""</f>
        <v/>
      </c>
      <c r="H10" s="50" t="str">
        <f aca="false">'Project Plan'!H13&amp;""</f>
        <v>PM</v>
      </c>
      <c r="I10" s="50" t="str">
        <f aca="false">IF('Project Plan'!C13=3,ROUND('Project Plan'!Z13*Assumptions!$C$6,0)&amp;"h","")</f>
        <v>460h</v>
      </c>
    </row>
    <row r="11" customFormat="false" ht="15" hidden="false" customHeight="false" outlineLevel="0" collapsed="false">
      <c r="A11" s="50" t="n">
        <f aca="false">'Project Plan'!A14</f>
        <v>10</v>
      </c>
      <c r="B11" s="50" t="str">
        <f aca="false">'Project Plan'!E14</f>
        <v>Quality audits and phase-gate reviews (4 gates)</v>
      </c>
      <c r="C11" s="50" t="n">
        <f aca="false">'Project Plan'!C14</f>
        <v>3</v>
      </c>
      <c r="D11" s="50" t="str">
        <f aca="false">'Project Plan'!J14&amp;"d"</f>
        <v>300d</v>
      </c>
      <c r="E11" s="54" t="n">
        <f aca="false">'Project Plan'!K14</f>
        <v>46468</v>
      </c>
      <c r="F11" s="54" t="n">
        <f aca="false">'Project Plan'!L14</f>
        <v>46885</v>
      </c>
      <c r="G11" s="50" t="str">
        <f aca="false">'Project Plan'!M14&amp;""</f>
        <v/>
      </c>
      <c r="H11" s="50" t="str">
        <f aca="false">'Project Plan'!H14&amp;""</f>
        <v>PM</v>
      </c>
      <c r="I11" s="50" t="str">
        <f aca="false">IF('Project Plan'!C14=3,ROUND('Project Plan'!Z14*Assumptions!$C$6,0)&amp;"h","")</f>
        <v>258h</v>
      </c>
    </row>
    <row r="12" customFormat="false" ht="15" hidden="false" customHeight="false" outlineLevel="0" collapsed="false">
      <c r="A12" s="50" t="n">
        <f aca="false">'Project Plan'!A15</f>
        <v>11</v>
      </c>
      <c r="B12" s="50" t="str">
        <f aca="false">'Project Plan'!E15</f>
        <v>Phase 0: Inception and mobilisation</v>
      </c>
      <c r="C12" s="50" t="n">
        <f aca="false">'Project Plan'!C15</f>
        <v>1</v>
      </c>
      <c r="D12" s="50" t="str">
        <f aca="false">'Project Plan'!J15&amp;"d"</f>
        <v>26d</v>
      </c>
      <c r="E12" s="54" t="n">
        <f aca="false">'Project Plan'!K15</f>
        <v>46328</v>
      </c>
      <c r="F12" s="54" t="n">
        <f aca="false">'Project Plan'!L15</f>
        <v>46363</v>
      </c>
      <c r="G12" s="50" t="str">
        <f aca="false">'Project Plan'!M15&amp;""</f>
        <v/>
      </c>
      <c r="H12" s="50" t="str">
        <f aca="false">'Project Plan'!H15&amp;""</f>
        <v/>
      </c>
      <c r="I12" s="50" t="str">
        <f aca="false">IF('Project Plan'!C15=3,ROUND('Project Plan'!Z15*Assumptions!$C$6,0)&amp;"h","")</f>
        <v/>
      </c>
    </row>
    <row r="13" customFormat="false" ht="15" hidden="false" customHeight="false" outlineLevel="0" collapsed="false">
      <c r="A13" s="50" t="n">
        <f aca="false">'Project Plan'!A16</f>
        <v>12</v>
      </c>
      <c r="B13" s="50" t="str">
        <f aca="false">'Project Plan'!E16</f>
        <v>Mobilisation</v>
      </c>
      <c r="C13" s="50" t="n">
        <f aca="false">'Project Plan'!C16</f>
        <v>2</v>
      </c>
      <c r="D13" s="50" t="str">
        <f aca="false">'Project Plan'!J16&amp;"d"</f>
        <v>25d</v>
      </c>
      <c r="E13" s="54" t="n">
        <f aca="false">'Project Plan'!K16</f>
        <v>46328</v>
      </c>
      <c r="F13" s="54" t="n">
        <f aca="false">'Project Plan'!L16</f>
        <v>46360</v>
      </c>
      <c r="G13" s="50" t="str">
        <f aca="false">'Project Plan'!M16&amp;""</f>
        <v/>
      </c>
      <c r="H13" s="50" t="str">
        <f aca="false">'Project Plan'!H16&amp;""</f>
        <v/>
      </c>
      <c r="I13" s="50" t="str">
        <f aca="false">IF('Project Plan'!C16=3,ROUND('Project Plan'!Z16*Assumptions!$C$6,0)&amp;"h","")</f>
        <v/>
      </c>
    </row>
    <row r="14" customFormat="false" ht="15" hidden="false" customHeight="false" outlineLevel="0" collapsed="false">
      <c r="A14" s="50" t="n">
        <f aca="false">'Project Plan'!A17</f>
        <v>13</v>
      </c>
      <c r="B14" s="50" t="str">
        <f aca="false">'Project Plan'!E17</f>
        <v>Kick-off with GWMC and team onboarding</v>
      </c>
      <c r="C14" s="50" t="n">
        <f aca="false">'Project Plan'!C17</f>
        <v>3</v>
      </c>
      <c r="D14" s="50" t="str">
        <f aca="false">'Project Plan'!J17&amp;"d"</f>
        <v>5d</v>
      </c>
      <c r="E14" s="54" t="n">
        <f aca="false">'Project Plan'!K17</f>
        <v>46328</v>
      </c>
      <c r="F14" s="54" t="n">
        <f aca="false">'Project Plan'!L17</f>
        <v>46332</v>
      </c>
      <c r="G14" s="50" t="str">
        <f aca="false">'Project Plan'!M17&amp;""</f>
        <v/>
      </c>
      <c r="H14" s="50" t="str">
        <f aca="false">'Project Plan'!H17&amp;""</f>
        <v>PM</v>
      </c>
      <c r="I14" s="50" t="str">
        <f aca="false">IF('Project Plan'!C17=3,ROUND('Project Plan'!Z17*Assumptions!$C$6,0)&amp;"h","")</f>
        <v>120h</v>
      </c>
    </row>
    <row r="15" customFormat="false" ht="15" hidden="false" customHeight="false" outlineLevel="0" collapsed="false">
      <c r="A15" s="50" t="n">
        <f aca="false">'Project Plan'!A18</f>
        <v>14</v>
      </c>
      <c r="B15" s="50" t="str">
        <f aca="false">'Project Plan'!E18</f>
        <v>Tooling: repositories, CI/CD, tracker, Teams workspace</v>
      </c>
      <c r="C15" s="50" t="n">
        <f aca="false">'Project Plan'!C18</f>
        <v>3</v>
      </c>
      <c r="D15" s="50" t="str">
        <f aca="false">'Project Plan'!J18&amp;"d"</f>
        <v>10d</v>
      </c>
      <c r="E15" s="54" t="n">
        <f aca="false">'Project Plan'!K18</f>
        <v>46328</v>
      </c>
      <c r="F15" s="54" t="n">
        <f aca="false">'Project Plan'!L18</f>
        <v>46339</v>
      </c>
      <c r="G15" s="50" t="str">
        <f aca="false">'Project Plan'!M18&amp;""</f>
        <v/>
      </c>
      <c r="H15" s="50" t="str">
        <f aca="false">'Project Plan'!H18&amp;""</f>
        <v>DEV</v>
      </c>
      <c r="I15" s="50" t="str">
        <f aca="false">IF('Project Plan'!C18=3,ROUND('Project Plan'!Z18*Assumptions!$C$6,0)&amp;"h","")</f>
        <v>138h</v>
      </c>
    </row>
    <row r="16" customFormat="false" ht="15" hidden="false" customHeight="false" outlineLevel="0" collapsed="false">
      <c r="A16" s="50" t="n">
        <f aca="false">'Project Plan'!A19</f>
        <v>15</v>
      </c>
      <c r="B16" s="50" t="str">
        <f aca="false">'Project Plan'!E19</f>
        <v>Dev and test environments provisioned</v>
      </c>
      <c r="C16" s="50" t="n">
        <f aca="false">'Project Plan'!C19</f>
        <v>3</v>
      </c>
      <c r="D16" s="50" t="str">
        <f aca="false">'Project Plan'!J19&amp;"d"</f>
        <v>15d</v>
      </c>
      <c r="E16" s="54" t="n">
        <f aca="false">'Project Plan'!K19</f>
        <v>46331</v>
      </c>
      <c r="F16" s="54" t="n">
        <f aca="false">'Project Plan'!L19</f>
        <v>46351</v>
      </c>
      <c r="G16" s="50" t="str">
        <f aca="false">'Project Plan'!M19&amp;""</f>
        <v/>
      </c>
      <c r="H16" s="50" t="str">
        <f aca="false">'Project Plan'!H19&amp;""</f>
        <v>DEV</v>
      </c>
      <c r="I16" s="50" t="str">
        <f aca="false">IF('Project Plan'!C19=3,ROUND('Project Plan'!Z19*Assumptions!$C$6,0)&amp;"h","")</f>
        <v>166h</v>
      </c>
    </row>
    <row r="17" customFormat="false" ht="15" hidden="false" customHeight="false" outlineLevel="0" collapsed="false">
      <c r="A17" s="50" t="n">
        <f aca="false">'Project Plan'!A20</f>
        <v>16</v>
      </c>
      <c r="B17" s="50" t="str">
        <f aca="false">'Project Plan'!E20</f>
        <v>State Data Centre slot request and network approvals</v>
      </c>
      <c r="C17" s="50" t="n">
        <f aca="false">'Project Plan'!C20</f>
        <v>3</v>
      </c>
      <c r="D17" s="50" t="str">
        <f aca="false">'Project Plan'!J20&amp;"d"</f>
        <v>25d</v>
      </c>
      <c r="E17" s="54" t="n">
        <f aca="false">'Project Plan'!K20</f>
        <v>46328</v>
      </c>
      <c r="F17" s="54" t="n">
        <f aca="false">'Project Plan'!L20</f>
        <v>46360</v>
      </c>
      <c r="G17" s="50" t="str">
        <f aca="false">'Project Plan'!M20&amp;""</f>
        <v/>
      </c>
      <c r="H17" s="50" t="str">
        <f aca="false">'Project Plan'!H20&amp;""</f>
        <v>PM</v>
      </c>
      <c r="I17" s="50" t="str">
        <f aca="false">IF('Project Plan'!C20=3,ROUND('Project Plan'!Z20*Assumptions!$C$6,0)&amp;"h","")</f>
        <v>110h</v>
      </c>
    </row>
    <row r="18" customFormat="false" ht="15" hidden="false" customHeight="false" outlineLevel="0" collapsed="false">
      <c r="A18" s="50" t="n">
        <f aca="false">'Project Plan'!A21</f>
        <v>17</v>
      </c>
      <c r="B18" s="50" t="str">
        <f aca="false">'Project Plan'!E21</f>
        <v>Requirements and design baseline</v>
      </c>
      <c r="C18" s="50" t="n">
        <f aca="false">'Project Plan'!C21</f>
        <v>2</v>
      </c>
      <c r="D18" s="50" t="str">
        <f aca="false">'Project Plan'!J21&amp;"d"</f>
        <v>20d</v>
      </c>
      <c r="E18" s="54" t="n">
        <f aca="false">'Project Plan'!K21</f>
        <v>46335</v>
      </c>
      <c r="F18" s="54" t="n">
        <f aca="false">'Project Plan'!L21</f>
        <v>46360</v>
      </c>
      <c r="G18" s="50" t="str">
        <f aca="false">'Project Plan'!M21&amp;""</f>
        <v/>
      </c>
      <c r="H18" s="50" t="str">
        <f aca="false">'Project Plan'!H21&amp;""</f>
        <v/>
      </c>
      <c r="I18" s="50" t="str">
        <f aca="false">IF('Project Plan'!C21=3,ROUND('Project Plan'!Z21*Assumptions!$C$6,0)&amp;"h","")</f>
        <v/>
      </c>
    </row>
    <row r="19" customFormat="false" ht="15" hidden="false" customHeight="false" outlineLevel="0" collapsed="false">
      <c r="A19" s="50" t="n">
        <f aca="false">'Project Plan'!A22</f>
        <v>18</v>
      </c>
      <c r="B19" s="50" t="str">
        <f aca="false">'Project Plan'!E22</f>
        <v>SRS walkthroughs with GWMC departments (Phase 1 modules)</v>
      </c>
      <c r="C19" s="50" t="n">
        <f aca="false">'Project Plan'!C22</f>
        <v>3</v>
      </c>
      <c r="D19" s="50" t="str">
        <f aca="false">'Project Plan'!J22&amp;"d"</f>
        <v>15d</v>
      </c>
      <c r="E19" s="54" t="n">
        <f aca="false">'Project Plan'!K22</f>
        <v>46335</v>
      </c>
      <c r="F19" s="54" t="n">
        <f aca="false">'Project Plan'!L22</f>
        <v>46353</v>
      </c>
      <c r="G19" s="50" t="str">
        <f aca="false">'Project Plan'!M22&amp;""</f>
        <v>13</v>
      </c>
      <c r="H19" s="50" t="str">
        <f aca="false">'Project Plan'!H22&amp;""</f>
        <v>BA</v>
      </c>
      <c r="I19" s="50" t="str">
        <f aca="false">IF('Project Plan'!C22=3,ROUND('Project Plan'!Z22*Assumptions!$C$6,0)&amp;"h","")</f>
        <v>313h</v>
      </c>
    </row>
    <row r="20" customFormat="false" ht="15" hidden="false" customHeight="false" outlineLevel="0" collapsed="false">
      <c r="A20" s="50" t="n">
        <f aca="false">'Project Plan'!A23</f>
        <v>19</v>
      </c>
      <c r="B20" s="50" t="str">
        <f aca="false">'Project Plan'!E23</f>
        <v>GWMC Deployment SRS open items closed for Phase 1</v>
      </c>
      <c r="C20" s="50" t="n">
        <f aca="false">'Project Plan'!C23</f>
        <v>3</v>
      </c>
      <c r="D20" s="50" t="str">
        <f aca="false">'Project Plan'!J23&amp;"d"</f>
        <v>15d</v>
      </c>
      <c r="E20" s="54" t="n">
        <f aca="false">'Project Plan'!K23</f>
        <v>46342</v>
      </c>
      <c r="F20" s="54" t="n">
        <f aca="false">'Project Plan'!L23</f>
        <v>46360</v>
      </c>
      <c r="G20" s="50" t="str">
        <f aca="false">'Project Plan'!M23&amp;""</f>
        <v/>
      </c>
      <c r="H20" s="50" t="str">
        <f aca="false">'Project Plan'!H23&amp;""</f>
        <v>BA</v>
      </c>
      <c r="I20" s="50" t="str">
        <f aca="false">IF('Project Plan'!C23=3,ROUND('Project Plan'!Z23*Assumptions!$C$6,0)&amp;"h","")</f>
        <v>138h</v>
      </c>
    </row>
    <row r="21" customFormat="false" ht="15" hidden="false" customHeight="false" outlineLevel="0" collapsed="false">
      <c r="A21" s="50" t="n">
        <f aca="false">'Project Plan'!A24</f>
        <v>20</v>
      </c>
      <c r="B21" s="50" t="str">
        <f aca="false">'Project Plan'!E24</f>
        <v>Architecture decisions (ADR-001 to 016) reviewed and signed off</v>
      </c>
      <c r="C21" s="50" t="n">
        <f aca="false">'Project Plan'!C24</f>
        <v>3</v>
      </c>
      <c r="D21" s="50" t="str">
        <f aca="false">'Project Plan'!J24&amp;"d"</f>
        <v>15d</v>
      </c>
      <c r="E21" s="54" t="n">
        <f aca="false">'Project Plan'!K24</f>
        <v>46335</v>
      </c>
      <c r="F21" s="54" t="n">
        <f aca="false">'Project Plan'!L24</f>
        <v>46353</v>
      </c>
      <c r="G21" s="50" t="str">
        <f aca="false">'Project Plan'!M24&amp;""</f>
        <v/>
      </c>
      <c r="H21" s="50" t="str">
        <f aca="false">'Project Plan'!H24&amp;""</f>
        <v>ARC</v>
      </c>
      <c r="I21" s="50" t="str">
        <f aca="false">IF('Project Plan'!C24=3,ROUND('Project Plan'!Z24*Assumptions!$C$6,0)&amp;"h","")</f>
        <v>166h</v>
      </c>
    </row>
    <row r="22" customFormat="false" ht="15" hidden="false" customHeight="false" outlineLevel="0" collapsed="false">
      <c r="A22" s="50" t="n">
        <f aca="false">'Project Plan'!A25</f>
        <v>21</v>
      </c>
      <c r="B22" s="50" t="str">
        <f aca="false">'Project Plan'!E25</f>
        <v>UX research, design system and accessibility baseline</v>
      </c>
      <c r="C22" s="50" t="n">
        <f aca="false">'Project Plan'!C25</f>
        <v>3</v>
      </c>
      <c r="D22" s="50" t="str">
        <f aca="false">'Project Plan'!J25&amp;"d"</f>
        <v>20d</v>
      </c>
      <c r="E22" s="54" t="n">
        <f aca="false">'Project Plan'!K25</f>
        <v>46335</v>
      </c>
      <c r="F22" s="54" t="n">
        <f aca="false">'Project Plan'!L25</f>
        <v>46360</v>
      </c>
      <c r="G22" s="50" t="str">
        <f aca="false">'Project Plan'!M25&amp;""</f>
        <v/>
      </c>
      <c r="H22" s="50" t="str">
        <f aca="false">'Project Plan'!H25&amp;""</f>
        <v>FE</v>
      </c>
      <c r="I22" s="50" t="str">
        <f aca="false">IF('Project Plan'!C25=3,ROUND('Project Plan'!Z25*Assumptions!$C$6,0)&amp;"h","")</f>
        <v>175h</v>
      </c>
    </row>
    <row r="23" customFormat="false" ht="15" hidden="false" customHeight="false" outlineLevel="0" collapsed="false">
      <c r="A23" s="50" t="n">
        <f aca="false">'Project Plan'!A26</f>
        <v>22</v>
      </c>
      <c r="B23" s="50" t="str">
        <f aca="false">'Project Plan'!E26</f>
        <v>Data migration strategy and legacy data assessment</v>
      </c>
      <c r="C23" s="50" t="n">
        <f aca="false">'Project Plan'!C26</f>
        <v>3</v>
      </c>
      <c r="D23" s="50" t="str">
        <f aca="false">'Project Plan'!J26&amp;"d"</f>
        <v>15d</v>
      </c>
      <c r="E23" s="54" t="n">
        <f aca="false">'Project Plan'!K26</f>
        <v>46342</v>
      </c>
      <c r="F23" s="54" t="n">
        <f aca="false">'Project Plan'!L26</f>
        <v>46360</v>
      </c>
      <c r="G23" s="50" t="str">
        <f aca="false">'Project Plan'!M26&amp;""</f>
        <v/>
      </c>
      <c r="H23" s="50" t="str">
        <f aca="false">'Project Plan'!H26&amp;""</f>
        <v>DATA</v>
      </c>
      <c r="I23" s="50" t="str">
        <f aca="false">IF('Project Plan'!C26=3,ROUND('Project Plan'!Z26*Assumptions!$C$6,0)&amp;"h","")</f>
        <v>147h</v>
      </c>
    </row>
    <row r="24" customFormat="false" ht="15" hidden="false" customHeight="false" outlineLevel="0" collapsed="false">
      <c r="A24" s="50" t="n">
        <f aca="false">'Project Plan'!A27</f>
        <v>23</v>
      </c>
      <c r="B24" s="50" t="str">
        <f aca="false">'Project Plan'!E27</f>
        <v>M0: Inception complete, Phase 1 build starts</v>
      </c>
      <c r="C24" s="50" t="n">
        <f aca="false">'Project Plan'!C27</f>
        <v>2</v>
      </c>
      <c r="D24" s="50" t="str">
        <f aca="false">'Project Plan'!J27&amp;"d"</f>
        <v>0d</v>
      </c>
      <c r="E24" s="54" t="n">
        <f aca="false">'Project Plan'!K27</f>
        <v>46363</v>
      </c>
      <c r="F24" s="54" t="n">
        <f aca="false">'Project Plan'!L27</f>
        <v>46363</v>
      </c>
      <c r="G24" s="50" t="str">
        <f aca="false">'Project Plan'!M27&amp;""</f>
        <v>18,20</v>
      </c>
      <c r="H24" s="50" t="str">
        <f aca="false">'Project Plan'!H27&amp;""</f>
        <v/>
      </c>
      <c r="I24" s="50" t="str">
        <f aca="false">IF('Project Plan'!C27=3,ROUND('Project Plan'!Z27*Assumptions!$C$6,0)&amp;"h","")</f>
        <v/>
      </c>
    </row>
    <row r="25" customFormat="false" ht="15" hidden="false" customHeight="false" outlineLevel="0" collapsed="false">
      <c r="A25" s="50" t="n">
        <f aca="false">'Project Plan'!A28</f>
        <v>24</v>
      </c>
      <c r="B25" s="50" t="str">
        <f aca="false">'Project Plan'!E28</f>
        <v>Platform foundation (built in Phase 1)</v>
      </c>
      <c r="C25" s="50" t="n">
        <f aca="false">'Project Plan'!C28</f>
        <v>1</v>
      </c>
      <c r="D25" s="50" t="str">
        <f aca="false">'Project Plan'!J28&amp;"d"</f>
        <v>84d</v>
      </c>
      <c r="E25" s="54" t="n">
        <f aca="false">'Project Plan'!K28</f>
        <v>46342</v>
      </c>
      <c r="F25" s="54" t="n">
        <f aca="false">'Project Plan'!L28</f>
        <v>46457</v>
      </c>
      <c r="G25" s="50" t="str">
        <f aca="false">'Project Plan'!M28&amp;""</f>
        <v/>
      </c>
      <c r="H25" s="50" t="str">
        <f aca="false">'Project Plan'!H28&amp;""</f>
        <v/>
      </c>
      <c r="I25" s="50" t="str">
        <f aca="false">IF('Project Plan'!C28=3,ROUND('Project Plan'!Z28*Assumptions!$C$6,0)&amp;"h","")</f>
        <v/>
      </c>
    </row>
    <row r="26" customFormat="false" ht="15" hidden="false" customHeight="false" outlineLevel="0" collapsed="false">
      <c r="A26" s="50" t="n">
        <f aca="false">'Project Plan'!A29</f>
        <v>25</v>
      </c>
      <c r="B26" s="50" t="str">
        <f aca="false">'Project Plan'!E29</f>
        <v>Identity, OTP, CAPTCHA and step-up (Keycloak)</v>
      </c>
      <c r="C26" s="50" t="n">
        <f aca="false">'Project Plan'!C29</f>
        <v>2</v>
      </c>
      <c r="D26" s="50" t="str">
        <f aca="false">'Project Plan'!J29&amp;"d"</f>
        <v>51d</v>
      </c>
      <c r="E26" s="54" t="n">
        <f aca="false">'Project Plan'!K29</f>
        <v>46342</v>
      </c>
      <c r="F26" s="54" t="n">
        <f aca="false">'Project Plan'!L29</f>
        <v>46412</v>
      </c>
      <c r="G26" s="50" t="str">
        <f aca="false">'Project Plan'!M29&amp;""</f>
        <v/>
      </c>
      <c r="H26" s="50" t="str">
        <f aca="false">'Project Plan'!H29&amp;""</f>
        <v/>
      </c>
      <c r="I26" s="50" t="str">
        <f aca="false">IF('Project Plan'!C29=3,ROUND('Project Plan'!Z29*Assumptions!$C$6,0)&amp;"h","")</f>
        <v/>
      </c>
    </row>
    <row r="27" customFormat="false" ht="15" hidden="false" customHeight="false" outlineLevel="0" collapsed="false">
      <c r="A27" s="50" t="n">
        <f aca="false">'Project Plan'!A30</f>
        <v>26</v>
      </c>
      <c r="B27" s="50" t="str">
        <f aca="false">'Project Plan'!E30</f>
        <v>Detailed design and contracts</v>
      </c>
      <c r="C27" s="50" t="n">
        <f aca="false">'Project Plan'!C30</f>
        <v>3</v>
      </c>
      <c r="D27" s="50" t="str">
        <f aca="false">'Project Plan'!J30&amp;"d"</f>
        <v>10d</v>
      </c>
      <c r="E27" s="54" t="n">
        <f aca="false">'Project Plan'!K30</f>
        <v>46342</v>
      </c>
      <c r="F27" s="54" t="n">
        <f aca="false">'Project Plan'!L30</f>
        <v>46353</v>
      </c>
      <c r="G27" s="50" t="str">
        <f aca="false">'Project Plan'!M30&amp;""</f>
        <v>20</v>
      </c>
      <c r="H27" s="50" t="str">
        <f aca="false">'Project Plan'!H30&amp;""</f>
        <v>ARC</v>
      </c>
      <c r="I27" s="50" t="str">
        <f aca="false">IF('Project Plan'!C30=3,ROUND('Project Plan'!Z30*Assumptions!$C$6,0)&amp;"h","")</f>
        <v>64h</v>
      </c>
    </row>
    <row r="28" customFormat="false" ht="15" hidden="false" customHeight="false" outlineLevel="0" collapsed="false">
      <c r="A28" s="50" t="n">
        <f aca="false">'Project Plan'!A31</f>
        <v>27</v>
      </c>
      <c r="B28" s="50" t="str">
        <f aca="false">'Project Plan'!E31</f>
        <v>Build and unit tests</v>
      </c>
      <c r="C28" s="50" t="n">
        <f aca="false">'Project Plan'!C31</f>
        <v>3</v>
      </c>
      <c r="D28" s="50" t="str">
        <f aca="false">'Project Plan'!J31&amp;"d"</f>
        <v>30d</v>
      </c>
      <c r="E28" s="54" t="n">
        <f aca="false">'Project Plan'!K31</f>
        <v>46356</v>
      </c>
      <c r="F28" s="54" t="n">
        <f aca="false">'Project Plan'!L31</f>
        <v>46395</v>
      </c>
      <c r="G28" s="50" t="str">
        <f aca="false">'Project Plan'!M31&amp;""</f>
        <v/>
      </c>
      <c r="H28" s="50" t="str">
        <f aca="false">'Project Plan'!H31&amp;""</f>
        <v>BE</v>
      </c>
      <c r="I28" s="50" t="str">
        <f aca="false">IF('Project Plan'!C31=3,ROUND('Project Plan'!Z31*Assumptions!$C$6,0)&amp;"h","")</f>
        <v>350h</v>
      </c>
    </row>
    <row r="29" customFormat="false" ht="15" hidden="false" customHeight="false" outlineLevel="0" collapsed="false">
      <c r="A29" s="50" t="n">
        <f aca="false">'Project Plan'!A32</f>
        <v>28</v>
      </c>
      <c r="B29" s="50" t="str">
        <f aca="false">'Project Plan'!E32</f>
        <v>Component, security and contract tests</v>
      </c>
      <c r="C29" s="50" t="n">
        <f aca="false">'Project Plan'!C32</f>
        <v>3</v>
      </c>
      <c r="D29" s="50" t="str">
        <f aca="false">'Project Plan'!J32&amp;"d"</f>
        <v>13d</v>
      </c>
      <c r="E29" s="54" t="n">
        <f aca="false">'Project Plan'!K32</f>
        <v>46394</v>
      </c>
      <c r="F29" s="54" t="n">
        <f aca="false">'Project Plan'!L32</f>
        <v>46412</v>
      </c>
      <c r="G29" s="50" t="str">
        <f aca="false">'Project Plan'!M32&amp;""</f>
        <v/>
      </c>
      <c r="H29" s="50" t="str">
        <f aca="false">'Project Plan'!H32&amp;""</f>
        <v>QA</v>
      </c>
      <c r="I29" s="50" t="str">
        <f aca="false">IF('Project Plan'!C32=3,ROUND('Project Plan'!Z32*Assumptions!$C$6,0)&amp;"h","")</f>
        <v>120h</v>
      </c>
    </row>
    <row r="30" customFormat="false" ht="15" hidden="false" customHeight="false" outlineLevel="0" collapsed="false">
      <c r="A30" s="50" t="n">
        <f aca="false">'Project Plan'!A33</f>
        <v>29</v>
      </c>
      <c r="B30" s="50" t="str">
        <f aca="false">'Project Plan'!E33</f>
        <v>Tenant, configuration console and Telangana state pack</v>
      </c>
      <c r="C30" s="50" t="n">
        <f aca="false">'Project Plan'!C33</f>
        <v>2</v>
      </c>
      <c r="D30" s="50" t="str">
        <f aca="false">'Project Plan'!J33&amp;"d"</f>
        <v>50d</v>
      </c>
      <c r="E30" s="54" t="n">
        <f aca="false">'Project Plan'!K33</f>
        <v>46350</v>
      </c>
      <c r="F30" s="54" t="n">
        <f aca="false">'Project Plan'!L33</f>
        <v>46419</v>
      </c>
      <c r="G30" s="50" t="str">
        <f aca="false">'Project Plan'!M33&amp;""</f>
        <v/>
      </c>
      <c r="H30" s="50" t="str">
        <f aca="false">'Project Plan'!H33&amp;""</f>
        <v/>
      </c>
      <c r="I30" s="50" t="str">
        <f aca="false">IF('Project Plan'!C33=3,ROUND('Project Plan'!Z33*Assumptions!$C$6,0)&amp;"h","")</f>
        <v/>
      </c>
    </row>
    <row r="31" customFormat="false" ht="15" hidden="false" customHeight="false" outlineLevel="0" collapsed="false">
      <c r="A31" s="50" t="n">
        <f aca="false">'Project Plan'!A34</f>
        <v>30</v>
      </c>
      <c r="B31" s="50" t="str">
        <f aca="false">'Project Plan'!E34</f>
        <v>Detailed design and contracts</v>
      </c>
      <c r="C31" s="50" t="n">
        <f aca="false">'Project Plan'!C34</f>
        <v>3</v>
      </c>
      <c r="D31" s="50" t="str">
        <f aca="false">'Project Plan'!J34&amp;"d"</f>
        <v>10d</v>
      </c>
      <c r="E31" s="54" t="n">
        <f aca="false">'Project Plan'!K34</f>
        <v>46350</v>
      </c>
      <c r="F31" s="54" t="n">
        <f aca="false">'Project Plan'!L34</f>
        <v>46363</v>
      </c>
      <c r="G31" s="50" t="str">
        <f aca="false">'Project Plan'!M34&amp;""</f>
        <v>20</v>
      </c>
      <c r="H31" s="50" t="str">
        <f aca="false">'Project Plan'!H34&amp;""</f>
        <v>ARC</v>
      </c>
      <c r="I31" s="50" t="str">
        <f aca="false">IF('Project Plan'!C34=3,ROUND('Project Plan'!Z34*Assumptions!$C$6,0)&amp;"h","")</f>
        <v>46h</v>
      </c>
    </row>
    <row r="32" customFormat="false" ht="15" hidden="false" customHeight="false" outlineLevel="0" collapsed="false">
      <c r="A32" s="50" t="n">
        <f aca="false">'Project Plan'!A35</f>
        <v>31</v>
      </c>
      <c r="B32" s="50" t="str">
        <f aca="false">'Project Plan'!E35</f>
        <v>Build and unit tests</v>
      </c>
      <c r="C32" s="50" t="n">
        <f aca="false">'Project Plan'!C35</f>
        <v>3</v>
      </c>
      <c r="D32" s="50" t="str">
        <f aca="false">'Project Plan'!J35&amp;"d"</f>
        <v>30d</v>
      </c>
      <c r="E32" s="54" t="n">
        <f aca="false">'Project Plan'!K35</f>
        <v>46364</v>
      </c>
      <c r="F32" s="54" t="n">
        <f aca="false">'Project Plan'!L35</f>
        <v>46405</v>
      </c>
      <c r="G32" s="50" t="str">
        <f aca="false">'Project Plan'!M35&amp;""</f>
        <v/>
      </c>
      <c r="H32" s="50" t="str">
        <f aca="false">'Project Plan'!H35&amp;""</f>
        <v>BE</v>
      </c>
      <c r="I32" s="50" t="str">
        <f aca="false">IF('Project Plan'!C35=3,ROUND('Project Plan'!Z35*Assumptions!$C$6,0)&amp;"h","")</f>
        <v>396h</v>
      </c>
    </row>
    <row r="33" customFormat="false" ht="15" hidden="false" customHeight="false" outlineLevel="0" collapsed="false">
      <c r="A33" s="50" t="n">
        <f aca="false">'Project Plan'!A36</f>
        <v>32</v>
      </c>
      <c r="B33" s="50" t="str">
        <f aca="false">'Project Plan'!E36</f>
        <v>Component, security and contract tests</v>
      </c>
      <c r="C33" s="50" t="n">
        <f aca="false">'Project Plan'!C36</f>
        <v>3</v>
      </c>
      <c r="D33" s="50" t="str">
        <f aca="false">'Project Plan'!J36&amp;"d"</f>
        <v>13d</v>
      </c>
      <c r="E33" s="54" t="n">
        <f aca="false">'Project Plan'!K36</f>
        <v>46401</v>
      </c>
      <c r="F33" s="54" t="n">
        <f aca="false">'Project Plan'!L36</f>
        <v>46419</v>
      </c>
      <c r="G33" s="50" t="str">
        <f aca="false">'Project Plan'!M36&amp;""</f>
        <v/>
      </c>
      <c r="H33" s="50" t="str">
        <f aca="false">'Project Plan'!H36&amp;""</f>
        <v>QA</v>
      </c>
      <c r="I33" s="50" t="str">
        <f aca="false">IF('Project Plan'!C36=3,ROUND('Project Plan'!Z36*Assumptions!$C$6,0)&amp;"h","")</f>
        <v>92h</v>
      </c>
    </row>
    <row r="34" customFormat="false" ht="15" hidden="false" customHeight="false" outlineLevel="0" collapsed="false">
      <c r="A34" s="50" t="n">
        <f aca="false">'Project Plan'!A37</f>
        <v>33</v>
      </c>
      <c r="B34" s="50" t="str">
        <f aca="false">'Project Plan'!E37</f>
        <v>Workflow and rules engine (Flowable BPMN and DMN)</v>
      </c>
      <c r="C34" s="50" t="n">
        <f aca="false">'Project Plan'!C37</f>
        <v>2</v>
      </c>
      <c r="D34" s="50" t="str">
        <f aca="false">'Project Plan'!J37&amp;"d"</f>
        <v>50d</v>
      </c>
      <c r="E34" s="54" t="n">
        <f aca="false">'Project Plan'!K37</f>
        <v>46350</v>
      </c>
      <c r="F34" s="54" t="n">
        <f aca="false">'Project Plan'!L37</f>
        <v>46419</v>
      </c>
      <c r="G34" s="50" t="str">
        <f aca="false">'Project Plan'!M37&amp;""</f>
        <v/>
      </c>
      <c r="H34" s="50" t="str">
        <f aca="false">'Project Plan'!H37&amp;""</f>
        <v/>
      </c>
      <c r="I34" s="50" t="str">
        <f aca="false">IF('Project Plan'!C37=3,ROUND('Project Plan'!Z37*Assumptions!$C$6,0)&amp;"h","")</f>
        <v/>
      </c>
    </row>
    <row r="35" customFormat="false" ht="15" hidden="false" customHeight="false" outlineLevel="0" collapsed="false">
      <c r="A35" s="50" t="n">
        <f aca="false">'Project Plan'!A38</f>
        <v>34</v>
      </c>
      <c r="B35" s="50" t="str">
        <f aca="false">'Project Plan'!E38</f>
        <v>Detailed design and contracts</v>
      </c>
      <c r="C35" s="50" t="n">
        <f aca="false">'Project Plan'!C38</f>
        <v>3</v>
      </c>
      <c r="D35" s="50" t="str">
        <f aca="false">'Project Plan'!J38&amp;"d"</f>
        <v>10d</v>
      </c>
      <c r="E35" s="54" t="n">
        <f aca="false">'Project Plan'!K38</f>
        <v>46350</v>
      </c>
      <c r="F35" s="54" t="n">
        <f aca="false">'Project Plan'!L38</f>
        <v>46363</v>
      </c>
      <c r="G35" s="50" t="str">
        <f aca="false">'Project Plan'!M38&amp;""</f>
        <v>20</v>
      </c>
      <c r="H35" s="50" t="str">
        <f aca="false">'Project Plan'!H38&amp;""</f>
        <v>ARC</v>
      </c>
      <c r="I35" s="50" t="str">
        <f aca="false">IF('Project Plan'!C38=3,ROUND('Project Plan'!Z38*Assumptions!$C$6,0)&amp;"h","")</f>
        <v>64h</v>
      </c>
    </row>
    <row r="36" customFormat="false" ht="15" hidden="false" customHeight="false" outlineLevel="0" collapsed="false">
      <c r="A36" s="50" t="n">
        <f aca="false">'Project Plan'!A39</f>
        <v>35</v>
      </c>
      <c r="B36" s="50" t="str">
        <f aca="false">'Project Plan'!E39</f>
        <v>Build and unit tests</v>
      </c>
      <c r="C36" s="50" t="n">
        <f aca="false">'Project Plan'!C39</f>
        <v>3</v>
      </c>
      <c r="D36" s="50" t="str">
        <f aca="false">'Project Plan'!J39&amp;"d"</f>
        <v>30d</v>
      </c>
      <c r="E36" s="54" t="n">
        <f aca="false">'Project Plan'!K39</f>
        <v>46364</v>
      </c>
      <c r="F36" s="54" t="n">
        <f aca="false">'Project Plan'!L39</f>
        <v>46405</v>
      </c>
      <c r="G36" s="50" t="str">
        <f aca="false">'Project Plan'!M39&amp;""</f>
        <v/>
      </c>
      <c r="H36" s="50" t="str">
        <f aca="false">'Project Plan'!H39&amp;""</f>
        <v>BE</v>
      </c>
      <c r="I36" s="50" t="str">
        <f aca="false">IF('Project Plan'!C39=3,ROUND('Project Plan'!Z39*Assumptions!$C$6,0)&amp;"h","")</f>
        <v>313h</v>
      </c>
    </row>
    <row r="37" customFormat="false" ht="15" hidden="false" customHeight="false" outlineLevel="0" collapsed="false">
      <c r="A37" s="50" t="n">
        <f aca="false">'Project Plan'!A40</f>
        <v>36</v>
      </c>
      <c r="B37" s="50" t="str">
        <f aca="false">'Project Plan'!E40</f>
        <v>Component, security and contract tests</v>
      </c>
      <c r="C37" s="50" t="n">
        <f aca="false">'Project Plan'!C40</f>
        <v>3</v>
      </c>
      <c r="D37" s="50" t="str">
        <f aca="false">'Project Plan'!J40&amp;"d"</f>
        <v>13d</v>
      </c>
      <c r="E37" s="54" t="n">
        <f aca="false">'Project Plan'!K40</f>
        <v>46401</v>
      </c>
      <c r="F37" s="54" t="n">
        <f aca="false">'Project Plan'!L40</f>
        <v>46419</v>
      </c>
      <c r="G37" s="50" t="str">
        <f aca="false">'Project Plan'!M40&amp;""</f>
        <v/>
      </c>
      <c r="H37" s="50" t="str">
        <f aca="false">'Project Plan'!H40&amp;""</f>
        <v>QA</v>
      </c>
      <c r="I37" s="50" t="str">
        <f aca="false">IF('Project Plan'!C40=3,ROUND('Project Plan'!Z40*Assumptions!$C$6,0)&amp;"h","")</f>
        <v>101h</v>
      </c>
    </row>
    <row r="38" customFormat="false" ht="15" hidden="false" customHeight="false" outlineLevel="0" collapsed="false">
      <c r="A38" s="50" t="n">
        <f aca="false">'Project Plan'!A41</f>
        <v>37</v>
      </c>
      <c r="B38" s="50" t="str">
        <f aca="false">'Project Plan'!E41</f>
        <v>API gateway, BFFs and service mesh</v>
      </c>
      <c r="C38" s="50" t="n">
        <f aca="false">'Project Plan'!C41</f>
        <v>2</v>
      </c>
      <c r="D38" s="50" t="str">
        <f aca="false">'Project Plan'!J41&amp;"d"</f>
        <v>39d</v>
      </c>
      <c r="E38" s="54" t="n">
        <f aca="false">'Project Plan'!K41</f>
        <v>46342</v>
      </c>
      <c r="F38" s="54" t="n">
        <f aca="false">'Project Plan'!L41</f>
        <v>46394</v>
      </c>
      <c r="G38" s="50" t="str">
        <f aca="false">'Project Plan'!M41&amp;""</f>
        <v/>
      </c>
      <c r="H38" s="50" t="str">
        <f aca="false">'Project Plan'!H41&amp;""</f>
        <v/>
      </c>
      <c r="I38" s="50" t="str">
        <f aca="false">IF('Project Plan'!C41=3,ROUND('Project Plan'!Z41*Assumptions!$C$6,0)&amp;"h","")</f>
        <v/>
      </c>
    </row>
    <row r="39" customFormat="false" ht="15" hidden="false" customHeight="false" outlineLevel="0" collapsed="false">
      <c r="A39" s="50" t="n">
        <f aca="false">'Project Plan'!A42</f>
        <v>38</v>
      </c>
      <c r="B39" s="50" t="str">
        <f aca="false">'Project Plan'!E42</f>
        <v>Detailed design and contracts</v>
      </c>
      <c r="C39" s="50" t="n">
        <f aca="false">'Project Plan'!C42</f>
        <v>3</v>
      </c>
      <c r="D39" s="50" t="str">
        <f aca="false">'Project Plan'!J42&amp;"d"</f>
        <v>8d</v>
      </c>
      <c r="E39" s="54" t="n">
        <f aca="false">'Project Plan'!K42</f>
        <v>46342</v>
      </c>
      <c r="F39" s="54" t="n">
        <f aca="false">'Project Plan'!L42</f>
        <v>46351</v>
      </c>
      <c r="G39" s="50" t="str">
        <f aca="false">'Project Plan'!M42&amp;""</f>
        <v>20</v>
      </c>
      <c r="H39" s="50" t="str">
        <f aca="false">'Project Plan'!H42&amp;""</f>
        <v>ARC</v>
      </c>
      <c r="I39" s="50" t="str">
        <f aca="false">IF('Project Plan'!C42=3,ROUND('Project Plan'!Z42*Assumptions!$C$6,0)&amp;"h","")</f>
        <v>46h</v>
      </c>
    </row>
    <row r="40" customFormat="false" ht="15" hidden="false" customHeight="false" outlineLevel="0" collapsed="false">
      <c r="A40" s="50" t="n">
        <f aca="false">'Project Plan'!A43</f>
        <v>39</v>
      </c>
      <c r="B40" s="50" t="str">
        <f aca="false">'Project Plan'!E43</f>
        <v>Build and unit tests</v>
      </c>
      <c r="C40" s="50" t="n">
        <f aca="false">'Project Plan'!C43</f>
        <v>3</v>
      </c>
      <c r="D40" s="50" t="str">
        <f aca="false">'Project Plan'!J43&amp;"d"</f>
        <v>24d</v>
      </c>
      <c r="E40" s="54" t="n">
        <f aca="false">'Project Plan'!K43</f>
        <v>46352</v>
      </c>
      <c r="F40" s="54" t="n">
        <f aca="false">'Project Plan'!L43</f>
        <v>46385</v>
      </c>
      <c r="G40" s="50" t="str">
        <f aca="false">'Project Plan'!M43&amp;""</f>
        <v/>
      </c>
      <c r="H40" s="50" t="str">
        <f aca="false">'Project Plan'!H43&amp;""</f>
        <v>BE</v>
      </c>
      <c r="I40" s="50" t="str">
        <f aca="false">IF('Project Plan'!C43=3,ROUND('Project Plan'!Z43*Assumptions!$C$6,0)&amp;"h","")</f>
        <v>212h</v>
      </c>
    </row>
    <row r="41" customFormat="false" ht="15" hidden="false" customHeight="false" outlineLevel="0" collapsed="false">
      <c r="A41" s="50" t="n">
        <f aca="false">'Project Plan'!A44</f>
        <v>40</v>
      </c>
      <c r="B41" s="50" t="str">
        <f aca="false">'Project Plan'!E44</f>
        <v>Component, security and contract tests</v>
      </c>
      <c r="C41" s="50" t="n">
        <f aca="false">'Project Plan'!C44</f>
        <v>3</v>
      </c>
      <c r="D41" s="50" t="str">
        <f aca="false">'Project Plan'!J44&amp;"d"</f>
        <v>10d</v>
      </c>
      <c r="E41" s="54" t="n">
        <f aca="false">'Project Plan'!K44</f>
        <v>46381</v>
      </c>
      <c r="F41" s="54" t="n">
        <f aca="false">'Project Plan'!L44</f>
        <v>46394</v>
      </c>
      <c r="G41" s="50" t="str">
        <f aca="false">'Project Plan'!M44&amp;""</f>
        <v/>
      </c>
      <c r="H41" s="50" t="str">
        <f aca="false">'Project Plan'!H44&amp;""</f>
        <v>QA</v>
      </c>
      <c r="I41" s="50" t="str">
        <f aca="false">IF('Project Plan'!C44=3,ROUND('Project Plan'!Z44*Assumptions!$C$6,0)&amp;"h","")</f>
        <v>55h</v>
      </c>
    </row>
    <row r="42" customFormat="false" ht="15" hidden="false" customHeight="false" outlineLevel="0" collapsed="false">
      <c r="A42" s="50" t="n">
        <f aca="false">'Project Plan'!A45</f>
        <v>41</v>
      </c>
      <c r="B42" s="50" t="str">
        <f aca="false">'Project Plan'!E45</f>
        <v>Event bus, outbox/inbox library and schema registry</v>
      </c>
      <c r="C42" s="50" t="n">
        <f aca="false">'Project Plan'!C45</f>
        <v>2</v>
      </c>
      <c r="D42" s="50" t="str">
        <f aca="false">'Project Plan'!J45&amp;"d"</f>
        <v>39d</v>
      </c>
      <c r="E42" s="54" t="n">
        <f aca="false">'Project Plan'!K45</f>
        <v>46342</v>
      </c>
      <c r="F42" s="54" t="n">
        <f aca="false">'Project Plan'!L45</f>
        <v>46394</v>
      </c>
      <c r="G42" s="50" t="str">
        <f aca="false">'Project Plan'!M45&amp;""</f>
        <v/>
      </c>
      <c r="H42" s="50" t="str">
        <f aca="false">'Project Plan'!H45&amp;""</f>
        <v/>
      </c>
      <c r="I42" s="50" t="str">
        <f aca="false">IF('Project Plan'!C45=3,ROUND('Project Plan'!Z45*Assumptions!$C$6,0)&amp;"h","")</f>
        <v/>
      </c>
    </row>
    <row r="43" customFormat="false" ht="15" hidden="false" customHeight="false" outlineLevel="0" collapsed="false">
      <c r="A43" s="50" t="n">
        <f aca="false">'Project Plan'!A46</f>
        <v>42</v>
      </c>
      <c r="B43" s="50" t="str">
        <f aca="false">'Project Plan'!E46</f>
        <v>Detailed design and contracts</v>
      </c>
      <c r="C43" s="50" t="n">
        <f aca="false">'Project Plan'!C46</f>
        <v>3</v>
      </c>
      <c r="D43" s="50" t="str">
        <f aca="false">'Project Plan'!J46&amp;"d"</f>
        <v>8d</v>
      </c>
      <c r="E43" s="54" t="n">
        <f aca="false">'Project Plan'!K46</f>
        <v>46342</v>
      </c>
      <c r="F43" s="54" t="n">
        <f aca="false">'Project Plan'!L46</f>
        <v>46351</v>
      </c>
      <c r="G43" s="50" t="str">
        <f aca="false">'Project Plan'!M46&amp;""</f>
        <v>20</v>
      </c>
      <c r="H43" s="50" t="str">
        <f aca="false">'Project Plan'!H46&amp;""</f>
        <v>ARC</v>
      </c>
      <c r="I43" s="50" t="str">
        <f aca="false">IF('Project Plan'!C46=3,ROUND('Project Plan'!Z46*Assumptions!$C$6,0)&amp;"h","")</f>
        <v>55h</v>
      </c>
    </row>
    <row r="44" customFormat="false" ht="15" hidden="false" customHeight="false" outlineLevel="0" collapsed="false">
      <c r="A44" s="50" t="n">
        <f aca="false">'Project Plan'!A47</f>
        <v>43</v>
      </c>
      <c r="B44" s="50" t="str">
        <f aca="false">'Project Plan'!E47</f>
        <v>Build and unit tests</v>
      </c>
      <c r="C44" s="50" t="n">
        <f aca="false">'Project Plan'!C47</f>
        <v>3</v>
      </c>
      <c r="D44" s="50" t="str">
        <f aca="false">'Project Plan'!J47&amp;"d"</f>
        <v>24d</v>
      </c>
      <c r="E44" s="54" t="n">
        <f aca="false">'Project Plan'!K47</f>
        <v>46352</v>
      </c>
      <c r="F44" s="54" t="n">
        <f aca="false">'Project Plan'!L47</f>
        <v>46385</v>
      </c>
      <c r="G44" s="50" t="str">
        <f aca="false">'Project Plan'!M47&amp;""</f>
        <v/>
      </c>
      <c r="H44" s="50" t="str">
        <f aca="false">'Project Plan'!H47&amp;""</f>
        <v>BE</v>
      </c>
      <c r="I44" s="50" t="str">
        <f aca="false">IF('Project Plan'!C47=3,ROUND('Project Plan'!Z47*Assumptions!$C$6,0)&amp;"h","")</f>
        <v>193h</v>
      </c>
    </row>
    <row r="45" customFormat="false" ht="15" hidden="false" customHeight="false" outlineLevel="0" collapsed="false">
      <c r="A45" s="50" t="n">
        <f aca="false">'Project Plan'!A48</f>
        <v>44</v>
      </c>
      <c r="B45" s="50" t="str">
        <f aca="false">'Project Plan'!E48</f>
        <v>Component, security and contract tests</v>
      </c>
      <c r="C45" s="50" t="n">
        <f aca="false">'Project Plan'!C48</f>
        <v>3</v>
      </c>
      <c r="D45" s="50" t="str">
        <f aca="false">'Project Plan'!J48&amp;"d"</f>
        <v>10d</v>
      </c>
      <c r="E45" s="54" t="n">
        <f aca="false">'Project Plan'!K48</f>
        <v>46381</v>
      </c>
      <c r="F45" s="54" t="n">
        <f aca="false">'Project Plan'!L48</f>
        <v>46394</v>
      </c>
      <c r="G45" s="50" t="str">
        <f aca="false">'Project Plan'!M48&amp;""</f>
        <v/>
      </c>
      <c r="H45" s="50" t="str">
        <f aca="false">'Project Plan'!H48&amp;""</f>
        <v>QA</v>
      </c>
      <c r="I45" s="50" t="str">
        <f aca="false">IF('Project Plan'!C48=3,ROUND('Project Plan'!Z48*Assumptions!$C$6,0)&amp;"h","")</f>
        <v>64h</v>
      </c>
    </row>
    <row r="46" customFormat="false" ht="15" hidden="false" customHeight="false" outlineLevel="0" collapsed="false">
      <c r="A46" s="50" t="n">
        <f aca="false">'Project Plan'!A49</f>
        <v>45</v>
      </c>
      <c r="B46" s="50" t="str">
        <f aca="false">'Project Plan'!E49</f>
        <v>Payment service, gateway, UPI and BBPS</v>
      </c>
      <c r="C46" s="50" t="n">
        <f aca="false">'Project Plan'!C49</f>
        <v>2</v>
      </c>
      <c r="D46" s="50" t="str">
        <f aca="false">'Project Plan'!J49&amp;"d"</f>
        <v>44d</v>
      </c>
      <c r="E46" s="54" t="n">
        <f aca="false">'Project Plan'!K49</f>
        <v>46365</v>
      </c>
      <c r="F46" s="54" t="n">
        <f aca="false">'Project Plan'!L49</f>
        <v>46426</v>
      </c>
      <c r="G46" s="50" t="str">
        <f aca="false">'Project Plan'!M49&amp;""</f>
        <v/>
      </c>
      <c r="H46" s="50" t="str">
        <f aca="false">'Project Plan'!H49&amp;""</f>
        <v/>
      </c>
      <c r="I46" s="50" t="str">
        <f aca="false">IF('Project Plan'!C49=3,ROUND('Project Plan'!Z49*Assumptions!$C$6,0)&amp;"h","")</f>
        <v/>
      </c>
    </row>
    <row r="47" customFormat="false" ht="15" hidden="false" customHeight="false" outlineLevel="0" collapsed="false">
      <c r="A47" s="50" t="n">
        <f aca="false">'Project Plan'!A50</f>
        <v>46</v>
      </c>
      <c r="B47" s="50" t="str">
        <f aca="false">'Project Plan'!E50</f>
        <v>Detailed design and contracts</v>
      </c>
      <c r="C47" s="50" t="n">
        <f aca="false">'Project Plan'!C50</f>
        <v>3</v>
      </c>
      <c r="D47" s="50" t="str">
        <f aca="false">'Project Plan'!J50&amp;"d"</f>
        <v>9d</v>
      </c>
      <c r="E47" s="54" t="n">
        <f aca="false">'Project Plan'!K50</f>
        <v>46365</v>
      </c>
      <c r="F47" s="54" t="n">
        <f aca="false">'Project Plan'!L50</f>
        <v>46377</v>
      </c>
      <c r="G47" s="50" t="str">
        <f aca="false">'Project Plan'!M50&amp;""</f>
        <v>20</v>
      </c>
      <c r="H47" s="50" t="str">
        <f aca="false">'Project Plan'!H50&amp;""</f>
        <v>ARC</v>
      </c>
      <c r="I47" s="50" t="str">
        <f aca="false">IF('Project Plan'!C50=3,ROUND('Project Plan'!Z50*Assumptions!$C$6,0)&amp;"h","")</f>
        <v>46h</v>
      </c>
    </row>
    <row r="48" customFormat="false" ht="15" hidden="false" customHeight="false" outlineLevel="0" collapsed="false">
      <c r="A48" s="50" t="n">
        <f aca="false">'Project Plan'!A51</f>
        <v>47</v>
      </c>
      <c r="B48" s="50" t="str">
        <f aca="false">'Project Plan'!E51</f>
        <v>Build and unit tests</v>
      </c>
      <c r="C48" s="50" t="n">
        <f aca="false">'Project Plan'!C51</f>
        <v>3</v>
      </c>
      <c r="D48" s="50" t="str">
        <f aca="false">'Project Plan'!J51&amp;"d"</f>
        <v>27d</v>
      </c>
      <c r="E48" s="54" t="n">
        <f aca="false">'Project Plan'!K51</f>
        <v>46378</v>
      </c>
      <c r="F48" s="54" t="n">
        <f aca="false">'Project Plan'!L51</f>
        <v>46414</v>
      </c>
      <c r="G48" s="50" t="str">
        <f aca="false">'Project Plan'!M51&amp;""</f>
        <v/>
      </c>
      <c r="H48" s="50" t="str">
        <f aca="false">'Project Plan'!H51&amp;""</f>
        <v>BE</v>
      </c>
      <c r="I48" s="50" t="str">
        <f aca="false">IF('Project Plan'!C51=3,ROUND('Project Plan'!Z51*Assumptions!$C$6,0)&amp;"h","")</f>
        <v>294h</v>
      </c>
    </row>
    <row r="49" customFormat="false" ht="15" hidden="false" customHeight="false" outlineLevel="0" collapsed="false">
      <c r="A49" s="50" t="n">
        <f aca="false">'Project Plan'!A52</f>
        <v>48</v>
      </c>
      <c r="B49" s="50" t="str">
        <f aca="false">'Project Plan'!E52</f>
        <v>Component, security and contract tests</v>
      </c>
      <c r="C49" s="50" t="n">
        <f aca="false">'Project Plan'!C52</f>
        <v>3</v>
      </c>
      <c r="D49" s="50" t="str">
        <f aca="false">'Project Plan'!J52&amp;"d"</f>
        <v>11d</v>
      </c>
      <c r="E49" s="54" t="n">
        <f aca="false">'Project Plan'!K52</f>
        <v>46412</v>
      </c>
      <c r="F49" s="54" t="n">
        <f aca="false">'Project Plan'!L52</f>
        <v>46426</v>
      </c>
      <c r="G49" s="50" t="str">
        <f aca="false">'Project Plan'!M52&amp;""</f>
        <v/>
      </c>
      <c r="H49" s="50" t="str">
        <f aca="false">'Project Plan'!H52&amp;""</f>
        <v>QA</v>
      </c>
      <c r="I49" s="50" t="str">
        <f aca="false">IF('Project Plan'!C52=3,ROUND('Project Plan'!Z52*Assumptions!$C$6,0)&amp;"h","")</f>
        <v>120h</v>
      </c>
    </row>
    <row r="50" customFormat="false" ht="15" hidden="false" customHeight="false" outlineLevel="0" collapsed="false">
      <c r="A50" s="50" t="n">
        <f aca="false">'Project Plan'!A53</f>
        <v>49</v>
      </c>
      <c r="B50" s="50" t="str">
        <f aca="false">'Project Plan'!E53</f>
        <v>Notification service (DLT SMS, WhatsApp, email, IVRS)</v>
      </c>
      <c r="C50" s="50" t="n">
        <f aca="false">'Project Plan'!C53</f>
        <v>2</v>
      </c>
      <c r="D50" s="50" t="str">
        <f aca="false">'Project Plan'!J53&amp;"d"</f>
        <v>39d</v>
      </c>
      <c r="E50" s="54" t="n">
        <f aca="false">'Project Plan'!K53</f>
        <v>46365</v>
      </c>
      <c r="F50" s="54" t="n">
        <f aca="false">'Project Plan'!L53</f>
        <v>46419</v>
      </c>
      <c r="G50" s="50" t="str">
        <f aca="false">'Project Plan'!M53&amp;""</f>
        <v/>
      </c>
      <c r="H50" s="50" t="str">
        <f aca="false">'Project Plan'!H53&amp;""</f>
        <v/>
      </c>
      <c r="I50" s="50" t="str">
        <f aca="false">IF('Project Plan'!C53=3,ROUND('Project Plan'!Z53*Assumptions!$C$6,0)&amp;"h","")</f>
        <v/>
      </c>
    </row>
    <row r="51" customFormat="false" ht="15" hidden="false" customHeight="false" outlineLevel="0" collapsed="false">
      <c r="A51" s="50" t="n">
        <f aca="false">'Project Plan'!A54</f>
        <v>50</v>
      </c>
      <c r="B51" s="50" t="str">
        <f aca="false">'Project Plan'!E54</f>
        <v>Detailed design and contracts</v>
      </c>
      <c r="C51" s="50" t="n">
        <f aca="false">'Project Plan'!C54</f>
        <v>3</v>
      </c>
      <c r="D51" s="50" t="str">
        <f aca="false">'Project Plan'!J54&amp;"d"</f>
        <v>8d</v>
      </c>
      <c r="E51" s="54" t="n">
        <f aca="false">'Project Plan'!K54</f>
        <v>46365</v>
      </c>
      <c r="F51" s="54" t="n">
        <f aca="false">'Project Plan'!L54</f>
        <v>46374</v>
      </c>
      <c r="G51" s="50" t="str">
        <f aca="false">'Project Plan'!M54&amp;""</f>
        <v>20</v>
      </c>
      <c r="H51" s="50" t="str">
        <f aca="false">'Project Plan'!H54&amp;""</f>
        <v>ARC</v>
      </c>
      <c r="I51" s="50" t="str">
        <f aca="false">IF('Project Plan'!C54=3,ROUND('Project Plan'!Z54*Assumptions!$C$6,0)&amp;"h","")</f>
        <v>37h</v>
      </c>
    </row>
    <row r="52" customFormat="false" ht="15" hidden="false" customHeight="false" outlineLevel="0" collapsed="false">
      <c r="A52" s="50" t="n">
        <f aca="false">'Project Plan'!A55</f>
        <v>51</v>
      </c>
      <c r="B52" s="50" t="str">
        <f aca="false">'Project Plan'!E55</f>
        <v>Build and unit tests</v>
      </c>
      <c r="C52" s="50" t="n">
        <f aca="false">'Project Plan'!C55</f>
        <v>3</v>
      </c>
      <c r="D52" s="50" t="str">
        <f aca="false">'Project Plan'!J55&amp;"d"</f>
        <v>24d</v>
      </c>
      <c r="E52" s="54" t="n">
        <f aca="false">'Project Plan'!K55</f>
        <v>46377</v>
      </c>
      <c r="F52" s="54" t="n">
        <f aca="false">'Project Plan'!L55</f>
        <v>46408</v>
      </c>
      <c r="G52" s="50" t="str">
        <f aca="false">'Project Plan'!M55&amp;""</f>
        <v/>
      </c>
      <c r="H52" s="50" t="str">
        <f aca="false">'Project Plan'!H55&amp;""</f>
        <v>BE</v>
      </c>
      <c r="I52" s="50" t="str">
        <f aca="false">IF('Project Plan'!C55=3,ROUND('Project Plan'!Z55*Assumptions!$C$6,0)&amp;"h","")</f>
        <v>184h</v>
      </c>
    </row>
    <row r="53" customFormat="false" ht="15" hidden="false" customHeight="false" outlineLevel="0" collapsed="false">
      <c r="A53" s="50" t="n">
        <f aca="false">'Project Plan'!A56</f>
        <v>52</v>
      </c>
      <c r="B53" s="50" t="str">
        <f aca="false">'Project Plan'!E56</f>
        <v>Component, security and contract tests</v>
      </c>
      <c r="C53" s="50" t="n">
        <f aca="false">'Project Plan'!C56</f>
        <v>3</v>
      </c>
      <c r="D53" s="50" t="str">
        <f aca="false">'Project Plan'!J56&amp;"d"</f>
        <v>10d</v>
      </c>
      <c r="E53" s="54" t="n">
        <f aca="false">'Project Plan'!K56</f>
        <v>46406</v>
      </c>
      <c r="F53" s="54" t="n">
        <f aca="false">'Project Plan'!L56</f>
        <v>46419</v>
      </c>
      <c r="G53" s="50" t="str">
        <f aca="false">'Project Plan'!M56&amp;""</f>
        <v/>
      </c>
      <c r="H53" s="50" t="str">
        <f aca="false">'Project Plan'!H56&amp;""</f>
        <v>QA</v>
      </c>
      <c r="I53" s="50" t="str">
        <f aca="false">IF('Project Plan'!C56=3,ROUND('Project Plan'!Z56*Assumptions!$C$6,0)&amp;"h","")</f>
        <v>74h</v>
      </c>
    </row>
    <row r="54" customFormat="false" ht="15" hidden="false" customHeight="false" outlineLevel="0" collapsed="false">
      <c r="A54" s="50" t="n">
        <f aca="false">'Project Plan'!A57</f>
        <v>53</v>
      </c>
      <c r="B54" s="50" t="str">
        <f aca="false">'Project Plan'!E57</f>
        <v>GIS base: PostGIS, GeoServer, base map, imagery, ward layers</v>
      </c>
      <c r="C54" s="50" t="n">
        <f aca="false">'Project Plan'!C57</f>
        <v>2</v>
      </c>
      <c r="D54" s="50" t="str">
        <f aca="false">'Project Plan'!J57&amp;"d"</f>
        <v>56d</v>
      </c>
      <c r="E54" s="54" t="n">
        <f aca="false">'Project Plan'!K57</f>
        <v>46350</v>
      </c>
      <c r="F54" s="54" t="n">
        <f aca="false">'Project Plan'!L57</f>
        <v>46427</v>
      </c>
      <c r="G54" s="50" t="str">
        <f aca="false">'Project Plan'!M57&amp;""</f>
        <v/>
      </c>
      <c r="H54" s="50" t="str">
        <f aca="false">'Project Plan'!H57&amp;""</f>
        <v/>
      </c>
      <c r="I54" s="50" t="str">
        <f aca="false">IF('Project Plan'!C57=3,ROUND('Project Plan'!Z57*Assumptions!$C$6,0)&amp;"h","")</f>
        <v/>
      </c>
    </row>
    <row r="55" customFormat="false" ht="15" hidden="false" customHeight="false" outlineLevel="0" collapsed="false">
      <c r="A55" s="50" t="n">
        <f aca="false">'Project Plan'!A58</f>
        <v>54</v>
      </c>
      <c r="B55" s="50" t="str">
        <f aca="false">'Project Plan'!E58</f>
        <v>Detailed design and contracts</v>
      </c>
      <c r="C55" s="50" t="n">
        <f aca="false">'Project Plan'!C58</f>
        <v>3</v>
      </c>
      <c r="D55" s="50" t="str">
        <f aca="false">'Project Plan'!J58&amp;"d"</f>
        <v>11d</v>
      </c>
      <c r="E55" s="54" t="n">
        <f aca="false">'Project Plan'!K58</f>
        <v>46350</v>
      </c>
      <c r="F55" s="54" t="n">
        <f aca="false">'Project Plan'!L58</f>
        <v>46364</v>
      </c>
      <c r="G55" s="50" t="str">
        <f aca="false">'Project Plan'!M58&amp;""</f>
        <v>20</v>
      </c>
      <c r="H55" s="50" t="str">
        <f aca="false">'Project Plan'!H58&amp;""</f>
        <v>ARC</v>
      </c>
      <c r="I55" s="50" t="str">
        <f aca="false">IF('Project Plan'!C58=3,ROUND('Project Plan'!Z58*Assumptions!$C$6,0)&amp;"h","")</f>
        <v>28h</v>
      </c>
    </row>
    <row r="56" customFormat="false" ht="15" hidden="false" customHeight="false" outlineLevel="0" collapsed="false">
      <c r="A56" s="50" t="n">
        <f aca="false">'Project Plan'!A59</f>
        <v>55</v>
      </c>
      <c r="B56" s="50" t="str">
        <f aca="false">'Project Plan'!E59</f>
        <v>Build and unit tests</v>
      </c>
      <c r="C56" s="50" t="n">
        <f aca="false">'Project Plan'!C59</f>
        <v>3</v>
      </c>
      <c r="D56" s="50" t="str">
        <f aca="false">'Project Plan'!J59&amp;"d"</f>
        <v>34d</v>
      </c>
      <c r="E56" s="54" t="n">
        <f aca="false">'Project Plan'!K59</f>
        <v>46365</v>
      </c>
      <c r="F56" s="54" t="n">
        <f aca="false">'Project Plan'!L59</f>
        <v>46412</v>
      </c>
      <c r="G56" s="50" t="str">
        <f aca="false">'Project Plan'!M59&amp;""</f>
        <v/>
      </c>
      <c r="H56" s="50" t="str">
        <f aca="false">'Project Plan'!H59&amp;""</f>
        <v>GIS</v>
      </c>
      <c r="I56" s="50" t="str">
        <f aca="false">IF('Project Plan'!C59=3,ROUND('Project Plan'!Z59*Assumptions!$C$6,0)&amp;"h","")</f>
        <v>442h</v>
      </c>
    </row>
    <row r="57" customFormat="false" ht="15" hidden="false" customHeight="false" outlineLevel="0" collapsed="false">
      <c r="A57" s="50" t="n">
        <f aca="false">'Project Plan'!A60</f>
        <v>56</v>
      </c>
      <c r="B57" s="50" t="str">
        <f aca="false">'Project Plan'!E60</f>
        <v>Component, security and contract tests</v>
      </c>
      <c r="C57" s="50" t="n">
        <f aca="false">'Project Plan'!C60</f>
        <v>3</v>
      </c>
      <c r="D57" s="50" t="str">
        <f aca="false">'Project Plan'!J60&amp;"d"</f>
        <v>14d</v>
      </c>
      <c r="E57" s="54" t="n">
        <f aca="false">'Project Plan'!K60</f>
        <v>46408</v>
      </c>
      <c r="F57" s="54" t="n">
        <f aca="false">'Project Plan'!L60</f>
        <v>46427</v>
      </c>
      <c r="G57" s="50" t="str">
        <f aca="false">'Project Plan'!M60&amp;""</f>
        <v/>
      </c>
      <c r="H57" s="50" t="str">
        <f aca="false">'Project Plan'!H60&amp;""</f>
        <v>QA</v>
      </c>
      <c r="I57" s="50" t="str">
        <f aca="false">IF('Project Plan'!C60=3,ROUND('Project Plan'!Z60*Assumptions!$C$6,0)&amp;"h","")</f>
        <v>55h</v>
      </c>
    </row>
    <row r="58" customFormat="false" ht="15" hidden="false" customHeight="false" outlineLevel="0" collapsed="false">
      <c r="A58" s="50" t="n">
        <f aca="false">'Project Plan'!A61</f>
        <v>57</v>
      </c>
      <c r="B58" s="50" t="str">
        <f aca="false">'Project Plan'!E61</f>
        <v>Document pipeline: OCR, translation, eSign, anchoring, DigiLocker</v>
      </c>
      <c r="C58" s="50" t="n">
        <f aca="false">'Project Plan'!C61</f>
        <v>2</v>
      </c>
      <c r="D58" s="50" t="str">
        <f aca="false">'Project Plan'!J61&amp;"d"</f>
        <v>56d</v>
      </c>
      <c r="E58" s="54" t="n">
        <f aca="false">'Project Plan'!K61</f>
        <v>46357</v>
      </c>
      <c r="F58" s="54" t="n">
        <f aca="false">'Project Plan'!L61</f>
        <v>46434</v>
      </c>
      <c r="G58" s="50" t="str">
        <f aca="false">'Project Plan'!M61&amp;""</f>
        <v/>
      </c>
      <c r="H58" s="50" t="str">
        <f aca="false">'Project Plan'!H61&amp;""</f>
        <v/>
      </c>
      <c r="I58" s="50" t="str">
        <f aca="false">IF('Project Plan'!C61=3,ROUND('Project Plan'!Z61*Assumptions!$C$6,0)&amp;"h","")</f>
        <v/>
      </c>
    </row>
    <row r="59" customFormat="false" ht="15" hidden="false" customHeight="false" outlineLevel="0" collapsed="false">
      <c r="A59" s="50" t="n">
        <f aca="false">'Project Plan'!A62</f>
        <v>58</v>
      </c>
      <c r="B59" s="50" t="str">
        <f aca="false">'Project Plan'!E62</f>
        <v>Detailed design and contracts</v>
      </c>
      <c r="C59" s="50" t="n">
        <f aca="false">'Project Plan'!C62</f>
        <v>3</v>
      </c>
      <c r="D59" s="50" t="str">
        <f aca="false">'Project Plan'!J62&amp;"d"</f>
        <v>11d</v>
      </c>
      <c r="E59" s="54" t="n">
        <f aca="false">'Project Plan'!K62</f>
        <v>46357</v>
      </c>
      <c r="F59" s="54" t="n">
        <f aca="false">'Project Plan'!L62</f>
        <v>46371</v>
      </c>
      <c r="G59" s="50" t="str">
        <f aca="false">'Project Plan'!M62&amp;""</f>
        <v>20</v>
      </c>
      <c r="H59" s="50" t="str">
        <f aca="false">'Project Plan'!H62&amp;""</f>
        <v>ARC</v>
      </c>
      <c r="I59" s="50" t="str">
        <f aca="false">IF('Project Plan'!C62=3,ROUND('Project Plan'!Z62*Assumptions!$C$6,0)&amp;"h","")</f>
        <v>74h</v>
      </c>
    </row>
    <row r="60" customFormat="false" ht="15" hidden="false" customHeight="false" outlineLevel="0" collapsed="false">
      <c r="A60" s="50" t="n">
        <f aca="false">'Project Plan'!A63</f>
        <v>59</v>
      </c>
      <c r="B60" s="50" t="str">
        <f aca="false">'Project Plan'!E63</f>
        <v>Build and unit tests</v>
      </c>
      <c r="C60" s="50" t="n">
        <f aca="false">'Project Plan'!C63</f>
        <v>3</v>
      </c>
      <c r="D60" s="50" t="str">
        <f aca="false">'Project Plan'!J63&amp;"d"</f>
        <v>34d</v>
      </c>
      <c r="E60" s="54" t="n">
        <f aca="false">'Project Plan'!K63</f>
        <v>46372</v>
      </c>
      <c r="F60" s="54" t="n">
        <f aca="false">'Project Plan'!L63</f>
        <v>46419</v>
      </c>
      <c r="G60" s="50" t="str">
        <f aca="false">'Project Plan'!M63&amp;""</f>
        <v/>
      </c>
      <c r="H60" s="50" t="str">
        <f aca="false">'Project Plan'!H63&amp;""</f>
        <v>BE</v>
      </c>
      <c r="I60" s="50" t="str">
        <f aca="false">IF('Project Plan'!C63=3,ROUND('Project Plan'!Z63*Assumptions!$C$6,0)&amp;"h","")</f>
        <v>331h</v>
      </c>
    </row>
    <row r="61" customFormat="false" ht="15" hidden="false" customHeight="false" outlineLevel="0" collapsed="false">
      <c r="A61" s="50" t="n">
        <f aca="false">'Project Plan'!A64</f>
        <v>60</v>
      </c>
      <c r="B61" s="50" t="str">
        <f aca="false">'Project Plan'!E64</f>
        <v>Component, security and contract tests</v>
      </c>
      <c r="C61" s="50" t="n">
        <f aca="false">'Project Plan'!C64</f>
        <v>3</v>
      </c>
      <c r="D61" s="50" t="str">
        <f aca="false">'Project Plan'!J64&amp;"d"</f>
        <v>14d</v>
      </c>
      <c r="E61" s="54" t="n">
        <f aca="false">'Project Plan'!K64</f>
        <v>46415</v>
      </c>
      <c r="F61" s="54" t="n">
        <f aca="false">'Project Plan'!L64</f>
        <v>46434</v>
      </c>
      <c r="G61" s="50" t="str">
        <f aca="false">'Project Plan'!M64&amp;""</f>
        <v/>
      </c>
      <c r="H61" s="50" t="str">
        <f aca="false">'Project Plan'!H64&amp;""</f>
        <v>QA</v>
      </c>
      <c r="I61" s="50" t="str">
        <f aca="false">IF('Project Plan'!C64=3,ROUND('Project Plan'!Z64*Assumptions!$C$6,0)&amp;"h","")</f>
        <v>129h</v>
      </c>
    </row>
    <row r="62" customFormat="false" ht="15" hidden="false" customHeight="false" outlineLevel="0" collapsed="false">
      <c r="A62" s="50" t="n">
        <f aca="false">'Project Plan'!A65</f>
        <v>61</v>
      </c>
      <c r="B62" s="50" t="str">
        <f aca="false">'Project Plan'!E65</f>
        <v>Search service (OpenSearch, Indic analysers)</v>
      </c>
      <c r="C62" s="50" t="n">
        <f aca="false">'Project Plan'!C65</f>
        <v>2</v>
      </c>
      <c r="D62" s="50" t="str">
        <f aca="false">'Project Plan'!J65&amp;"d"</f>
        <v>40d</v>
      </c>
      <c r="E62" s="54" t="n">
        <f aca="false">'Project Plan'!K65</f>
        <v>46372</v>
      </c>
      <c r="F62" s="54" t="n">
        <f aca="false">'Project Plan'!L65</f>
        <v>46427</v>
      </c>
      <c r="G62" s="50" t="str">
        <f aca="false">'Project Plan'!M65&amp;""</f>
        <v/>
      </c>
      <c r="H62" s="50" t="str">
        <f aca="false">'Project Plan'!H65&amp;""</f>
        <v/>
      </c>
      <c r="I62" s="50" t="str">
        <f aca="false">IF('Project Plan'!C65=3,ROUND('Project Plan'!Z65*Assumptions!$C$6,0)&amp;"h","")</f>
        <v/>
      </c>
    </row>
    <row r="63" customFormat="false" ht="15" hidden="false" customHeight="false" outlineLevel="0" collapsed="false">
      <c r="A63" s="50" t="n">
        <f aca="false">'Project Plan'!A66</f>
        <v>62</v>
      </c>
      <c r="B63" s="50" t="str">
        <f aca="false">'Project Plan'!E66</f>
        <v>Detailed design and contracts</v>
      </c>
      <c r="C63" s="50" t="n">
        <f aca="false">'Project Plan'!C66</f>
        <v>3</v>
      </c>
      <c r="D63" s="50" t="str">
        <f aca="false">'Project Plan'!J66&amp;"d"</f>
        <v>8d</v>
      </c>
      <c r="E63" s="54" t="n">
        <f aca="false">'Project Plan'!K66</f>
        <v>46372</v>
      </c>
      <c r="F63" s="54" t="n">
        <f aca="false">'Project Plan'!L66</f>
        <v>46381</v>
      </c>
      <c r="G63" s="50" t="str">
        <f aca="false">'Project Plan'!M66&amp;""</f>
        <v>20</v>
      </c>
      <c r="H63" s="50" t="str">
        <f aca="false">'Project Plan'!H66&amp;""</f>
        <v>ARC</v>
      </c>
      <c r="I63" s="50" t="str">
        <f aca="false">IF('Project Plan'!C66=3,ROUND('Project Plan'!Z66*Assumptions!$C$6,0)&amp;"h","")</f>
        <v>37h</v>
      </c>
    </row>
    <row r="64" customFormat="false" ht="15" hidden="false" customHeight="false" outlineLevel="0" collapsed="false">
      <c r="A64" s="50" t="n">
        <f aca="false">'Project Plan'!A67</f>
        <v>63</v>
      </c>
      <c r="B64" s="50" t="str">
        <f aca="false">'Project Plan'!E67</f>
        <v>Build and unit tests</v>
      </c>
      <c r="C64" s="50" t="n">
        <f aca="false">'Project Plan'!C67</f>
        <v>3</v>
      </c>
      <c r="D64" s="50" t="str">
        <f aca="false">'Project Plan'!J67&amp;"d"</f>
        <v>24d</v>
      </c>
      <c r="E64" s="54" t="n">
        <f aca="false">'Project Plan'!K67</f>
        <v>46384</v>
      </c>
      <c r="F64" s="54" t="n">
        <f aca="false">'Project Plan'!L67</f>
        <v>46415</v>
      </c>
      <c r="G64" s="50" t="str">
        <f aca="false">'Project Plan'!M67&amp;""</f>
        <v/>
      </c>
      <c r="H64" s="50" t="str">
        <f aca="false">'Project Plan'!H67&amp;""</f>
        <v>BE</v>
      </c>
      <c r="I64" s="50" t="str">
        <f aca="false">IF('Project Plan'!C67=3,ROUND('Project Plan'!Z67*Assumptions!$C$6,0)&amp;"h","")</f>
        <v>129h</v>
      </c>
    </row>
    <row r="65" customFormat="false" ht="15" hidden="false" customHeight="false" outlineLevel="0" collapsed="false">
      <c r="A65" s="50" t="n">
        <f aca="false">'Project Plan'!A68</f>
        <v>64</v>
      </c>
      <c r="B65" s="50" t="str">
        <f aca="false">'Project Plan'!E68</f>
        <v>Component, security and contract tests</v>
      </c>
      <c r="C65" s="50" t="n">
        <f aca="false">'Project Plan'!C68</f>
        <v>3</v>
      </c>
      <c r="D65" s="50" t="str">
        <f aca="false">'Project Plan'!J68&amp;"d"</f>
        <v>10d</v>
      </c>
      <c r="E65" s="54" t="n">
        <f aca="false">'Project Plan'!K68</f>
        <v>46414</v>
      </c>
      <c r="F65" s="54" t="n">
        <f aca="false">'Project Plan'!L68</f>
        <v>46427</v>
      </c>
      <c r="G65" s="50" t="str">
        <f aca="false">'Project Plan'!M68&amp;""</f>
        <v/>
      </c>
      <c r="H65" s="50" t="str">
        <f aca="false">'Project Plan'!H68&amp;""</f>
        <v>QA</v>
      </c>
      <c r="I65" s="50" t="str">
        <f aca="false">IF('Project Plan'!C68=3,ROUND('Project Plan'!Z68*Assumptions!$C$6,0)&amp;"h","")</f>
        <v>55h</v>
      </c>
    </row>
    <row r="66" customFormat="false" ht="15" hidden="false" customHeight="false" outlineLevel="0" collapsed="false">
      <c r="A66" s="50" t="n">
        <f aca="false">'Project Plan'!A69</f>
        <v>65</v>
      </c>
      <c r="B66" s="50" t="str">
        <f aca="false">'Project Plan'!E69</f>
        <v>Audit service, SIEM feed and CERT-In logging</v>
      </c>
      <c r="C66" s="50" t="n">
        <f aca="false">'Project Plan'!C69</f>
        <v>2</v>
      </c>
      <c r="D66" s="50" t="str">
        <f aca="false">'Project Plan'!J69&amp;"d"</f>
        <v>40d</v>
      </c>
      <c r="E66" s="54" t="n">
        <f aca="false">'Project Plan'!K69</f>
        <v>46372</v>
      </c>
      <c r="F66" s="54" t="n">
        <f aca="false">'Project Plan'!L69</f>
        <v>46427</v>
      </c>
      <c r="G66" s="50" t="str">
        <f aca="false">'Project Plan'!M69&amp;""</f>
        <v/>
      </c>
      <c r="H66" s="50" t="str">
        <f aca="false">'Project Plan'!H69&amp;""</f>
        <v/>
      </c>
      <c r="I66" s="50" t="str">
        <f aca="false">IF('Project Plan'!C69=3,ROUND('Project Plan'!Z69*Assumptions!$C$6,0)&amp;"h","")</f>
        <v/>
      </c>
    </row>
    <row r="67" customFormat="false" ht="15" hidden="false" customHeight="false" outlineLevel="0" collapsed="false">
      <c r="A67" s="50" t="n">
        <f aca="false">'Project Plan'!A70</f>
        <v>66</v>
      </c>
      <c r="B67" s="50" t="str">
        <f aca="false">'Project Plan'!E70</f>
        <v>Detailed design and contracts</v>
      </c>
      <c r="C67" s="50" t="n">
        <f aca="false">'Project Plan'!C70</f>
        <v>3</v>
      </c>
      <c r="D67" s="50" t="str">
        <f aca="false">'Project Plan'!J70&amp;"d"</f>
        <v>8d</v>
      </c>
      <c r="E67" s="54" t="n">
        <f aca="false">'Project Plan'!K70</f>
        <v>46372</v>
      </c>
      <c r="F67" s="54" t="n">
        <f aca="false">'Project Plan'!L70</f>
        <v>46381</v>
      </c>
      <c r="G67" s="50" t="str">
        <f aca="false">'Project Plan'!M70&amp;""</f>
        <v>20</v>
      </c>
      <c r="H67" s="50" t="str">
        <f aca="false">'Project Plan'!H70&amp;""</f>
        <v>ARC</v>
      </c>
      <c r="I67" s="50" t="str">
        <f aca="false">IF('Project Plan'!C70=3,ROUND('Project Plan'!Z70*Assumptions!$C$6,0)&amp;"h","")</f>
        <v>28h</v>
      </c>
    </row>
    <row r="68" customFormat="false" ht="15" hidden="false" customHeight="false" outlineLevel="0" collapsed="false">
      <c r="A68" s="50" t="n">
        <f aca="false">'Project Plan'!A71</f>
        <v>67</v>
      </c>
      <c r="B68" s="50" t="str">
        <f aca="false">'Project Plan'!E71</f>
        <v>Build and unit tests</v>
      </c>
      <c r="C68" s="50" t="n">
        <f aca="false">'Project Plan'!C71</f>
        <v>3</v>
      </c>
      <c r="D68" s="50" t="str">
        <f aca="false">'Project Plan'!J71&amp;"d"</f>
        <v>24d</v>
      </c>
      <c r="E68" s="54" t="n">
        <f aca="false">'Project Plan'!K71</f>
        <v>46384</v>
      </c>
      <c r="F68" s="54" t="n">
        <f aca="false">'Project Plan'!L71</f>
        <v>46415</v>
      </c>
      <c r="G68" s="50" t="str">
        <f aca="false">'Project Plan'!M71&amp;""</f>
        <v/>
      </c>
      <c r="H68" s="50" t="str">
        <f aca="false">'Project Plan'!H71&amp;""</f>
        <v>BE</v>
      </c>
      <c r="I68" s="50" t="str">
        <f aca="false">IF('Project Plan'!C71=3,ROUND('Project Plan'!Z71*Assumptions!$C$6,0)&amp;"h","")</f>
        <v>166h</v>
      </c>
    </row>
    <row r="69" customFormat="false" ht="15" hidden="false" customHeight="false" outlineLevel="0" collapsed="false">
      <c r="A69" s="50" t="n">
        <f aca="false">'Project Plan'!A72</f>
        <v>68</v>
      </c>
      <c r="B69" s="50" t="str">
        <f aca="false">'Project Plan'!E72</f>
        <v>Component, security and contract tests</v>
      </c>
      <c r="C69" s="50" t="n">
        <f aca="false">'Project Plan'!C72</f>
        <v>3</v>
      </c>
      <c r="D69" s="50" t="str">
        <f aca="false">'Project Plan'!J72&amp;"d"</f>
        <v>10d</v>
      </c>
      <c r="E69" s="54" t="n">
        <f aca="false">'Project Plan'!K72</f>
        <v>46414</v>
      </c>
      <c r="F69" s="54" t="n">
        <f aca="false">'Project Plan'!L72</f>
        <v>46427</v>
      </c>
      <c r="G69" s="50" t="str">
        <f aca="false">'Project Plan'!M72&amp;""</f>
        <v/>
      </c>
      <c r="H69" s="50" t="str">
        <f aca="false">'Project Plan'!H72&amp;""</f>
        <v>QA</v>
      </c>
      <c r="I69" s="50" t="str">
        <f aca="false">IF('Project Plan'!C72=3,ROUND('Project Plan'!Z72*Assumptions!$C$6,0)&amp;"h","")</f>
        <v>46h</v>
      </c>
    </row>
    <row r="70" customFormat="false" ht="15" hidden="false" customHeight="false" outlineLevel="0" collapsed="false">
      <c r="A70" s="50" t="n">
        <f aca="false">'Project Plan'!A73</f>
        <v>69</v>
      </c>
      <c r="B70" s="50" t="str">
        <f aca="false">'Project Plan'!E73</f>
        <v>Aadhaar Data Vault with HSM</v>
      </c>
      <c r="C70" s="50" t="n">
        <f aca="false">'Project Plan'!C73</f>
        <v>2</v>
      </c>
      <c r="D70" s="50" t="str">
        <f aca="false">'Project Plan'!J73&amp;"d"</f>
        <v>34d</v>
      </c>
      <c r="E70" s="54" t="n">
        <f aca="false">'Project Plan'!K73</f>
        <v>46372</v>
      </c>
      <c r="F70" s="54" t="n">
        <f aca="false">'Project Plan'!L73</f>
        <v>46419</v>
      </c>
      <c r="G70" s="50" t="str">
        <f aca="false">'Project Plan'!M73&amp;""</f>
        <v/>
      </c>
      <c r="H70" s="50" t="str">
        <f aca="false">'Project Plan'!H73&amp;""</f>
        <v/>
      </c>
      <c r="I70" s="50" t="str">
        <f aca="false">IF('Project Plan'!C73=3,ROUND('Project Plan'!Z73*Assumptions!$C$6,0)&amp;"h","")</f>
        <v/>
      </c>
    </row>
    <row r="71" customFormat="false" ht="15" hidden="false" customHeight="false" outlineLevel="0" collapsed="false">
      <c r="A71" s="50" t="n">
        <f aca="false">'Project Plan'!A74</f>
        <v>70</v>
      </c>
      <c r="B71" s="50" t="str">
        <f aca="false">'Project Plan'!E74</f>
        <v>Detailed design and contracts</v>
      </c>
      <c r="C71" s="50" t="n">
        <f aca="false">'Project Plan'!C74</f>
        <v>3</v>
      </c>
      <c r="D71" s="50" t="str">
        <f aca="false">'Project Plan'!J74&amp;"d"</f>
        <v>7d</v>
      </c>
      <c r="E71" s="54" t="n">
        <f aca="false">'Project Plan'!K74</f>
        <v>46372</v>
      </c>
      <c r="F71" s="54" t="n">
        <f aca="false">'Project Plan'!L74</f>
        <v>46380</v>
      </c>
      <c r="G71" s="50" t="str">
        <f aca="false">'Project Plan'!M74&amp;""</f>
        <v>20</v>
      </c>
      <c r="H71" s="50" t="str">
        <f aca="false">'Project Plan'!H74&amp;""</f>
        <v>ARC</v>
      </c>
      <c r="I71" s="50" t="str">
        <f aca="false">IF('Project Plan'!C74=3,ROUND('Project Plan'!Z74*Assumptions!$C$6,0)&amp;"h","")</f>
        <v>37h</v>
      </c>
    </row>
    <row r="72" customFormat="false" ht="15" hidden="false" customHeight="false" outlineLevel="0" collapsed="false">
      <c r="A72" s="50" t="n">
        <f aca="false">'Project Plan'!A75</f>
        <v>71</v>
      </c>
      <c r="B72" s="50" t="str">
        <f aca="false">'Project Plan'!E75</f>
        <v>Build and unit tests</v>
      </c>
      <c r="C72" s="50" t="n">
        <f aca="false">'Project Plan'!C75</f>
        <v>3</v>
      </c>
      <c r="D72" s="50" t="str">
        <f aca="false">'Project Plan'!J75&amp;"d"</f>
        <v>20d</v>
      </c>
      <c r="E72" s="54" t="n">
        <f aca="false">'Project Plan'!K75</f>
        <v>46381</v>
      </c>
      <c r="F72" s="54" t="n">
        <f aca="false">'Project Plan'!L75</f>
        <v>46408</v>
      </c>
      <c r="G72" s="50" t="str">
        <f aca="false">'Project Plan'!M75&amp;""</f>
        <v/>
      </c>
      <c r="H72" s="50" t="str">
        <f aca="false">'Project Plan'!H75&amp;""</f>
        <v>BE</v>
      </c>
      <c r="I72" s="50" t="str">
        <f aca="false">IF('Project Plan'!C75=3,ROUND('Project Plan'!Z75*Assumptions!$C$6,0)&amp;"h","")</f>
        <v>147h</v>
      </c>
    </row>
    <row r="73" customFormat="false" ht="15" hidden="false" customHeight="false" outlineLevel="0" collapsed="false">
      <c r="A73" s="50" t="n">
        <f aca="false">'Project Plan'!A76</f>
        <v>72</v>
      </c>
      <c r="B73" s="50" t="str">
        <f aca="false">'Project Plan'!E76</f>
        <v>Component, security and contract tests</v>
      </c>
      <c r="C73" s="50" t="n">
        <f aca="false">'Project Plan'!C76</f>
        <v>3</v>
      </c>
      <c r="D73" s="50" t="str">
        <f aca="false">'Project Plan'!J76&amp;"d"</f>
        <v>8d</v>
      </c>
      <c r="E73" s="54" t="n">
        <f aca="false">'Project Plan'!K76</f>
        <v>46408</v>
      </c>
      <c r="F73" s="54" t="n">
        <f aca="false">'Project Plan'!L76</f>
        <v>46419</v>
      </c>
      <c r="G73" s="50" t="str">
        <f aca="false">'Project Plan'!M76&amp;""</f>
        <v/>
      </c>
      <c r="H73" s="50" t="str">
        <f aca="false">'Project Plan'!H76&amp;""</f>
        <v>QA</v>
      </c>
      <c r="I73" s="50" t="str">
        <f aca="false">IF('Project Plan'!C76=3,ROUND('Project Plan'!Z76*Assumptions!$C$6,0)&amp;"h","")</f>
        <v>46h</v>
      </c>
    </row>
    <row r="74" customFormat="false" ht="15" hidden="false" customHeight="false" outlineLevel="0" collapsed="false">
      <c r="A74" s="50" t="n">
        <f aca="false">'Project Plan'!A77</f>
        <v>73</v>
      </c>
      <c r="B74" s="50" t="str">
        <f aca="false">'Project Plan'!E77</f>
        <v>Adapter hub framework</v>
      </c>
      <c r="C74" s="50" t="n">
        <f aca="false">'Project Plan'!C77</f>
        <v>2</v>
      </c>
      <c r="D74" s="50" t="str">
        <f aca="false">'Project Plan'!J77&amp;"d"</f>
        <v>33d</v>
      </c>
      <c r="E74" s="54" t="n">
        <f aca="false">'Project Plan'!K77</f>
        <v>46357</v>
      </c>
      <c r="F74" s="54" t="n">
        <f aca="false">'Project Plan'!L77</f>
        <v>46401</v>
      </c>
      <c r="G74" s="50" t="str">
        <f aca="false">'Project Plan'!M77&amp;""</f>
        <v/>
      </c>
      <c r="H74" s="50" t="str">
        <f aca="false">'Project Plan'!H77&amp;""</f>
        <v/>
      </c>
      <c r="I74" s="50" t="str">
        <f aca="false">IF('Project Plan'!C77=3,ROUND('Project Plan'!Z77*Assumptions!$C$6,0)&amp;"h","")</f>
        <v/>
      </c>
    </row>
    <row r="75" customFormat="false" ht="15" hidden="false" customHeight="false" outlineLevel="0" collapsed="false">
      <c r="A75" s="50" t="n">
        <f aca="false">'Project Plan'!A78</f>
        <v>74</v>
      </c>
      <c r="B75" s="50" t="str">
        <f aca="false">'Project Plan'!E78</f>
        <v>Detailed design and contracts</v>
      </c>
      <c r="C75" s="50" t="n">
        <f aca="false">'Project Plan'!C78</f>
        <v>3</v>
      </c>
      <c r="D75" s="50" t="str">
        <f aca="false">'Project Plan'!J78&amp;"d"</f>
        <v>7d</v>
      </c>
      <c r="E75" s="54" t="n">
        <f aca="false">'Project Plan'!K78</f>
        <v>46357</v>
      </c>
      <c r="F75" s="54" t="n">
        <f aca="false">'Project Plan'!L78</f>
        <v>46365</v>
      </c>
      <c r="G75" s="50" t="str">
        <f aca="false">'Project Plan'!M78&amp;""</f>
        <v>20</v>
      </c>
      <c r="H75" s="50" t="str">
        <f aca="false">'Project Plan'!H78&amp;""</f>
        <v>ARC</v>
      </c>
      <c r="I75" s="50" t="str">
        <f aca="false">IF('Project Plan'!C78=3,ROUND('Project Plan'!Z78*Assumptions!$C$6,0)&amp;"h","")</f>
        <v>37h</v>
      </c>
    </row>
    <row r="76" customFormat="false" ht="15" hidden="false" customHeight="false" outlineLevel="0" collapsed="false">
      <c r="A76" s="50" t="n">
        <f aca="false">'Project Plan'!A79</f>
        <v>75</v>
      </c>
      <c r="B76" s="50" t="str">
        <f aca="false">'Project Plan'!E79</f>
        <v>Build and unit tests</v>
      </c>
      <c r="C76" s="50" t="n">
        <f aca="false">'Project Plan'!C79</f>
        <v>3</v>
      </c>
      <c r="D76" s="50" t="str">
        <f aca="false">'Project Plan'!J79&amp;"d"</f>
        <v>20d</v>
      </c>
      <c r="E76" s="54" t="n">
        <f aca="false">'Project Plan'!K79</f>
        <v>46366</v>
      </c>
      <c r="F76" s="54" t="n">
        <f aca="false">'Project Plan'!L79</f>
        <v>46393</v>
      </c>
      <c r="G76" s="50" t="str">
        <f aca="false">'Project Plan'!M79&amp;""</f>
        <v/>
      </c>
      <c r="H76" s="50" t="str">
        <f aca="false">'Project Plan'!H79&amp;""</f>
        <v>BE</v>
      </c>
      <c r="I76" s="50" t="str">
        <f aca="false">IF('Project Plan'!C79=3,ROUND('Project Plan'!Z79*Assumptions!$C$6,0)&amp;"h","")</f>
        <v>101h</v>
      </c>
    </row>
    <row r="77" customFormat="false" ht="15" hidden="false" customHeight="false" outlineLevel="0" collapsed="false">
      <c r="A77" s="50" t="n">
        <f aca="false">'Project Plan'!A80</f>
        <v>76</v>
      </c>
      <c r="B77" s="50" t="str">
        <f aca="false">'Project Plan'!E80</f>
        <v>Component, security and contract tests</v>
      </c>
      <c r="C77" s="50" t="n">
        <f aca="false">'Project Plan'!C80</f>
        <v>3</v>
      </c>
      <c r="D77" s="50" t="str">
        <f aca="false">'Project Plan'!J80&amp;"d"</f>
        <v>8d</v>
      </c>
      <c r="E77" s="54" t="n">
        <f aca="false">'Project Plan'!K80</f>
        <v>46392</v>
      </c>
      <c r="F77" s="54" t="n">
        <f aca="false">'Project Plan'!L80</f>
        <v>46401</v>
      </c>
      <c r="G77" s="50" t="str">
        <f aca="false">'Project Plan'!M80&amp;""</f>
        <v/>
      </c>
      <c r="H77" s="50" t="str">
        <f aca="false">'Project Plan'!H80&amp;""</f>
        <v>QA</v>
      </c>
      <c r="I77" s="50" t="str">
        <f aca="false">IF('Project Plan'!C80=3,ROUND('Project Plan'!Z80*Assumptions!$C$6,0)&amp;"h","")</f>
        <v>37h</v>
      </c>
    </row>
    <row r="78" customFormat="false" ht="15" hidden="false" customHeight="false" outlineLevel="0" collapsed="false">
      <c r="A78" s="50" t="n">
        <f aca="false">'Project Plan'!A81</f>
        <v>77</v>
      </c>
      <c r="B78" s="50" t="str">
        <f aca="false">'Project Plan'!E81</f>
        <v>Citizen portal and app shell (MyGWMC branding, 22-language i18n)</v>
      </c>
      <c r="C78" s="50" t="n">
        <f aca="false">'Project Plan'!C81</f>
        <v>2</v>
      </c>
      <c r="D78" s="50" t="str">
        <f aca="false">'Project Plan'!J81&amp;"d"</f>
        <v>56d</v>
      </c>
      <c r="E78" s="54" t="n">
        <f aca="false">'Project Plan'!K81</f>
        <v>46357</v>
      </c>
      <c r="F78" s="54" t="n">
        <f aca="false">'Project Plan'!L81</f>
        <v>46434</v>
      </c>
      <c r="G78" s="50" t="str">
        <f aca="false">'Project Plan'!M81&amp;""</f>
        <v/>
      </c>
      <c r="H78" s="50" t="str">
        <f aca="false">'Project Plan'!H81&amp;""</f>
        <v/>
      </c>
      <c r="I78" s="50" t="str">
        <f aca="false">IF('Project Plan'!C81=3,ROUND('Project Plan'!Z81*Assumptions!$C$6,0)&amp;"h","")</f>
        <v/>
      </c>
    </row>
    <row r="79" customFormat="false" ht="15" hidden="false" customHeight="false" outlineLevel="0" collapsed="false">
      <c r="A79" s="50" t="n">
        <f aca="false">'Project Plan'!A82</f>
        <v>78</v>
      </c>
      <c r="B79" s="50" t="str">
        <f aca="false">'Project Plan'!E82</f>
        <v>Detailed design and contracts</v>
      </c>
      <c r="C79" s="50" t="n">
        <f aca="false">'Project Plan'!C82</f>
        <v>3</v>
      </c>
      <c r="D79" s="50" t="str">
        <f aca="false">'Project Plan'!J82&amp;"d"</f>
        <v>11d</v>
      </c>
      <c r="E79" s="54" t="n">
        <f aca="false">'Project Plan'!K82</f>
        <v>46357</v>
      </c>
      <c r="F79" s="54" t="n">
        <f aca="false">'Project Plan'!L82</f>
        <v>46371</v>
      </c>
      <c r="G79" s="50" t="str">
        <f aca="false">'Project Plan'!M82&amp;""</f>
        <v>20</v>
      </c>
      <c r="H79" s="50" t="str">
        <f aca="false">'Project Plan'!H82&amp;""</f>
        <v>ARC</v>
      </c>
      <c r="I79" s="50" t="str">
        <f aca="false">IF('Project Plan'!C82=3,ROUND('Project Plan'!Z82*Assumptions!$C$6,0)&amp;"h","")</f>
        <v>18h</v>
      </c>
    </row>
    <row r="80" customFormat="false" ht="15" hidden="false" customHeight="false" outlineLevel="0" collapsed="false">
      <c r="A80" s="50" t="n">
        <f aca="false">'Project Plan'!A83</f>
        <v>79</v>
      </c>
      <c r="B80" s="50" t="str">
        <f aca="false">'Project Plan'!E83</f>
        <v>Build and unit tests</v>
      </c>
      <c r="C80" s="50" t="n">
        <f aca="false">'Project Plan'!C83</f>
        <v>3</v>
      </c>
      <c r="D80" s="50" t="str">
        <f aca="false">'Project Plan'!J83&amp;"d"</f>
        <v>34d</v>
      </c>
      <c r="E80" s="54" t="n">
        <f aca="false">'Project Plan'!K83</f>
        <v>46372</v>
      </c>
      <c r="F80" s="54" t="n">
        <f aca="false">'Project Plan'!L83</f>
        <v>46419</v>
      </c>
      <c r="G80" s="50" t="str">
        <f aca="false">'Project Plan'!M83&amp;""</f>
        <v/>
      </c>
      <c r="H80" s="50" t="str">
        <f aca="false">'Project Plan'!H83&amp;""</f>
        <v>FE</v>
      </c>
      <c r="I80" s="50" t="str">
        <f aca="false">IF('Project Plan'!C83=3,ROUND('Project Plan'!Z83*Assumptions!$C$6,0)&amp;"h","")</f>
        <v>488h</v>
      </c>
    </row>
    <row r="81" customFormat="false" ht="15" hidden="false" customHeight="false" outlineLevel="0" collapsed="false">
      <c r="A81" s="50" t="n">
        <f aca="false">'Project Plan'!A84</f>
        <v>80</v>
      </c>
      <c r="B81" s="50" t="str">
        <f aca="false">'Project Plan'!E84</f>
        <v>Component, security and contract tests</v>
      </c>
      <c r="C81" s="50" t="n">
        <f aca="false">'Project Plan'!C84</f>
        <v>3</v>
      </c>
      <c r="D81" s="50" t="str">
        <f aca="false">'Project Plan'!J84&amp;"d"</f>
        <v>14d</v>
      </c>
      <c r="E81" s="54" t="n">
        <f aca="false">'Project Plan'!K84</f>
        <v>46415</v>
      </c>
      <c r="F81" s="54" t="n">
        <f aca="false">'Project Plan'!L84</f>
        <v>46434</v>
      </c>
      <c r="G81" s="50" t="str">
        <f aca="false">'Project Plan'!M84&amp;""</f>
        <v/>
      </c>
      <c r="H81" s="50" t="str">
        <f aca="false">'Project Plan'!H84&amp;""</f>
        <v>QA</v>
      </c>
      <c r="I81" s="50" t="str">
        <f aca="false">IF('Project Plan'!C84=3,ROUND('Project Plan'!Z84*Assumptions!$C$6,0)&amp;"h","")</f>
        <v>92h</v>
      </c>
    </row>
    <row r="82" customFormat="false" ht="15" hidden="false" customHeight="false" outlineLevel="0" collapsed="false">
      <c r="A82" s="50" t="n">
        <f aca="false">'Project Plan'!A85</f>
        <v>81</v>
      </c>
      <c r="B82" s="50" t="str">
        <f aca="false">'Project Plan'!E85</f>
        <v>Staff console shell, work queues and maps</v>
      </c>
      <c r="C82" s="50" t="n">
        <f aca="false">'Project Plan'!C85</f>
        <v>2</v>
      </c>
      <c r="D82" s="50" t="str">
        <f aca="false">'Project Plan'!J85&amp;"d"</f>
        <v>45d</v>
      </c>
      <c r="E82" s="54" t="n">
        <f aca="false">'Project Plan'!K85</f>
        <v>46357</v>
      </c>
      <c r="F82" s="54" t="n">
        <f aca="false">'Project Plan'!L85</f>
        <v>46419</v>
      </c>
      <c r="G82" s="50" t="str">
        <f aca="false">'Project Plan'!M85&amp;""</f>
        <v/>
      </c>
      <c r="H82" s="50" t="str">
        <f aca="false">'Project Plan'!H85&amp;""</f>
        <v/>
      </c>
      <c r="I82" s="50" t="str">
        <f aca="false">IF('Project Plan'!C85=3,ROUND('Project Plan'!Z85*Assumptions!$C$6,0)&amp;"h","")</f>
        <v/>
      </c>
    </row>
    <row r="83" customFormat="false" ht="15" hidden="false" customHeight="false" outlineLevel="0" collapsed="false">
      <c r="A83" s="50" t="n">
        <f aca="false">'Project Plan'!A86</f>
        <v>82</v>
      </c>
      <c r="B83" s="50" t="str">
        <f aca="false">'Project Plan'!E86</f>
        <v>Detailed design and contracts</v>
      </c>
      <c r="C83" s="50" t="n">
        <f aca="false">'Project Plan'!C86</f>
        <v>3</v>
      </c>
      <c r="D83" s="50" t="str">
        <f aca="false">'Project Plan'!J86&amp;"d"</f>
        <v>9d</v>
      </c>
      <c r="E83" s="54" t="n">
        <f aca="false">'Project Plan'!K86</f>
        <v>46357</v>
      </c>
      <c r="F83" s="54" t="n">
        <f aca="false">'Project Plan'!L86</f>
        <v>46367</v>
      </c>
      <c r="G83" s="50" t="str">
        <f aca="false">'Project Plan'!M86&amp;""</f>
        <v>20</v>
      </c>
      <c r="H83" s="50" t="str">
        <f aca="false">'Project Plan'!H86&amp;""</f>
        <v>ARC</v>
      </c>
      <c r="I83" s="50" t="str">
        <f aca="false">IF('Project Plan'!C86=3,ROUND('Project Plan'!Z86*Assumptions!$C$6,0)&amp;"h","")</f>
        <v>18h</v>
      </c>
    </row>
    <row r="84" customFormat="false" ht="15" hidden="false" customHeight="false" outlineLevel="0" collapsed="false">
      <c r="A84" s="50" t="n">
        <f aca="false">'Project Plan'!A87</f>
        <v>83</v>
      </c>
      <c r="B84" s="50" t="str">
        <f aca="false">'Project Plan'!E87</f>
        <v>Build and unit tests</v>
      </c>
      <c r="C84" s="50" t="n">
        <f aca="false">'Project Plan'!C87</f>
        <v>3</v>
      </c>
      <c r="D84" s="50" t="str">
        <f aca="false">'Project Plan'!J87&amp;"d"</f>
        <v>27d</v>
      </c>
      <c r="E84" s="54" t="n">
        <f aca="false">'Project Plan'!K87</f>
        <v>46370</v>
      </c>
      <c r="F84" s="54" t="n">
        <f aca="false">'Project Plan'!L87</f>
        <v>46406</v>
      </c>
      <c r="G84" s="50" t="str">
        <f aca="false">'Project Plan'!M87&amp;""</f>
        <v/>
      </c>
      <c r="H84" s="50" t="str">
        <f aca="false">'Project Plan'!H87&amp;""</f>
        <v>FE</v>
      </c>
      <c r="I84" s="50" t="str">
        <f aca="false">IF('Project Plan'!C87=3,ROUND('Project Plan'!Z87*Assumptions!$C$6,0)&amp;"h","")</f>
        <v>202h</v>
      </c>
    </row>
    <row r="85" customFormat="false" ht="15" hidden="false" customHeight="false" outlineLevel="0" collapsed="false">
      <c r="A85" s="50" t="n">
        <f aca="false">'Project Plan'!A88</f>
        <v>84</v>
      </c>
      <c r="B85" s="50" t="str">
        <f aca="false">'Project Plan'!E88</f>
        <v>Component, security and contract tests</v>
      </c>
      <c r="C85" s="50" t="n">
        <f aca="false">'Project Plan'!C88</f>
        <v>3</v>
      </c>
      <c r="D85" s="50" t="str">
        <f aca="false">'Project Plan'!J88&amp;"d"</f>
        <v>11d</v>
      </c>
      <c r="E85" s="54" t="n">
        <f aca="false">'Project Plan'!K88</f>
        <v>46405</v>
      </c>
      <c r="F85" s="54" t="n">
        <f aca="false">'Project Plan'!L88</f>
        <v>46419</v>
      </c>
      <c r="G85" s="50" t="str">
        <f aca="false">'Project Plan'!M88&amp;""</f>
        <v/>
      </c>
      <c r="H85" s="50" t="str">
        <f aca="false">'Project Plan'!H88&amp;""</f>
        <v>QA</v>
      </c>
      <c r="I85" s="50" t="str">
        <f aca="false">IF('Project Plan'!C88=3,ROUND('Project Plan'!Z88*Assumptions!$C$6,0)&amp;"h","")</f>
        <v>55h</v>
      </c>
    </row>
    <row r="86" customFormat="false" ht="15" hidden="false" customHeight="false" outlineLevel="0" collapsed="false">
      <c r="A86" s="50" t="n">
        <f aca="false">'Project Plan'!A89</f>
        <v>85</v>
      </c>
      <c r="B86" s="50" t="str">
        <f aca="false">'Project Plan'!E89</f>
        <v>Field app shell and offline sync service</v>
      </c>
      <c r="C86" s="50" t="n">
        <f aca="false">'Project Plan'!C89</f>
        <v>2</v>
      </c>
      <c r="D86" s="50" t="str">
        <f aca="false">'Project Plan'!J89&amp;"d"</f>
        <v>51d</v>
      </c>
      <c r="E86" s="54" t="n">
        <f aca="false">'Project Plan'!K89</f>
        <v>46365</v>
      </c>
      <c r="F86" s="54" t="n">
        <f aca="false">'Project Plan'!L89</f>
        <v>46435</v>
      </c>
      <c r="G86" s="50" t="str">
        <f aca="false">'Project Plan'!M89&amp;""</f>
        <v/>
      </c>
      <c r="H86" s="50" t="str">
        <f aca="false">'Project Plan'!H89&amp;""</f>
        <v/>
      </c>
      <c r="I86" s="50" t="str">
        <f aca="false">IF('Project Plan'!C89=3,ROUND('Project Plan'!Z89*Assumptions!$C$6,0)&amp;"h","")</f>
        <v/>
      </c>
    </row>
    <row r="87" customFormat="false" ht="15" hidden="false" customHeight="false" outlineLevel="0" collapsed="false">
      <c r="A87" s="50" t="n">
        <f aca="false">'Project Plan'!A90</f>
        <v>86</v>
      </c>
      <c r="B87" s="50" t="str">
        <f aca="false">'Project Plan'!E90</f>
        <v>Detailed design and contracts</v>
      </c>
      <c r="C87" s="50" t="n">
        <f aca="false">'Project Plan'!C90</f>
        <v>3</v>
      </c>
      <c r="D87" s="50" t="str">
        <f aca="false">'Project Plan'!J90&amp;"d"</f>
        <v>10d</v>
      </c>
      <c r="E87" s="54" t="n">
        <f aca="false">'Project Plan'!K90</f>
        <v>46365</v>
      </c>
      <c r="F87" s="54" t="n">
        <f aca="false">'Project Plan'!L90</f>
        <v>46378</v>
      </c>
      <c r="G87" s="50" t="str">
        <f aca="false">'Project Plan'!M90&amp;""</f>
        <v>20</v>
      </c>
      <c r="H87" s="50" t="str">
        <f aca="false">'Project Plan'!H90&amp;""</f>
        <v>ARC</v>
      </c>
      <c r="I87" s="50" t="str">
        <f aca="false">IF('Project Plan'!C90=3,ROUND('Project Plan'!Z90*Assumptions!$C$6,0)&amp;"h","")</f>
        <v>28h</v>
      </c>
    </row>
    <row r="88" customFormat="false" ht="15" hidden="false" customHeight="false" outlineLevel="0" collapsed="false">
      <c r="A88" s="50" t="n">
        <f aca="false">'Project Plan'!A91</f>
        <v>87</v>
      </c>
      <c r="B88" s="50" t="str">
        <f aca="false">'Project Plan'!E91</f>
        <v>Build and unit tests</v>
      </c>
      <c r="C88" s="50" t="n">
        <f aca="false">'Project Plan'!C91</f>
        <v>3</v>
      </c>
      <c r="D88" s="50" t="str">
        <f aca="false">'Project Plan'!J91&amp;"d"</f>
        <v>30d</v>
      </c>
      <c r="E88" s="54" t="n">
        <f aca="false">'Project Plan'!K91</f>
        <v>46379</v>
      </c>
      <c r="F88" s="54" t="n">
        <f aca="false">'Project Plan'!L91</f>
        <v>46420</v>
      </c>
      <c r="G88" s="50" t="str">
        <f aca="false">'Project Plan'!M91&amp;""</f>
        <v/>
      </c>
      <c r="H88" s="50" t="str">
        <f aca="false">'Project Plan'!H91&amp;""</f>
        <v>MOB</v>
      </c>
      <c r="I88" s="50" t="str">
        <f aca="false">IF('Project Plan'!C91=3,ROUND('Project Plan'!Z91*Assumptions!$C$6,0)&amp;"h","")</f>
        <v>350h</v>
      </c>
    </row>
    <row r="89" customFormat="false" ht="15" hidden="false" customHeight="false" outlineLevel="0" collapsed="false">
      <c r="A89" s="50" t="n">
        <f aca="false">'Project Plan'!A92</f>
        <v>88</v>
      </c>
      <c r="B89" s="50" t="str">
        <f aca="false">'Project Plan'!E92</f>
        <v>Component, security and contract tests</v>
      </c>
      <c r="C89" s="50" t="n">
        <f aca="false">'Project Plan'!C92</f>
        <v>3</v>
      </c>
      <c r="D89" s="50" t="str">
        <f aca="false">'Project Plan'!J92&amp;"d"</f>
        <v>13d</v>
      </c>
      <c r="E89" s="54" t="n">
        <f aca="false">'Project Plan'!K92</f>
        <v>46419</v>
      </c>
      <c r="F89" s="54" t="n">
        <f aca="false">'Project Plan'!L92</f>
        <v>46435</v>
      </c>
      <c r="G89" s="50" t="str">
        <f aca="false">'Project Plan'!M92&amp;""</f>
        <v/>
      </c>
      <c r="H89" s="50" t="str">
        <f aca="false">'Project Plan'!H92&amp;""</f>
        <v>QA</v>
      </c>
      <c r="I89" s="50" t="str">
        <f aca="false">IF('Project Plan'!C92=3,ROUND('Project Plan'!Z92*Assumptions!$C$6,0)&amp;"h","")</f>
        <v>83h</v>
      </c>
    </row>
    <row r="90" customFormat="false" ht="15" hidden="false" customHeight="false" outlineLevel="0" collapsed="false">
      <c r="A90" s="50" t="n">
        <f aca="false">'Project Plan'!A93</f>
        <v>89</v>
      </c>
      <c r="B90" s="50" t="str">
        <f aca="false">'Project Plan'!E93</f>
        <v>Reporting warehouse, ELT and Superset dashboards</v>
      </c>
      <c r="C90" s="50" t="n">
        <f aca="false">'Project Plan'!C93</f>
        <v>2</v>
      </c>
      <c r="D90" s="50" t="str">
        <f aca="false">'Project Plan'!J93&amp;"d"</f>
        <v>45d</v>
      </c>
      <c r="E90" s="54" t="n">
        <f aca="false">'Project Plan'!K93</f>
        <v>46395</v>
      </c>
      <c r="F90" s="54" t="n">
        <f aca="false">'Project Plan'!L93</f>
        <v>46457</v>
      </c>
      <c r="G90" s="50" t="str">
        <f aca="false">'Project Plan'!M93&amp;""</f>
        <v/>
      </c>
      <c r="H90" s="50" t="str">
        <f aca="false">'Project Plan'!H93&amp;""</f>
        <v/>
      </c>
      <c r="I90" s="50" t="str">
        <f aca="false">IF('Project Plan'!C93=3,ROUND('Project Plan'!Z93*Assumptions!$C$6,0)&amp;"h","")</f>
        <v/>
      </c>
    </row>
    <row r="91" customFormat="false" ht="15" hidden="false" customHeight="false" outlineLevel="0" collapsed="false">
      <c r="A91" s="50" t="n">
        <f aca="false">'Project Plan'!A94</f>
        <v>90</v>
      </c>
      <c r="B91" s="50" t="str">
        <f aca="false">'Project Plan'!E94</f>
        <v>Detailed design and contracts</v>
      </c>
      <c r="C91" s="50" t="n">
        <f aca="false">'Project Plan'!C94</f>
        <v>3</v>
      </c>
      <c r="D91" s="50" t="str">
        <f aca="false">'Project Plan'!J94&amp;"d"</f>
        <v>9d</v>
      </c>
      <c r="E91" s="54" t="n">
        <f aca="false">'Project Plan'!K94</f>
        <v>46395</v>
      </c>
      <c r="F91" s="54" t="n">
        <f aca="false">'Project Plan'!L94</f>
        <v>46407</v>
      </c>
      <c r="G91" s="50" t="str">
        <f aca="false">'Project Plan'!M94&amp;""</f>
        <v>20</v>
      </c>
      <c r="H91" s="50" t="str">
        <f aca="false">'Project Plan'!H94&amp;""</f>
        <v>ARC</v>
      </c>
      <c r="I91" s="50" t="str">
        <f aca="false">IF('Project Plan'!C94=3,ROUND('Project Plan'!Z94*Assumptions!$C$6,0)&amp;"h","")</f>
        <v>37h</v>
      </c>
    </row>
    <row r="92" customFormat="false" ht="15" hidden="false" customHeight="false" outlineLevel="0" collapsed="false">
      <c r="A92" s="50" t="n">
        <f aca="false">'Project Plan'!A95</f>
        <v>91</v>
      </c>
      <c r="B92" s="50" t="str">
        <f aca="false">'Project Plan'!E95</f>
        <v>Build and unit tests</v>
      </c>
      <c r="C92" s="50" t="n">
        <f aca="false">'Project Plan'!C95</f>
        <v>3</v>
      </c>
      <c r="D92" s="50" t="str">
        <f aca="false">'Project Plan'!J95&amp;"d"</f>
        <v>27d</v>
      </c>
      <c r="E92" s="54" t="n">
        <f aca="false">'Project Plan'!K95</f>
        <v>46408</v>
      </c>
      <c r="F92" s="54" t="n">
        <f aca="false">'Project Plan'!L95</f>
        <v>46444</v>
      </c>
      <c r="G92" s="50" t="str">
        <f aca="false">'Project Plan'!M95&amp;""</f>
        <v/>
      </c>
      <c r="H92" s="50" t="str">
        <f aca="false">'Project Plan'!H95&amp;""</f>
        <v>BE</v>
      </c>
      <c r="I92" s="50" t="str">
        <f aca="false">IF('Project Plan'!C95=3,ROUND('Project Plan'!Z95*Assumptions!$C$6,0)&amp;"h","")</f>
        <v>248h</v>
      </c>
    </row>
    <row r="93" customFormat="false" ht="15" hidden="false" customHeight="false" outlineLevel="0" collapsed="false">
      <c r="A93" s="50" t="n">
        <f aca="false">'Project Plan'!A96</f>
        <v>92</v>
      </c>
      <c r="B93" s="50" t="str">
        <f aca="false">'Project Plan'!E96</f>
        <v>Component, security and contract tests</v>
      </c>
      <c r="C93" s="50" t="n">
        <f aca="false">'Project Plan'!C96</f>
        <v>3</v>
      </c>
      <c r="D93" s="50" t="str">
        <f aca="false">'Project Plan'!J96&amp;"d"</f>
        <v>11d</v>
      </c>
      <c r="E93" s="54" t="n">
        <f aca="false">'Project Plan'!K96</f>
        <v>46443</v>
      </c>
      <c r="F93" s="54" t="n">
        <f aca="false">'Project Plan'!L96</f>
        <v>46457</v>
      </c>
      <c r="G93" s="50" t="str">
        <f aca="false">'Project Plan'!M96&amp;""</f>
        <v/>
      </c>
      <c r="H93" s="50" t="str">
        <f aca="false">'Project Plan'!H96&amp;""</f>
        <v>QA</v>
      </c>
      <c r="I93" s="50" t="str">
        <f aca="false">IF('Project Plan'!C96=3,ROUND('Project Plan'!Z96*Assumptions!$C$6,0)&amp;"h","")</f>
        <v>55h</v>
      </c>
    </row>
    <row r="94" customFormat="false" ht="15" hidden="false" customHeight="false" outlineLevel="0" collapsed="false">
      <c r="A94" s="50" t="n">
        <f aca="false">'Project Plan'!A97</f>
        <v>93</v>
      </c>
      <c r="B94" s="50" t="str">
        <f aca="false">'Project Plan'!E97</f>
        <v>Observability: OpenTelemetry, Prometheus, Grafana, Loki</v>
      </c>
      <c r="C94" s="50" t="n">
        <f aca="false">'Project Plan'!C97</f>
        <v>2</v>
      </c>
      <c r="D94" s="50" t="str">
        <f aca="false">'Project Plan'!J97&amp;"d"</f>
        <v>39d</v>
      </c>
      <c r="E94" s="54" t="n">
        <f aca="false">'Project Plan'!K97</f>
        <v>46350</v>
      </c>
      <c r="F94" s="54" t="n">
        <f aca="false">'Project Plan'!L97</f>
        <v>46402</v>
      </c>
      <c r="G94" s="50" t="str">
        <f aca="false">'Project Plan'!M97&amp;""</f>
        <v/>
      </c>
      <c r="H94" s="50" t="str">
        <f aca="false">'Project Plan'!H97&amp;""</f>
        <v/>
      </c>
      <c r="I94" s="50" t="str">
        <f aca="false">IF('Project Plan'!C97=3,ROUND('Project Plan'!Z97*Assumptions!$C$6,0)&amp;"h","")</f>
        <v/>
      </c>
    </row>
    <row r="95" customFormat="false" ht="15" hidden="false" customHeight="false" outlineLevel="0" collapsed="false">
      <c r="A95" s="50" t="n">
        <f aca="false">'Project Plan'!A98</f>
        <v>94</v>
      </c>
      <c r="B95" s="50" t="str">
        <f aca="false">'Project Plan'!E98</f>
        <v>Detailed design and contracts</v>
      </c>
      <c r="C95" s="50" t="n">
        <f aca="false">'Project Plan'!C98</f>
        <v>3</v>
      </c>
      <c r="D95" s="50" t="str">
        <f aca="false">'Project Plan'!J98&amp;"d"</f>
        <v>8d</v>
      </c>
      <c r="E95" s="54" t="n">
        <f aca="false">'Project Plan'!K98</f>
        <v>46350</v>
      </c>
      <c r="F95" s="54" t="n">
        <f aca="false">'Project Plan'!L98</f>
        <v>46359</v>
      </c>
      <c r="G95" s="50" t="str">
        <f aca="false">'Project Plan'!M98&amp;""</f>
        <v>20</v>
      </c>
      <c r="H95" s="50" t="str">
        <f aca="false">'Project Plan'!H98&amp;""</f>
        <v>ARC</v>
      </c>
      <c r="I95" s="50" t="str">
        <f aca="false">IF('Project Plan'!C98=3,ROUND('Project Plan'!Z98*Assumptions!$C$6,0)&amp;"h","")</f>
        <v>18h</v>
      </c>
    </row>
    <row r="96" customFormat="false" ht="15" hidden="false" customHeight="false" outlineLevel="0" collapsed="false">
      <c r="A96" s="50" t="n">
        <f aca="false">'Project Plan'!A99</f>
        <v>95</v>
      </c>
      <c r="B96" s="50" t="str">
        <f aca="false">'Project Plan'!E99</f>
        <v>Build and unit tests</v>
      </c>
      <c r="C96" s="50" t="n">
        <f aca="false">'Project Plan'!C99</f>
        <v>3</v>
      </c>
      <c r="D96" s="50" t="str">
        <f aca="false">'Project Plan'!J99&amp;"d"</f>
        <v>24d</v>
      </c>
      <c r="E96" s="54" t="n">
        <f aca="false">'Project Plan'!K99</f>
        <v>46359</v>
      </c>
      <c r="F96" s="54" t="n">
        <f aca="false">'Project Plan'!L99</f>
        <v>46392</v>
      </c>
      <c r="G96" s="50" t="str">
        <f aca="false">'Project Plan'!M99&amp;""</f>
        <v/>
      </c>
      <c r="H96" s="50" t="str">
        <f aca="false">'Project Plan'!H99&amp;""</f>
        <v>DEV</v>
      </c>
      <c r="I96" s="50" t="str">
        <f aca="false">IF('Project Plan'!C99=3,ROUND('Project Plan'!Z99*Assumptions!$C$6,0)&amp;"h","")</f>
        <v>138h</v>
      </c>
    </row>
    <row r="97" customFormat="false" ht="15" hidden="false" customHeight="false" outlineLevel="0" collapsed="false">
      <c r="A97" s="50" t="n">
        <f aca="false">'Project Plan'!A100</f>
        <v>96</v>
      </c>
      <c r="B97" s="50" t="str">
        <f aca="false">'Project Plan'!E100</f>
        <v>Component, security and contract tests</v>
      </c>
      <c r="C97" s="50" t="n">
        <f aca="false">'Project Plan'!C100</f>
        <v>3</v>
      </c>
      <c r="D97" s="50" t="str">
        <f aca="false">'Project Plan'!J100&amp;"d"</f>
        <v>10d</v>
      </c>
      <c r="E97" s="54" t="n">
        <f aca="false">'Project Plan'!K100</f>
        <v>46391</v>
      </c>
      <c r="F97" s="54" t="n">
        <f aca="false">'Project Plan'!L100</f>
        <v>46402</v>
      </c>
      <c r="G97" s="50" t="str">
        <f aca="false">'Project Plan'!M100&amp;""</f>
        <v/>
      </c>
      <c r="H97" s="50" t="str">
        <f aca="false">'Project Plan'!H100&amp;""</f>
        <v>QA</v>
      </c>
      <c r="I97" s="50" t="str">
        <f aca="false">IF('Project Plan'!C100=3,ROUND('Project Plan'!Z100*Assumptions!$C$6,0)&amp;"h","")</f>
        <v>28h</v>
      </c>
    </row>
    <row r="98" customFormat="false" ht="15" hidden="false" customHeight="false" outlineLevel="0" collapsed="false">
      <c r="A98" s="50" t="n">
        <f aca="false">'Project Plan'!A101</f>
        <v>97</v>
      </c>
      <c r="B98" s="50" t="str">
        <f aca="false">'Project Plan'!E101</f>
        <v>Infrastructure and security (production)</v>
      </c>
      <c r="C98" s="50" t="n">
        <f aca="false">'Project Plan'!C101</f>
        <v>2</v>
      </c>
      <c r="D98" s="50" t="str">
        <f aca="false">'Project Plan'!J101&amp;"d"</f>
        <v>45d</v>
      </c>
      <c r="E98" s="54" t="n">
        <f aca="false">'Project Plan'!K101</f>
        <v>46384</v>
      </c>
      <c r="F98" s="54" t="n">
        <f aca="false">'Project Plan'!L101</f>
        <v>46444</v>
      </c>
      <c r="G98" s="50" t="str">
        <f aca="false">'Project Plan'!M101&amp;""</f>
        <v/>
      </c>
      <c r="H98" s="50" t="str">
        <f aca="false">'Project Plan'!H101&amp;""</f>
        <v/>
      </c>
      <c r="I98" s="50" t="str">
        <f aca="false">IF('Project Plan'!C101=3,ROUND('Project Plan'!Z101*Assumptions!$C$6,0)&amp;"h","")</f>
        <v/>
      </c>
    </row>
    <row r="99" customFormat="false" ht="15" hidden="false" customHeight="false" outlineLevel="0" collapsed="false">
      <c r="A99" s="50" t="n">
        <f aca="false">'Project Plan'!A102</f>
        <v>98</v>
      </c>
      <c r="B99" s="50" t="str">
        <f aca="false">'Project Plan'!E102</f>
        <v>Production cluster in State Data Centre</v>
      </c>
      <c r="C99" s="50" t="n">
        <f aca="false">'Project Plan'!C102</f>
        <v>3</v>
      </c>
      <c r="D99" s="50" t="str">
        <f aca="false">'Project Plan'!J102&amp;"d"</f>
        <v>30d</v>
      </c>
      <c r="E99" s="54" t="n">
        <f aca="false">'Project Plan'!K102</f>
        <v>46384</v>
      </c>
      <c r="F99" s="54" t="n">
        <f aca="false">'Project Plan'!L102</f>
        <v>46423</v>
      </c>
      <c r="G99" s="50" t="str">
        <f aca="false">'Project Plan'!M102&amp;""</f>
        <v/>
      </c>
      <c r="H99" s="50" t="str">
        <f aca="false">'Project Plan'!H102&amp;""</f>
        <v>DEV</v>
      </c>
      <c r="I99" s="50" t="str">
        <f aca="false">IF('Project Plan'!C102=3,ROUND('Project Plan'!Z102*Assumptions!$C$6,0)&amp;"h","")</f>
        <v>193h</v>
      </c>
    </row>
    <row r="100" customFormat="false" ht="15" hidden="false" customHeight="false" outlineLevel="0" collapsed="false">
      <c r="A100" s="50" t="n">
        <f aca="false">'Project Plan'!A103</f>
        <v>99</v>
      </c>
      <c r="B100" s="50" t="str">
        <f aca="false">'Project Plan'!E103</f>
        <v>DR site, replication and backup</v>
      </c>
      <c r="C100" s="50" t="n">
        <f aca="false">'Project Plan'!C103</f>
        <v>3</v>
      </c>
      <c r="D100" s="50" t="str">
        <f aca="false">'Project Plan'!J103&amp;"d"</f>
        <v>25d</v>
      </c>
      <c r="E100" s="54" t="n">
        <f aca="false">'Project Plan'!K103</f>
        <v>46412</v>
      </c>
      <c r="F100" s="54" t="n">
        <f aca="false">'Project Plan'!L103</f>
        <v>46444</v>
      </c>
      <c r="G100" s="50" t="str">
        <f aca="false">'Project Plan'!M103&amp;""</f>
        <v/>
      </c>
      <c r="H100" s="50" t="str">
        <f aca="false">'Project Plan'!H103&amp;""</f>
        <v>DEV</v>
      </c>
      <c r="I100" s="50" t="str">
        <f aca="false">IF('Project Plan'!C103=3,ROUND('Project Plan'!Z103*Assumptions!$C$6,0)&amp;"h","")</f>
        <v>129h</v>
      </c>
    </row>
    <row r="101" customFormat="false" ht="15" hidden="false" customHeight="false" outlineLevel="0" collapsed="false">
      <c r="A101" s="50" t="n">
        <f aca="false">'Project Plan'!A104</f>
        <v>100</v>
      </c>
      <c r="B101" s="50" t="str">
        <f aca="false">'Project Plan'!E104</f>
        <v>HSM, secrets (OpenBao), hardening and network policies</v>
      </c>
      <c r="C101" s="50" t="n">
        <f aca="false">'Project Plan'!C104</f>
        <v>3</v>
      </c>
      <c r="D101" s="50" t="str">
        <f aca="false">'Project Plan'!J104&amp;"d"</f>
        <v>25d</v>
      </c>
      <c r="E101" s="54" t="n">
        <f aca="false">'Project Plan'!K104</f>
        <v>46398</v>
      </c>
      <c r="F101" s="54" t="n">
        <f aca="false">'Project Plan'!L104</f>
        <v>46430</v>
      </c>
      <c r="G101" s="50" t="str">
        <f aca="false">'Project Plan'!M104&amp;""</f>
        <v/>
      </c>
      <c r="H101" s="50" t="str">
        <f aca="false">'Project Plan'!H104&amp;""</f>
        <v>DEV</v>
      </c>
      <c r="I101" s="50" t="str">
        <f aca="false">IF('Project Plan'!C104=3,ROUND('Project Plan'!Z104*Assumptions!$C$6,0)&amp;"h","")</f>
        <v>120h</v>
      </c>
    </row>
    <row r="102" customFormat="false" ht="15" hidden="false" customHeight="false" outlineLevel="0" collapsed="false">
      <c r="A102" s="50" t="n">
        <f aca="false">'Project Plan'!A105</f>
        <v>101</v>
      </c>
      <c r="B102" s="50" t="str">
        <f aca="false">'Project Plan'!E105</f>
        <v>SIEM (Wazuh) and NTP to NIC/NPL time servers</v>
      </c>
      <c r="C102" s="50" t="n">
        <f aca="false">'Project Plan'!C105</f>
        <v>3</v>
      </c>
      <c r="D102" s="50" t="str">
        <f aca="false">'Project Plan'!J105&amp;"d"</f>
        <v>20d</v>
      </c>
      <c r="E102" s="54" t="n">
        <f aca="false">'Project Plan'!K105</f>
        <v>46412</v>
      </c>
      <c r="F102" s="54" t="n">
        <f aca="false">'Project Plan'!L105</f>
        <v>46437</v>
      </c>
      <c r="G102" s="50" t="str">
        <f aca="false">'Project Plan'!M105&amp;""</f>
        <v/>
      </c>
      <c r="H102" s="50" t="str">
        <f aca="false">'Project Plan'!H105&amp;""</f>
        <v>DEV</v>
      </c>
      <c r="I102" s="50" t="str">
        <f aca="false">IF('Project Plan'!C105=3,ROUND('Project Plan'!Z105*Assumptions!$C$6,0)&amp;"h","")</f>
        <v>74h</v>
      </c>
    </row>
    <row r="103" customFormat="false" ht="15" hidden="false" customHeight="false" outlineLevel="0" collapsed="false">
      <c r="A103" s="50" t="n">
        <f aca="false">'Project Plan'!A106</f>
        <v>102</v>
      </c>
      <c r="B103" s="50" t="str">
        <f aca="false">'Project Plan'!E106</f>
        <v>Phase 1: Foundation and revenue core</v>
      </c>
      <c r="C103" s="50" t="n">
        <f aca="false">'Project Plan'!C106</f>
        <v>1</v>
      </c>
      <c r="D103" s="50" t="str">
        <f aca="false">'Project Plan'!J106&amp;"d"</f>
        <v>120d</v>
      </c>
      <c r="E103" s="54" t="n">
        <f aca="false">'Project Plan'!K106</f>
        <v>46356</v>
      </c>
      <c r="F103" s="54" t="n">
        <f aca="false">'Project Plan'!L106</f>
        <v>46521</v>
      </c>
      <c r="G103" s="50" t="str">
        <f aca="false">'Project Plan'!M106&amp;""</f>
        <v/>
      </c>
      <c r="H103" s="50" t="str">
        <f aca="false">'Project Plan'!H106&amp;""</f>
        <v/>
      </c>
      <c r="I103" s="50" t="str">
        <f aca="false">IF('Project Plan'!C106=3,ROUND('Project Plan'!Z106*Assumptions!$C$6,0)&amp;"h","")</f>
        <v/>
      </c>
    </row>
    <row r="104" customFormat="false" ht="15" hidden="false" customHeight="false" outlineLevel="0" collapsed="false">
      <c r="A104" s="50" t="n">
        <f aca="false">'Project Plan'!A107</f>
        <v>103</v>
      </c>
      <c r="B104" s="50" t="str">
        <f aca="false">'Project Plan'!E107</f>
        <v>Module 1: Property Tax &amp; Revenue Management</v>
      </c>
      <c r="C104" s="50" t="n">
        <f aca="false">'Project Plan'!C107</f>
        <v>2</v>
      </c>
      <c r="D104" s="50" t="str">
        <f aca="false">'Project Plan'!J107&amp;"d"</f>
        <v>101d</v>
      </c>
      <c r="E104" s="54" t="n">
        <f aca="false">'Project Plan'!K107</f>
        <v>46356</v>
      </c>
      <c r="F104" s="54" t="n">
        <f aca="false">'Project Plan'!L107</f>
        <v>46496</v>
      </c>
      <c r="G104" s="50" t="str">
        <f aca="false">'Project Plan'!M107&amp;""</f>
        <v/>
      </c>
      <c r="H104" s="50" t="str">
        <f aca="false">'Project Plan'!H107&amp;""</f>
        <v/>
      </c>
      <c r="I104" s="50" t="str">
        <f aca="false">IF('Project Plan'!C107=3,ROUND('Project Plan'!Z107*Assumptions!$C$6,0)&amp;"h","")</f>
        <v/>
      </c>
    </row>
    <row r="105" customFormat="false" ht="15" hidden="false" customHeight="false" outlineLevel="0" collapsed="false">
      <c r="A105" s="50" t="n">
        <f aca="false">'Project Plan'!A108</f>
        <v>104</v>
      </c>
      <c r="B105" s="50" t="str">
        <f aca="false">'Project Plan'!E108</f>
        <v>Process validation workshops and to-be sign-off</v>
      </c>
      <c r="C105" s="50" t="n">
        <f aca="false">'Project Plan'!C108</f>
        <v>3</v>
      </c>
      <c r="D105" s="50" t="str">
        <f aca="false">'Project Plan'!J108&amp;"d"</f>
        <v>13d</v>
      </c>
      <c r="E105" s="54" t="n">
        <f aca="false">'Project Plan'!K108</f>
        <v>46356</v>
      </c>
      <c r="F105" s="54" t="n">
        <f aca="false">'Project Plan'!L108</f>
        <v>46372</v>
      </c>
      <c r="G105" s="50" t="str">
        <f aca="false">'Project Plan'!M108&amp;""</f>
        <v>23</v>
      </c>
      <c r="H105" s="50" t="str">
        <f aca="false">'Project Plan'!H108&amp;""</f>
        <v>BA</v>
      </c>
      <c r="I105" s="50" t="str">
        <f aca="false">IF('Project Plan'!C108=3,ROUND('Project Plan'!Z108*Assumptions!$C$6,0)&amp;"h","")</f>
        <v>175h</v>
      </c>
    </row>
    <row r="106" customFormat="false" ht="15" hidden="false" customHeight="false" outlineLevel="0" collapsed="false">
      <c r="A106" s="50" t="n">
        <f aca="false">'Project Plan'!A109</f>
        <v>105</v>
      </c>
      <c r="B106" s="50" t="str">
        <f aca="false">'Project Plan'!E109</f>
        <v>LLD, data model and API/event contracts</v>
      </c>
      <c r="C106" s="50" t="n">
        <f aca="false">'Project Plan'!C109</f>
        <v>3</v>
      </c>
      <c r="D106" s="50" t="str">
        <f aca="false">'Project Plan'!J109&amp;"d"</f>
        <v>13d</v>
      </c>
      <c r="E106" s="54" t="n">
        <f aca="false">'Project Plan'!K109</f>
        <v>46367</v>
      </c>
      <c r="F106" s="54" t="n">
        <f aca="false">'Project Plan'!L109</f>
        <v>46385</v>
      </c>
      <c r="G106" s="50" t="str">
        <f aca="false">'Project Plan'!M109&amp;""</f>
        <v>104</v>
      </c>
      <c r="H106" s="50" t="str">
        <f aca="false">'Project Plan'!H109&amp;""</f>
        <v>ARC</v>
      </c>
      <c r="I106" s="50" t="str">
        <f aca="false">IF('Project Plan'!C109=3,ROUND('Project Plan'!Z109*Assumptions!$C$6,0)&amp;"h","")</f>
        <v>166h</v>
      </c>
    </row>
    <row r="107" customFormat="false" ht="15" hidden="false" customHeight="false" outlineLevel="0" collapsed="false">
      <c r="A107" s="50" t="n">
        <f aca="false">'Project Plan'!A110</f>
        <v>106</v>
      </c>
      <c r="B107" s="50" t="str">
        <f aca="false">'Project Plan'!E110</f>
        <v>UX wireframes and UI design</v>
      </c>
      <c r="C107" s="50" t="n">
        <f aca="false">'Project Plan'!C110</f>
        <v>3</v>
      </c>
      <c r="D107" s="50" t="str">
        <f aca="false">'Project Plan'!J110&amp;"d"</f>
        <v>13d</v>
      </c>
      <c r="E107" s="54" t="n">
        <f aca="false">'Project Plan'!K110</f>
        <v>46367</v>
      </c>
      <c r="F107" s="54" t="n">
        <f aca="false">'Project Plan'!L110</f>
        <v>46385</v>
      </c>
      <c r="G107" s="50" t="str">
        <f aca="false">'Project Plan'!M110&amp;""</f>
        <v>104</v>
      </c>
      <c r="H107" s="50" t="str">
        <f aca="false">'Project Plan'!H110&amp;""</f>
        <v>FE</v>
      </c>
      <c r="I107" s="50" t="str">
        <f aca="false">IF('Project Plan'!C110=3,ROUND('Project Plan'!Z110*Assumptions!$C$6,0)&amp;"h","")</f>
        <v>138h</v>
      </c>
    </row>
    <row r="108" customFormat="false" ht="15" hidden="false" customHeight="false" outlineLevel="0" collapsed="false">
      <c r="A108" s="50" t="n">
        <f aca="false">'Project Plan'!A111</f>
        <v>107</v>
      </c>
      <c r="B108" s="50" t="str">
        <f aca="false">'Project Plan'!E111</f>
        <v>Database schema, domain logic and APIs</v>
      </c>
      <c r="C108" s="50" t="n">
        <f aca="false">'Project Plan'!C111</f>
        <v>3</v>
      </c>
      <c r="D108" s="50" t="str">
        <f aca="false">'Project Plan'!J111&amp;"d"</f>
        <v>47d</v>
      </c>
      <c r="E108" s="54" t="n">
        <f aca="false">'Project Plan'!K111</f>
        <v>46384</v>
      </c>
      <c r="F108" s="54" t="n">
        <f aca="false">'Project Plan'!L111</f>
        <v>46448</v>
      </c>
      <c r="G108" s="50" t="str">
        <f aca="false">'Project Plan'!M111&amp;""</f>
        <v>105</v>
      </c>
      <c r="H108" s="50" t="str">
        <f aca="false">'Project Plan'!H111&amp;""</f>
        <v>BE</v>
      </c>
      <c r="I108" s="50" t="str">
        <f aca="false">IF('Project Plan'!C111=3,ROUND('Project Plan'!Z111*Assumptions!$C$6,0)&amp;"h","")</f>
        <v>488h</v>
      </c>
    </row>
    <row r="109" customFormat="false" ht="15" hidden="false" customHeight="false" outlineLevel="0" collapsed="false">
      <c r="A109" s="50" t="n">
        <f aca="false">'Project Plan'!A112</f>
        <v>108</v>
      </c>
      <c r="B109" s="50" t="str">
        <f aca="false">'Project Plan'!E112</f>
        <v>Workflows (BPMN) and rules (DMN) configuration</v>
      </c>
      <c r="C109" s="50" t="n">
        <f aca="false">'Project Plan'!C112</f>
        <v>3</v>
      </c>
      <c r="D109" s="50" t="str">
        <f aca="false">'Project Plan'!J112&amp;"d"</f>
        <v>34d</v>
      </c>
      <c r="E109" s="54" t="n">
        <f aca="false">'Project Plan'!K112</f>
        <v>46402</v>
      </c>
      <c r="F109" s="54" t="n">
        <f aca="false">'Project Plan'!L112</f>
        <v>46449</v>
      </c>
      <c r="G109" s="50" t="str">
        <f aca="false">'Project Plan'!M112&amp;""</f>
        <v>105</v>
      </c>
      <c r="H109" s="50" t="str">
        <f aca="false">'Project Plan'!H112&amp;""</f>
        <v>BE</v>
      </c>
      <c r="I109" s="50" t="str">
        <f aca="false">IF('Project Plan'!C112=3,ROUND('Project Plan'!Z112*Assumptions!$C$6,0)&amp;"h","")</f>
        <v>230h</v>
      </c>
    </row>
    <row r="110" customFormat="false" ht="15" hidden="false" customHeight="false" outlineLevel="0" collapsed="false">
      <c r="A110" s="50" t="n">
        <f aca="false">'Project Plan'!A113</f>
        <v>109</v>
      </c>
      <c r="B110" s="50" t="str">
        <f aca="false">'Project Plan'!E113</f>
        <v>Staff console screens</v>
      </c>
      <c r="C110" s="50" t="n">
        <f aca="false">'Project Plan'!C113</f>
        <v>3</v>
      </c>
      <c r="D110" s="50" t="str">
        <f aca="false">'Project Plan'!J113&amp;"d"</f>
        <v>45d</v>
      </c>
      <c r="E110" s="54" t="n">
        <f aca="false">'Project Plan'!K113</f>
        <v>46394</v>
      </c>
      <c r="F110" s="54" t="n">
        <f aca="false">'Project Plan'!L113</f>
        <v>46456</v>
      </c>
      <c r="G110" s="50" t="str">
        <f aca="false">'Project Plan'!M113&amp;""</f>
        <v>106</v>
      </c>
      <c r="H110" s="50" t="str">
        <f aca="false">'Project Plan'!H113&amp;""</f>
        <v>FE</v>
      </c>
      <c r="I110" s="50" t="str">
        <f aca="false">IF('Project Plan'!C113=3,ROUND('Project Plan'!Z113*Assumptions!$C$6,0)&amp;"h","")</f>
        <v>405h</v>
      </c>
    </row>
    <row r="111" customFormat="false" ht="15" hidden="false" customHeight="false" outlineLevel="0" collapsed="false">
      <c r="A111" s="50" t="n">
        <f aca="false">'Project Plan'!A114</f>
        <v>110</v>
      </c>
      <c r="B111" s="50" t="str">
        <f aca="false">'Project Plan'!E114</f>
        <v>Citizen portal and app services</v>
      </c>
      <c r="C111" s="50" t="n">
        <f aca="false">'Project Plan'!C114</f>
        <v>3</v>
      </c>
      <c r="D111" s="50" t="str">
        <f aca="false">'Project Plan'!J114&amp;"d"</f>
        <v>34d</v>
      </c>
      <c r="E111" s="54" t="n">
        <f aca="false">'Project Plan'!K114</f>
        <v>46409</v>
      </c>
      <c r="F111" s="54" t="n">
        <f aca="false">'Project Plan'!L114</f>
        <v>46456</v>
      </c>
      <c r="G111" s="50" t="str">
        <f aca="false">'Project Plan'!M114&amp;""</f>
        <v>106</v>
      </c>
      <c r="H111" s="50" t="str">
        <f aca="false">'Project Plan'!H114&amp;""</f>
        <v>FE</v>
      </c>
      <c r="I111" s="50" t="str">
        <f aca="false">IF('Project Plan'!C114=3,ROUND('Project Plan'!Z114*Assumptions!$C$6,0)&amp;"h","")</f>
        <v>294h</v>
      </c>
    </row>
    <row r="112" customFormat="false" ht="15" hidden="false" customHeight="false" outlineLevel="0" collapsed="false">
      <c r="A112" s="50" t="n">
        <f aca="false">'Project Plan'!A115</f>
        <v>111</v>
      </c>
      <c r="B112" s="50" t="str">
        <f aca="false">'Project Plan'!E115</f>
        <v>Field app tasks (offline)</v>
      </c>
      <c r="C112" s="50" t="n">
        <f aca="false">'Project Plan'!C115</f>
        <v>3</v>
      </c>
      <c r="D112" s="50" t="str">
        <f aca="false">'Project Plan'!J115&amp;"d"</f>
        <v>34d</v>
      </c>
      <c r="E112" s="54" t="n">
        <f aca="false">'Project Plan'!K115</f>
        <v>46409</v>
      </c>
      <c r="F112" s="54" t="n">
        <f aca="false">'Project Plan'!L115</f>
        <v>46456</v>
      </c>
      <c r="G112" s="50" t="str">
        <f aca="false">'Project Plan'!M115&amp;""</f>
        <v>106</v>
      </c>
      <c r="H112" s="50" t="str">
        <f aca="false">'Project Plan'!H115&amp;""</f>
        <v>MOB</v>
      </c>
      <c r="I112" s="50" t="str">
        <f aca="false">IF('Project Plan'!C115=3,ROUND('Project Plan'!Z115*Assumptions!$C$6,0)&amp;"h","")</f>
        <v>193h</v>
      </c>
    </row>
    <row r="113" customFormat="false" ht="15" hidden="false" customHeight="false" outlineLevel="0" collapsed="false">
      <c r="A113" s="50" t="n">
        <f aca="false">'Project Plan'!A116</f>
        <v>112</v>
      </c>
      <c r="B113" s="50" t="str">
        <f aca="false">'Project Plan'!E116</f>
        <v>GIS layers, map views and spatial checks</v>
      </c>
      <c r="C113" s="50" t="n">
        <f aca="false">'Project Plan'!C116</f>
        <v>3</v>
      </c>
      <c r="D113" s="50" t="str">
        <f aca="false">'Project Plan'!J116&amp;"d"</f>
        <v>39d</v>
      </c>
      <c r="E113" s="54" t="n">
        <f aca="false">'Project Plan'!K116</f>
        <v>46394</v>
      </c>
      <c r="F113" s="54" t="n">
        <f aca="false">'Project Plan'!L116</f>
        <v>46448</v>
      </c>
      <c r="G113" s="50" t="str">
        <f aca="false">'Project Plan'!M116&amp;""</f>
        <v>105</v>
      </c>
      <c r="H113" s="50" t="str">
        <f aca="false">'Project Plan'!H116&amp;""</f>
        <v>GIS</v>
      </c>
      <c r="I113" s="50" t="str">
        <f aca="false">IF('Project Plan'!C116=3,ROUND('Project Plan'!Z116*Assumptions!$C$6,0)&amp;"h","")</f>
        <v>166h</v>
      </c>
    </row>
    <row r="114" customFormat="false" ht="15" hidden="false" customHeight="false" outlineLevel="0" collapsed="false">
      <c r="A114" s="50" t="n">
        <f aca="false">'Project Plan'!A117</f>
        <v>113</v>
      </c>
      <c r="B114" s="50" t="str">
        <f aca="false">'Project Plan'!E117</f>
        <v>Module interfaces (16 I-xx links): events and APIs</v>
      </c>
      <c r="C114" s="50" t="n">
        <f aca="false">'Project Plan'!C117</f>
        <v>3</v>
      </c>
      <c r="D114" s="50" t="str">
        <f aca="false">'Project Plan'!J117&amp;"d"</f>
        <v>31d</v>
      </c>
      <c r="E114" s="54" t="n">
        <f aca="false">'Project Plan'!K117</f>
        <v>46419</v>
      </c>
      <c r="F114" s="54" t="n">
        <f aca="false">'Project Plan'!L117</f>
        <v>46461</v>
      </c>
      <c r="G114" s="50" t="str">
        <f aca="false">'Project Plan'!M117&amp;""</f>
        <v>107</v>
      </c>
      <c r="H114" s="50" t="str">
        <f aca="false">'Project Plan'!H117&amp;""</f>
        <v>BE</v>
      </c>
      <c r="I114" s="50" t="str">
        <f aca="false">IF('Project Plan'!C117=3,ROUND('Project Plan'!Z117*Assumptions!$C$6,0)&amp;"h","")</f>
        <v>221h</v>
      </c>
    </row>
    <row r="115" customFormat="false" ht="15" hidden="false" customHeight="false" outlineLevel="0" collapsed="false">
      <c r="A115" s="50" t="n">
        <f aca="false">'Project Plan'!A118</f>
        <v>114</v>
      </c>
      <c r="B115" s="50" t="str">
        <f aca="false">'Project Plan'!E118</f>
        <v>External system adapters (7)</v>
      </c>
      <c r="C115" s="50" t="n">
        <f aca="false">'Project Plan'!C118</f>
        <v>3</v>
      </c>
      <c r="D115" s="50" t="str">
        <f aca="false">'Project Plan'!J118&amp;"d"</f>
        <v>37d</v>
      </c>
      <c r="E115" s="54" t="n">
        <f aca="false">'Project Plan'!K118</f>
        <v>46409</v>
      </c>
      <c r="F115" s="54" t="n">
        <f aca="false">'Project Plan'!L118</f>
        <v>46461</v>
      </c>
      <c r="G115" s="50" t="str">
        <f aca="false">'Project Plan'!M118&amp;""</f>
        <v>105</v>
      </c>
      <c r="H115" s="50" t="str">
        <f aca="false">'Project Plan'!H118&amp;""</f>
        <v>BE</v>
      </c>
      <c r="I115" s="50" t="str">
        <f aca="false">IF('Project Plan'!C118=3,ROUND('Project Plan'!Z118*Assumptions!$C$6,0)&amp;"h","")</f>
        <v>386h</v>
      </c>
    </row>
    <row r="116" customFormat="false" ht="15" hidden="false" customHeight="false" outlineLevel="0" collapsed="false">
      <c r="A116" s="50" t="n">
        <f aca="false">'Project Plan'!A119</f>
        <v>115</v>
      </c>
      <c r="B116" s="50" t="str">
        <f aca="false">'Project Plan'!E119</f>
        <v>Reports, dashboards, notices and templates (all active languages)</v>
      </c>
      <c r="C116" s="50" t="n">
        <f aca="false">'Project Plan'!C119</f>
        <v>3</v>
      </c>
      <c r="D116" s="50" t="str">
        <f aca="false">'Project Plan'!J119&amp;"d"</f>
        <v>22d</v>
      </c>
      <c r="E116" s="54" t="n">
        <f aca="false">'Project Plan'!K119</f>
        <v>46434</v>
      </c>
      <c r="F116" s="54" t="n">
        <f aca="false">'Project Plan'!L119</f>
        <v>46463</v>
      </c>
      <c r="G116" s="50" t="str">
        <f aca="false">'Project Plan'!M119&amp;""</f>
        <v>107</v>
      </c>
      <c r="H116" s="50" t="str">
        <f aca="false">'Project Plan'!H119&amp;""</f>
        <v>BE</v>
      </c>
      <c r="I116" s="50" t="str">
        <f aca="false">IF('Project Plan'!C119=3,ROUND('Project Plan'!Z119*Assumptions!$C$6,0)&amp;"h","")</f>
        <v>166h</v>
      </c>
    </row>
    <row r="117" customFormat="false" ht="15" hidden="false" customHeight="false" outlineLevel="0" collapsed="false">
      <c r="A117" s="50" t="n">
        <f aca="false">'Project Plan'!A120</f>
        <v>116</v>
      </c>
      <c r="B117" s="50" t="str">
        <f aca="false">'Project Plan'!E120</f>
        <v>Data migration: CDMA property, demand and arrears</v>
      </c>
      <c r="C117" s="50" t="n">
        <f aca="false">'Project Plan'!C120</f>
        <v>3</v>
      </c>
      <c r="D117" s="50" t="str">
        <f aca="false">'Project Plan'!J120&amp;"d"</f>
        <v>50d</v>
      </c>
      <c r="E117" s="54" t="n">
        <f aca="false">'Project Plan'!K120</f>
        <v>46402</v>
      </c>
      <c r="F117" s="54" t="n">
        <f aca="false">'Project Plan'!L120</f>
        <v>46471</v>
      </c>
      <c r="G117" s="50" t="str">
        <f aca="false">'Project Plan'!M120&amp;""</f>
        <v>105</v>
      </c>
      <c r="H117" s="50" t="str">
        <f aca="false">'Project Plan'!H120&amp;""</f>
        <v>DATA</v>
      </c>
      <c r="I117" s="50" t="str">
        <f aca="false">IF('Project Plan'!C120=3,ROUND('Project Plan'!Z120*Assumptions!$C$6,0)&amp;"h","")</f>
        <v>230h</v>
      </c>
    </row>
    <row r="118" customFormat="false" ht="15" hidden="false" customHeight="false" outlineLevel="0" collapsed="false">
      <c r="A118" s="50" t="n">
        <f aca="false">'Project Plan'!A121</f>
        <v>117</v>
      </c>
      <c r="B118" s="50" t="str">
        <f aca="false">'Project Plan'!E121</f>
        <v>System integration testing</v>
      </c>
      <c r="C118" s="50" t="n">
        <f aca="false">'Project Plan'!C121</f>
        <v>3</v>
      </c>
      <c r="D118" s="50" t="str">
        <f aca="false">'Project Plan'!J121&amp;"d"</f>
        <v>18d</v>
      </c>
      <c r="E118" s="54" t="n">
        <f aca="false">'Project Plan'!K121</f>
        <v>46451</v>
      </c>
      <c r="F118" s="54" t="n">
        <f aca="false">'Project Plan'!L121</f>
        <v>46476</v>
      </c>
      <c r="G118" s="50" t="str">
        <f aca="false">'Project Plan'!M121&amp;""</f>
        <v>107,109</v>
      </c>
      <c r="H118" s="50" t="str">
        <f aca="false">'Project Plan'!H121&amp;""</f>
        <v>QA</v>
      </c>
      <c r="I118" s="50" t="str">
        <f aca="false">IF('Project Plan'!C121=3,ROUND('Project Plan'!Z121*Assumptions!$C$6,0)&amp;"h","")</f>
        <v>331h</v>
      </c>
    </row>
    <row r="119" customFormat="false" ht="15" hidden="false" customHeight="false" outlineLevel="0" collapsed="false">
      <c r="A119" s="50" t="n">
        <f aca="false">'Project Plan'!A122</f>
        <v>118</v>
      </c>
      <c r="B119" s="50" t="str">
        <f aca="false">'Project Plan'!E122</f>
        <v>Defect fixing and regression</v>
      </c>
      <c r="C119" s="50" t="n">
        <f aca="false">'Project Plan'!C122</f>
        <v>3</v>
      </c>
      <c r="D119" s="50" t="str">
        <f aca="false">'Project Plan'!J122&amp;"d"</f>
        <v>22d</v>
      </c>
      <c r="E119" s="54" t="n">
        <f aca="false">'Project Plan'!K122</f>
        <v>46457</v>
      </c>
      <c r="F119" s="54" t="n">
        <f aca="false">'Project Plan'!L122</f>
        <v>46486</v>
      </c>
      <c r="G119" s="50" t="str">
        <f aca="false">'Project Plan'!M122&amp;""</f>
        <v>117</v>
      </c>
      <c r="H119" s="50" t="str">
        <f aca="false">'Project Plan'!H122&amp;""</f>
        <v>BE</v>
      </c>
      <c r="I119" s="50" t="str">
        <f aca="false">IF('Project Plan'!C122=3,ROUND('Project Plan'!Z122*Assumptions!$C$6,0)&amp;"h","")</f>
        <v>276h</v>
      </c>
    </row>
    <row r="120" customFormat="false" ht="15" hidden="false" customHeight="false" outlineLevel="0" collapsed="false">
      <c r="A120" s="50" t="n">
        <f aca="false">'Project Plan'!A123</f>
        <v>119</v>
      </c>
      <c r="B120" s="50" t="str">
        <f aca="false">'Project Plan'!E123</f>
        <v>UAT support with GWMC department</v>
      </c>
      <c r="C120" s="50" t="n">
        <f aca="false">'Project Plan'!C123</f>
        <v>3</v>
      </c>
      <c r="D120" s="50" t="str">
        <f aca="false">'Project Plan'!J123&amp;"d"</f>
        <v>11d</v>
      </c>
      <c r="E120" s="54" t="n">
        <f aca="false">'Project Plan'!K123</f>
        <v>46477</v>
      </c>
      <c r="F120" s="54" t="n">
        <f aca="false">'Project Plan'!L123</f>
        <v>46491</v>
      </c>
      <c r="G120" s="50" t="str">
        <f aca="false">'Project Plan'!M123&amp;""</f>
        <v>117</v>
      </c>
      <c r="H120" s="50" t="str">
        <f aca="false">'Project Plan'!H123&amp;""</f>
        <v>BA</v>
      </c>
      <c r="I120" s="50" t="str">
        <f aca="false">IF('Project Plan'!C123=3,ROUND('Project Plan'!Z123*Assumptions!$C$6,0)&amp;"h","")</f>
        <v>166h</v>
      </c>
    </row>
    <row r="121" customFormat="false" ht="15" hidden="false" customHeight="false" outlineLevel="0" collapsed="false">
      <c r="A121" s="50" t="n">
        <f aca="false">'Project Plan'!A124</f>
        <v>120</v>
      </c>
      <c r="B121" s="50" t="str">
        <f aca="false">'Project Plan'!E124</f>
        <v>Training material and department training</v>
      </c>
      <c r="C121" s="50" t="n">
        <f aca="false">'Project Plan'!C124</f>
        <v>3</v>
      </c>
      <c r="D121" s="50" t="str">
        <f aca="false">'Project Plan'!J124&amp;"d"</f>
        <v>11d</v>
      </c>
      <c r="E121" s="54" t="n">
        <f aca="false">'Project Plan'!K124</f>
        <v>46482</v>
      </c>
      <c r="F121" s="54" t="n">
        <f aca="false">'Project Plan'!L124</f>
        <v>46496</v>
      </c>
      <c r="G121" s="50" t="str">
        <f aca="false">'Project Plan'!M124&amp;""</f>
        <v>119</v>
      </c>
      <c r="H121" s="50" t="str">
        <f aca="false">'Project Plan'!H124&amp;""</f>
        <v>TRN</v>
      </c>
      <c r="I121" s="50" t="str">
        <f aca="false">IF('Project Plan'!C124=3,ROUND('Project Plan'!Z124*Assumptions!$C$6,0)&amp;"h","")</f>
        <v>138h</v>
      </c>
    </row>
    <row r="122" customFormat="false" ht="15" hidden="false" customHeight="false" outlineLevel="0" collapsed="false">
      <c r="A122" s="50" t="n">
        <f aca="false">'Project Plan'!A125</f>
        <v>121</v>
      </c>
      <c r="B122" s="50" t="str">
        <f aca="false">'Project Plan'!E125</f>
        <v>Module 2: Water, Sewerage &amp; Utility Billing</v>
      </c>
      <c r="C122" s="50" t="n">
        <f aca="false">'Project Plan'!C125</f>
        <v>2</v>
      </c>
      <c r="D122" s="50" t="str">
        <f aca="false">'Project Plan'!J125&amp;"d"</f>
        <v>101d</v>
      </c>
      <c r="E122" s="54" t="n">
        <f aca="false">'Project Plan'!K125</f>
        <v>46356</v>
      </c>
      <c r="F122" s="54" t="n">
        <f aca="false">'Project Plan'!L125</f>
        <v>46496</v>
      </c>
      <c r="G122" s="50" t="str">
        <f aca="false">'Project Plan'!M125&amp;""</f>
        <v/>
      </c>
      <c r="H122" s="50" t="str">
        <f aca="false">'Project Plan'!H125&amp;""</f>
        <v/>
      </c>
      <c r="I122" s="50" t="str">
        <f aca="false">IF('Project Plan'!C125=3,ROUND('Project Plan'!Z125*Assumptions!$C$6,0)&amp;"h","")</f>
        <v/>
      </c>
    </row>
    <row r="123" customFormat="false" ht="15" hidden="false" customHeight="false" outlineLevel="0" collapsed="false">
      <c r="A123" s="50" t="n">
        <f aca="false">'Project Plan'!A126</f>
        <v>122</v>
      </c>
      <c r="B123" s="50" t="str">
        <f aca="false">'Project Plan'!E126</f>
        <v>Process validation workshops and to-be sign-off</v>
      </c>
      <c r="C123" s="50" t="n">
        <f aca="false">'Project Plan'!C126</f>
        <v>3</v>
      </c>
      <c r="D123" s="50" t="str">
        <f aca="false">'Project Plan'!J126&amp;"d"</f>
        <v>13d</v>
      </c>
      <c r="E123" s="54" t="n">
        <f aca="false">'Project Plan'!K126</f>
        <v>46356</v>
      </c>
      <c r="F123" s="54" t="n">
        <f aca="false">'Project Plan'!L126</f>
        <v>46372</v>
      </c>
      <c r="G123" s="50" t="str">
        <f aca="false">'Project Plan'!M126&amp;""</f>
        <v>23</v>
      </c>
      <c r="H123" s="50" t="str">
        <f aca="false">'Project Plan'!H126&amp;""</f>
        <v>BA</v>
      </c>
      <c r="I123" s="50" t="str">
        <f aca="false">IF('Project Plan'!C126=3,ROUND('Project Plan'!Z126*Assumptions!$C$6,0)&amp;"h","")</f>
        <v>156h</v>
      </c>
    </row>
    <row r="124" customFormat="false" ht="15" hidden="false" customHeight="false" outlineLevel="0" collapsed="false">
      <c r="A124" s="50" t="n">
        <f aca="false">'Project Plan'!A127</f>
        <v>123</v>
      </c>
      <c r="B124" s="50" t="str">
        <f aca="false">'Project Plan'!E127</f>
        <v>LLD, data model and API/event contracts</v>
      </c>
      <c r="C124" s="50" t="n">
        <f aca="false">'Project Plan'!C127</f>
        <v>3</v>
      </c>
      <c r="D124" s="50" t="str">
        <f aca="false">'Project Plan'!J127&amp;"d"</f>
        <v>13d</v>
      </c>
      <c r="E124" s="54" t="n">
        <f aca="false">'Project Plan'!K127</f>
        <v>46367</v>
      </c>
      <c r="F124" s="54" t="n">
        <f aca="false">'Project Plan'!L127</f>
        <v>46385</v>
      </c>
      <c r="G124" s="50" t="str">
        <f aca="false">'Project Plan'!M127&amp;""</f>
        <v>122</v>
      </c>
      <c r="H124" s="50" t="str">
        <f aca="false">'Project Plan'!H127&amp;""</f>
        <v>ARC</v>
      </c>
      <c r="I124" s="50" t="str">
        <f aca="false">IF('Project Plan'!C127=3,ROUND('Project Plan'!Z127*Assumptions!$C$6,0)&amp;"h","")</f>
        <v>147h</v>
      </c>
    </row>
    <row r="125" customFormat="false" ht="15" hidden="false" customHeight="false" outlineLevel="0" collapsed="false">
      <c r="A125" s="50" t="n">
        <f aca="false">'Project Plan'!A128</f>
        <v>124</v>
      </c>
      <c r="B125" s="50" t="str">
        <f aca="false">'Project Plan'!E128</f>
        <v>UX wireframes and UI design</v>
      </c>
      <c r="C125" s="50" t="n">
        <f aca="false">'Project Plan'!C128</f>
        <v>3</v>
      </c>
      <c r="D125" s="50" t="str">
        <f aca="false">'Project Plan'!J128&amp;"d"</f>
        <v>13d</v>
      </c>
      <c r="E125" s="54" t="n">
        <f aca="false">'Project Plan'!K128</f>
        <v>46367</v>
      </c>
      <c r="F125" s="54" t="n">
        <f aca="false">'Project Plan'!L128</f>
        <v>46385</v>
      </c>
      <c r="G125" s="50" t="str">
        <f aca="false">'Project Plan'!M128&amp;""</f>
        <v>122</v>
      </c>
      <c r="H125" s="50" t="str">
        <f aca="false">'Project Plan'!H128&amp;""</f>
        <v>FE</v>
      </c>
      <c r="I125" s="50" t="str">
        <f aca="false">IF('Project Plan'!C128=3,ROUND('Project Plan'!Z128*Assumptions!$C$6,0)&amp;"h","")</f>
        <v>120h</v>
      </c>
    </row>
    <row r="126" customFormat="false" ht="15" hidden="false" customHeight="false" outlineLevel="0" collapsed="false">
      <c r="A126" s="50" t="n">
        <f aca="false">'Project Plan'!A129</f>
        <v>125</v>
      </c>
      <c r="B126" s="50" t="str">
        <f aca="false">'Project Plan'!E129</f>
        <v>Database schema, domain logic and APIs</v>
      </c>
      <c r="C126" s="50" t="n">
        <f aca="false">'Project Plan'!C129</f>
        <v>3</v>
      </c>
      <c r="D126" s="50" t="str">
        <f aca="false">'Project Plan'!J129&amp;"d"</f>
        <v>47d</v>
      </c>
      <c r="E126" s="54" t="n">
        <f aca="false">'Project Plan'!K129</f>
        <v>46384</v>
      </c>
      <c r="F126" s="54" t="n">
        <f aca="false">'Project Plan'!L129</f>
        <v>46448</v>
      </c>
      <c r="G126" s="50" t="str">
        <f aca="false">'Project Plan'!M129&amp;""</f>
        <v>123</v>
      </c>
      <c r="H126" s="50" t="str">
        <f aca="false">'Project Plan'!H129&amp;""</f>
        <v>BE</v>
      </c>
      <c r="I126" s="50" t="str">
        <f aca="false">IF('Project Plan'!C129=3,ROUND('Project Plan'!Z129*Assumptions!$C$6,0)&amp;"h","")</f>
        <v>460h</v>
      </c>
    </row>
    <row r="127" customFormat="false" ht="15" hidden="false" customHeight="false" outlineLevel="0" collapsed="false">
      <c r="A127" s="50" t="n">
        <f aca="false">'Project Plan'!A130</f>
        <v>126</v>
      </c>
      <c r="B127" s="50" t="str">
        <f aca="false">'Project Plan'!E130</f>
        <v>Workflows (BPMN) and rules (DMN) configuration</v>
      </c>
      <c r="C127" s="50" t="n">
        <f aca="false">'Project Plan'!C130</f>
        <v>3</v>
      </c>
      <c r="D127" s="50" t="str">
        <f aca="false">'Project Plan'!J130&amp;"d"</f>
        <v>34d</v>
      </c>
      <c r="E127" s="54" t="n">
        <f aca="false">'Project Plan'!K130</f>
        <v>46402</v>
      </c>
      <c r="F127" s="54" t="n">
        <f aca="false">'Project Plan'!L130</f>
        <v>46449</v>
      </c>
      <c r="G127" s="50" t="str">
        <f aca="false">'Project Plan'!M130&amp;""</f>
        <v>123</v>
      </c>
      <c r="H127" s="50" t="str">
        <f aca="false">'Project Plan'!H130&amp;""</f>
        <v>BE</v>
      </c>
      <c r="I127" s="50" t="str">
        <f aca="false">IF('Project Plan'!C130=3,ROUND('Project Plan'!Z130*Assumptions!$C$6,0)&amp;"h","")</f>
        <v>221h</v>
      </c>
    </row>
    <row r="128" customFormat="false" ht="15" hidden="false" customHeight="false" outlineLevel="0" collapsed="false">
      <c r="A128" s="50" t="n">
        <f aca="false">'Project Plan'!A131</f>
        <v>127</v>
      </c>
      <c r="B128" s="50" t="str">
        <f aca="false">'Project Plan'!E131</f>
        <v>Staff console screens</v>
      </c>
      <c r="C128" s="50" t="n">
        <f aca="false">'Project Plan'!C131</f>
        <v>3</v>
      </c>
      <c r="D128" s="50" t="str">
        <f aca="false">'Project Plan'!J131&amp;"d"</f>
        <v>45d</v>
      </c>
      <c r="E128" s="54" t="n">
        <f aca="false">'Project Plan'!K131</f>
        <v>46394</v>
      </c>
      <c r="F128" s="54" t="n">
        <f aca="false">'Project Plan'!L131</f>
        <v>46456</v>
      </c>
      <c r="G128" s="50" t="str">
        <f aca="false">'Project Plan'!M131&amp;""</f>
        <v>124</v>
      </c>
      <c r="H128" s="50" t="str">
        <f aca="false">'Project Plan'!H131&amp;""</f>
        <v>FE</v>
      </c>
      <c r="I128" s="50" t="str">
        <f aca="false">IF('Project Plan'!C131=3,ROUND('Project Plan'!Z131*Assumptions!$C$6,0)&amp;"h","")</f>
        <v>386h</v>
      </c>
    </row>
    <row r="129" customFormat="false" ht="15" hidden="false" customHeight="false" outlineLevel="0" collapsed="false">
      <c r="A129" s="50" t="n">
        <f aca="false">'Project Plan'!A132</f>
        <v>128</v>
      </c>
      <c r="B129" s="50" t="str">
        <f aca="false">'Project Plan'!E132</f>
        <v>Citizen portal and app services</v>
      </c>
      <c r="C129" s="50" t="n">
        <f aca="false">'Project Plan'!C132</f>
        <v>3</v>
      </c>
      <c r="D129" s="50" t="str">
        <f aca="false">'Project Plan'!J132&amp;"d"</f>
        <v>34d</v>
      </c>
      <c r="E129" s="54" t="n">
        <f aca="false">'Project Plan'!K132</f>
        <v>46409</v>
      </c>
      <c r="F129" s="54" t="n">
        <f aca="false">'Project Plan'!L132</f>
        <v>46456</v>
      </c>
      <c r="G129" s="50" t="str">
        <f aca="false">'Project Plan'!M132&amp;""</f>
        <v>124</v>
      </c>
      <c r="H129" s="50" t="str">
        <f aca="false">'Project Plan'!H132&amp;""</f>
        <v>FE</v>
      </c>
      <c r="I129" s="50" t="str">
        <f aca="false">IF('Project Plan'!C132=3,ROUND('Project Plan'!Z132*Assumptions!$C$6,0)&amp;"h","")</f>
        <v>276h</v>
      </c>
    </row>
    <row r="130" customFormat="false" ht="15" hidden="false" customHeight="false" outlineLevel="0" collapsed="false">
      <c r="A130" s="50" t="n">
        <f aca="false">'Project Plan'!A133</f>
        <v>129</v>
      </c>
      <c r="B130" s="50" t="str">
        <f aca="false">'Project Plan'!E133</f>
        <v>Field app tasks (offline)</v>
      </c>
      <c r="C130" s="50" t="n">
        <f aca="false">'Project Plan'!C133</f>
        <v>3</v>
      </c>
      <c r="D130" s="50" t="str">
        <f aca="false">'Project Plan'!J133&amp;"d"</f>
        <v>34d</v>
      </c>
      <c r="E130" s="54" t="n">
        <f aca="false">'Project Plan'!K133</f>
        <v>46409</v>
      </c>
      <c r="F130" s="54" t="n">
        <f aca="false">'Project Plan'!L133</f>
        <v>46456</v>
      </c>
      <c r="G130" s="50" t="str">
        <f aca="false">'Project Plan'!M133&amp;""</f>
        <v>124</v>
      </c>
      <c r="H130" s="50" t="str">
        <f aca="false">'Project Plan'!H133&amp;""</f>
        <v>MOB</v>
      </c>
      <c r="I130" s="50" t="str">
        <f aca="false">IF('Project Plan'!C133=3,ROUND('Project Plan'!Z133*Assumptions!$C$6,0)&amp;"h","")</f>
        <v>184h</v>
      </c>
    </row>
    <row r="131" customFormat="false" ht="15" hidden="false" customHeight="false" outlineLevel="0" collapsed="false">
      <c r="A131" s="50" t="n">
        <f aca="false">'Project Plan'!A134</f>
        <v>130</v>
      </c>
      <c r="B131" s="50" t="str">
        <f aca="false">'Project Plan'!E134</f>
        <v>GIS layers, map views and spatial checks</v>
      </c>
      <c r="C131" s="50" t="n">
        <f aca="false">'Project Plan'!C134</f>
        <v>3</v>
      </c>
      <c r="D131" s="50" t="str">
        <f aca="false">'Project Plan'!J134&amp;"d"</f>
        <v>39d</v>
      </c>
      <c r="E131" s="54" t="n">
        <f aca="false">'Project Plan'!K134</f>
        <v>46394</v>
      </c>
      <c r="F131" s="54" t="n">
        <f aca="false">'Project Plan'!L134</f>
        <v>46448</v>
      </c>
      <c r="G131" s="50" t="str">
        <f aca="false">'Project Plan'!M134&amp;""</f>
        <v>123</v>
      </c>
      <c r="H131" s="50" t="str">
        <f aca="false">'Project Plan'!H134&amp;""</f>
        <v>GIS</v>
      </c>
      <c r="I131" s="50" t="str">
        <f aca="false">IF('Project Plan'!C134=3,ROUND('Project Plan'!Z134*Assumptions!$C$6,0)&amp;"h","")</f>
        <v>156h</v>
      </c>
    </row>
    <row r="132" customFormat="false" ht="15" hidden="false" customHeight="false" outlineLevel="0" collapsed="false">
      <c r="A132" s="50" t="n">
        <f aca="false">'Project Plan'!A135</f>
        <v>131</v>
      </c>
      <c r="B132" s="50" t="str">
        <f aca="false">'Project Plan'!E135</f>
        <v>Module interfaces (17 I-xx links): events and APIs</v>
      </c>
      <c r="C132" s="50" t="n">
        <f aca="false">'Project Plan'!C135</f>
        <v>3</v>
      </c>
      <c r="D132" s="50" t="str">
        <f aca="false">'Project Plan'!J135&amp;"d"</f>
        <v>31d</v>
      </c>
      <c r="E132" s="54" t="n">
        <f aca="false">'Project Plan'!K135</f>
        <v>46419</v>
      </c>
      <c r="F132" s="54" t="n">
        <f aca="false">'Project Plan'!L135</f>
        <v>46461</v>
      </c>
      <c r="G132" s="50" t="str">
        <f aca="false">'Project Plan'!M135&amp;""</f>
        <v>125</v>
      </c>
      <c r="H132" s="50" t="str">
        <f aca="false">'Project Plan'!H135&amp;""</f>
        <v>BE</v>
      </c>
      <c r="I132" s="50" t="str">
        <f aca="false">IF('Project Plan'!C135=3,ROUND('Project Plan'!Z135*Assumptions!$C$6,0)&amp;"h","")</f>
        <v>239h</v>
      </c>
    </row>
    <row r="133" customFormat="false" ht="15" hidden="false" customHeight="false" outlineLevel="0" collapsed="false">
      <c r="A133" s="50" t="n">
        <f aca="false">'Project Plan'!A136</f>
        <v>132</v>
      </c>
      <c r="B133" s="50" t="str">
        <f aca="false">'Project Plan'!E136</f>
        <v>External system adapters (2)</v>
      </c>
      <c r="C133" s="50" t="n">
        <f aca="false">'Project Plan'!C136</f>
        <v>3</v>
      </c>
      <c r="D133" s="50" t="str">
        <f aca="false">'Project Plan'!J136&amp;"d"</f>
        <v>37d</v>
      </c>
      <c r="E133" s="54" t="n">
        <f aca="false">'Project Plan'!K136</f>
        <v>46409</v>
      </c>
      <c r="F133" s="54" t="n">
        <f aca="false">'Project Plan'!L136</f>
        <v>46461</v>
      </c>
      <c r="G133" s="50" t="str">
        <f aca="false">'Project Plan'!M136&amp;""</f>
        <v>123</v>
      </c>
      <c r="H133" s="50" t="str">
        <f aca="false">'Project Plan'!H136&amp;""</f>
        <v>BE</v>
      </c>
      <c r="I133" s="50" t="str">
        <f aca="false">IF('Project Plan'!C136=3,ROUND('Project Plan'!Z136*Assumptions!$C$6,0)&amp;"h","")</f>
        <v>110h</v>
      </c>
    </row>
    <row r="134" customFormat="false" ht="15" hidden="false" customHeight="false" outlineLevel="0" collapsed="false">
      <c r="A134" s="50" t="n">
        <f aca="false">'Project Plan'!A137</f>
        <v>133</v>
      </c>
      <c r="B134" s="50" t="str">
        <f aca="false">'Project Plan'!E137</f>
        <v>Reports, dashboards, notices and templates (all active languages)</v>
      </c>
      <c r="C134" s="50" t="n">
        <f aca="false">'Project Plan'!C137</f>
        <v>3</v>
      </c>
      <c r="D134" s="50" t="str">
        <f aca="false">'Project Plan'!J137&amp;"d"</f>
        <v>22d</v>
      </c>
      <c r="E134" s="54" t="n">
        <f aca="false">'Project Plan'!K137</f>
        <v>46434</v>
      </c>
      <c r="F134" s="54" t="n">
        <f aca="false">'Project Plan'!L137</f>
        <v>46463</v>
      </c>
      <c r="G134" s="50" t="str">
        <f aca="false">'Project Plan'!M137&amp;""</f>
        <v>125</v>
      </c>
      <c r="H134" s="50" t="str">
        <f aca="false">'Project Plan'!H137&amp;""</f>
        <v>BE</v>
      </c>
      <c r="I134" s="50" t="str">
        <f aca="false">IF('Project Plan'!C137=3,ROUND('Project Plan'!Z137*Assumptions!$C$6,0)&amp;"h","")</f>
        <v>156h</v>
      </c>
    </row>
    <row r="135" customFormat="false" ht="15" hidden="false" customHeight="false" outlineLevel="0" collapsed="false">
      <c r="A135" s="50" t="n">
        <f aca="false">'Project Plan'!A138</f>
        <v>134</v>
      </c>
      <c r="B135" s="50" t="str">
        <f aca="false">'Project Plan'!E138</f>
        <v>Data migration: consumer, meter and arrears data</v>
      </c>
      <c r="C135" s="50" t="n">
        <f aca="false">'Project Plan'!C138</f>
        <v>3</v>
      </c>
      <c r="D135" s="50" t="str">
        <f aca="false">'Project Plan'!J138&amp;"d"</f>
        <v>50d</v>
      </c>
      <c r="E135" s="54" t="n">
        <f aca="false">'Project Plan'!K138</f>
        <v>46402</v>
      </c>
      <c r="F135" s="54" t="n">
        <f aca="false">'Project Plan'!L138</f>
        <v>46471</v>
      </c>
      <c r="G135" s="50" t="str">
        <f aca="false">'Project Plan'!M138&amp;""</f>
        <v>123</v>
      </c>
      <c r="H135" s="50" t="str">
        <f aca="false">'Project Plan'!H138&amp;""</f>
        <v>DATA</v>
      </c>
      <c r="I135" s="50" t="str">
        <f aca="false">IF('Project Plan'!C138=3,ROUND('Project Plan'!Z138*Assumptions!$C$6,0)&amp;"h","")</f>
        <v>212h</v>
      </c>
    </row>
    <row r="136" customFormat="false" ht="15" hidden="false" customHeight="false" outlineLevel="0" collapsed="false">
      <c r="A136" s="50" t="n">
        <f aca="false">'Project Plan'!A139</f>
        <v>135</v>
      </c>
      <c r="B136" s="50" t="str">
        <f aca="false">'Project Plan'!E139</f>
        <v>System integration testing</v>
      </c>
      <c r="C136" s="50" t="n">
        <f aca="false">'Project Plan'!C139</f>
        <v>3</v>
      </c>
      <c r="D136" s="50" t="str">
        <f aca="false">'Project Plan'!J139&amp;"d"</f>
        <v>18d</v>
      </c>
      <c r="E136" s="54" t="n">
        <f aca="false">'Project Plan'!K139</f>
        <v>46451</v>
      </c>
      <c r="F136" s="54" t="n">
        <f aca="false">'Project Plan'!L139</f>
        <v>46476</v>
      </c>
      <c r="G136" s="50" t="str">
        <f aca="false">'Project Plan'!M139&amp;""</f>
        <v>125,127</v>
      </c>
      <c r="H136" s="50" t="str">
        <f aca="false">'Project Plan'!H139&amp;""</f>
        <v>QA</v>
      </c>
      <c r="I136" s="50" t="str">
        <f aca="false">IF('Project Plan'!C139=3,ROUND('Project Plan'!Z139*Assumptions!$C$6,0)&amp;"h","")</f>
        <v>313h</v>
      </c>
    </row>
    <row r="137" customFormat="false" ht="15" hidden="false" customHeight="false" outlineLevel="0" collapsed="false">
      <c r="A137" s="50" t="n">
        <f aca="false">'Project Plan'!A140</f>
        <v>136</v>
      </c>
      <c r="B137" s="50" t="str">
        <f aca="false">'Project Plan'!E140</f>
        <v>Defect fixing and regression</v>
      </c>
      <c r="C137" s="50" t="n">
        <f aca="false">'Project Plan'!C140</f>
        <v>3</v>
      </c>
      <c r="D137" s="50" t="str">
        <f aca="false">'Project Plan'!J140&amp;"d"</f>
        <v>22d</v>
      </c>
      <c r="E137" s="54" t="n">
        <f aca="false">'Project Plan'!K140</f>
        <v>46457</v>
      </c>
      <c r="F137" s="54" t="n">
        <f aca="false">'Project Plan'!L140</f>
        <v>46486</v>
      </c>
      <c r="G137" s="50" t="str">
        <f aca="false">'Project Plan'!M140&amp;""</f>
        <v>135</v>
      </c>
      <c r="H137" s="50" t="str">
        <f aca="false">'Project Plan'!H140&amp;""</f>
        <v>BE</v>
      </c>
      <c r="I137" s="50" t="str">
        <f aca="false">IF('Project Plan'!C140=3,ROUND('Project Plan'!Z140*Assumptions!$C$6,0)&amp;"h","")</f>
        <v>258h</v>
      </c>
    </row>
    <row r="138" customFormat="false" ht="15" hidden="false" customHeight="false" outlineLevel="0" collapsed="false">
      <c r="A138" s="50" t="n">
        <f aca="false">'Project Plan'!A141</f>
        <v>137</v>
      </c>
      <c r="B138" s="50" t="str">
        <f aca="false">'Project Plan'!E141</f>
        <v>UAT support with GWMC department</v>
      </c>
      <c r="C138" s="50" t="n">
        <f aca="false">'Project Plan'!C141</f>
        <v>3</v>
      </c>
      <c r="D138" s="50" t="str">
        <f aca="false">'Project Plan'!J141&amp;"d"</f>
        <v>11d</v>
      </c>
      <c r="E138" s="54" t="n">
        <f aca="false">'Project Plan'!K141</f>
        <v>46477</v>
      </c>
      <c r="F138" s="54" t="n">
        <f aca="false">'Project Plan'!L141</f>
        <v>46491</v>
      </c>
      <c r="G138" s="50" t="str">
        <f aca="false">'Project Plan'!M141&amp;""</f>
        <v>135</v>
      </c>
      <c r="H138" s="50" t="str">
        <f aca="false">'Project Plan'!H141&amp;""</f>
        <v>BA</v>
      </c>
      <c r="I138" s="50" t="str">
        <f aca="false">IF('Project Plan'!C141=3,ROUND('Project Plan'!Z141*Assumptions!$C$6,0)&amp;"h","")</f>
        <v>147h</v>
      </c>
    </row>
    <row r="139" customFormat="false" ht="15" hidden="false" customHeight="false" outlineLevel="0" collapsed="false">
      <c r="A139" s="50" t="n">
        <f aca="false">'Project Plan'!A142</f>
        <v>138</v>
      </c>
      <c r="B139" s="50" t="str">
        <f aca="false">'Project Plan'!E142</f>
        <v>Training material and department training</v>
      </c>
      <c r="C139" s="50" t="n">
        <f aca="false">'Project Plan'!C142</f>
        <v>3</v>
      </c>
      <c r="D139" s="50" t="str">
        <f aca="false">'Project Plan'!J142&amp;"d"</f>
        <v>11d</v>
      </c>
      <c r="E139" s="54" t="n">
        <f aca="false">'Project Plan'!K142</f>
        <v>46482</v>
      </c>
      <c r="F139" s="54" t="n">
        <f aca="false">'Project Plan'!L142</f>
        <v>46496</v>
      </c>
      <c r="G139" s="50" t="str">
        <f aca="false">'Project Plan'!M142&amp;""</f>
        <v>137</v>
      </c>
      <c r="H139" s="50" t="str">
        <f aca="false">'Project Plan'!H142&amp;""</f>
        <v>TRN</v>
      </c>
      <c r="I139" s="50" t="str">
        <f aca="false">IF('Project Plan'!C142=3,ROUND('Project Plan'!Z142*Assumptions!$C$6,0)&amp;"h","")</f>
        <v>120h</v>
      </c>
    </row>
    <row r="140" customFormat="false" ht="15" hidden="false" customHeight="false" outlineLevel="0" collapsed="false">
      <c r="A140" s="50" t="n">
        <f aca="false">'Project Plan'!A143</f>
        <v>139</v>
      </c>
      <c r="B140" s="50" t="str">
        <f aca="false">'Project Plan'!E143</f>
        <v>Module 3: Citizen Service Desk, Grievance &amp; RTI</v>
      </c>
      <c r="C140" s="50" t="n">
        <f aca="false">'Project Plan'!C143</f>
        <v>2</v>
      </c>
      <c r="D140" s="50" t="str">
        <f aca="false">'Project Plan'!J143&amp;"d"</f>
        <v>101d</v>
      </c>
      <c r="E140" s="54" t="n">
        <f aca="false">'Project Plan'!K143</f>
        <v>46356</v>
      </c>
      <c r="F140" s="54" t="n">
        <f aca="false">'Project Plan'!L143</f>
        <v>46496</v>
      </c>
      <c r="G140" s="50" t="str">
        <f aca="false">'Project Plan'!M143&amp;""</f>
        <v/>
      </c>
      <c r="H140" s="50" t="str">
        <f aca="false">'Project Plan'!H143&amp;""</f>
        <v/>
      </c>
      <c r="I140" s="50" t="str">
        <f aca="false">IF('Project Plan'!C143=3,ROUND('Project Plan'!Z143*Assumptions!$C$6,0)&amp;"h","")</f>
        <v/>
      </c>
    </row>
    <row r="141" customFormat="false" ht="15" hidden="false" customHeight="false" outlineLevel="0" collapsed="false">
      <c r="A141" s="50" t="n">
        <f aca="false">'Project Plan'!A144</f>
        <v>140</v>
      </c>
      <c r="B141" s="50" t="str">
        <f aca="false">'Project Plan'!E144</f>
        <v>Process validation workshops and to-be sign-off</v>
      </c>
      <c r="C141" s="50" t="n">
        <f aca="false">'Project Plan'!C144</f>
        <v>3</v>
      </c>
      <c r="D141" s="50" t="str">
        <f aca="false">'Project Plan'!J144&amp;"d"</f>
        <v>13d</v>
      </c>
      <c r="E141" s="54" t="n">
        <f aca="false">'Project Plan'!K144</f>
        <v>46356</v>
      </c>
      <c r="F141" s="54" t="n">
        <f aca="false">'Project Plan'!L144</f>
        <v>46372</v>
      </c>
      <c r="G141" s="50" t="str">
        <f aca="false">'Project Plan'!M144&amp;""</f>
        <v>23</v>
      </c>
      <c r="H141" s="50" t="str">
        <f aca="false">'Project Plan'!H144&amp;""</f>
        <v>BA</v>
      </c>
      <c r="I141" s="50" t="str">
        <f aca="false">IF('Project Plan'!C144=3,ROUND('Project Plan'!Z144*Assumptions!$C$6,0)&amp;"h","")</f>
        <v>147h</v>
      </c>
    </row>
    <row r="142" customFormat="false" ht="15" hidden="false" customHeight="false" outlineLevel="0" collapsed="false">
      <c r="A142" s="50" t="n">
        <f aca="false">'Project Plan'!A145</f>
        <v>141</v>
      </c>
      <c r="B142" s="50" t="str">
        <f aca="false">'Project Plan'!E145</f>
        <v>LLD, data model and API/event contracts</v>
      </c>
      <c r="C142" s="50" t="n">
        <f aca="false">'Project Plan'!C145</f>
        <v>3</v>
      </c>
      <c r="D142" s="50" t="str">
        <f aca="false">'Project Plan'!J145&amp;"d"</f>
        <v>13d</v>
      </c>
      <c r="E142" s="54" t="n">
        <f aca="false">'Project Plan'!K145</f>
        <v>46367</v>
      </c>
      <c r="F142" s="54" t="n">
        <f aca="false">'Project Plan'!L145</f>
        <v>46385</v>
      </c>
      <c r="G142" s="50" t="str">
        <f aca="false">'Project Plan'!M145&amp;""</f>
        <v>140</v>
      </c>
      <c r="H142" s="50" t="str">
        <f aca="false">'Project Plan'!H145&amp;""</f>
        <v>ARC</v>
      </c>
      <c r="I142" s="50" t="str">
        <f aca="false">IF('Project Plan'!C145=3,ROUND('Project Plan'!Z145*Assumptions!$C$6,0)&amp;"h","")</f>
        <v>147h</v>
      </c>
    </row>
    <row r="143" customFormat="false" ht="15" hidden="false" customHeight="false" outlineLevel="0" collapsed="false">
      <c r="A143" s="50" t="n">
        <f aca="false">'Project Plan'!A146</f>
        <v>142</v>
      </c>
      <c r="B143" s="50" t="str">
        <f aca="false">'Project Plan'!E146</f>
        <v>UX wireframes and UI design</v>
      </c>
      <c r="C143" s="50" t="n">
        <f aca="false">'Project Plan'!C146</f>
        <v>3</v>
      </c>
      <c r="D143" s="50" t="str">
        <f aca="false">'Project Plan'!J146&amp;"d"</f>
        <v>13d</v>
      </c>
      <c r="E143" s="54" t="n">
        <f aca="false">'Project Plan'!K146</f>
        <v>46367</v>
      </c>
      <c r="F143" s="54" t="n">
        <f aca="false">'Project Plan'!L146</f>
        <v>46385</v>
      </c>
      <c r="G143" s="50" t="str">
        <f aca="false">'Project Plan'!M146&amp;""</f>
        <v>140</v>
      </c>
      <c r="H143" s="50" t="str">
        <f aca="false">'Project Plan'!H146&amp;""</f>
        <v>FE</v>
      </c>
      <c r="I143" s="50" t="str">
        <f aca="false">IF('Project Plan'!C146=3,ROUND('Project Plan'!Z146*Assumptions!$C$6,0)&amp;"h","")</f>
        <v>110h</v>
      </c>
    </row>
    <row r="144" customFormat="false" ht="15" hidden="false" customHeight="false" outlineLevel="0" collapsed="false">
      <c r="A144" s="50" t="n">
        <f aca="false">'Project Plan'!A147</f>
        <v>143</v>
      </c>
      <c r="B144" s="50" t="str">
        <f aca="false">'Project Plan'!E147</f>
        <v>Database schema, domain logic and APIs</v>
      </c>
      <c r="C144" s="50" t="n">
        <f aca="false">'Project Plan'!C147</f>
        <v>3</v>
      </c>
      <c r="D144" s="50" t="str">
        <f aca="false">'Project Plan'!J147&amp;"d"</f>
        <v>47d</v>
      </c>
      <c r="E144" s="54" t="n">
        <f aca="false">'Project Plan'!K147</f>
        <v>46384</v>
      </c>
      <c r="F144" s="54" t="n">
        <f aca="false">'Project Plan'!L147</f>
        <v>46448</v>
      </c>
      <c r="G144" s="50" t="str">
        <f aca="false">'Project Plan'!M147&amp;""</f>
        <v>141</v>
      </c>
      <c r="H144" s="50" t="str">
        <f aca="false">'Project Plan'!H147&amp;""</f>
        <v>BE</v>
      </c>
      <c r="I144" s="50" t="str">
        <f aca="false">IF('Project Plan'!C147=3,ROUND('Project Plan'!Z147*Assumptions!$C$6,0)&amp;"h","")</f>
        <v>414h</v>
      </c>
    </row>
    <row r="145" customFormat="false" ht="15" hidden="false" customHeight="false" outlineLevel="0" collapsed="false">
      <c r="A145" s="50" t="n">
        <f aca="false">'Project Plan'!A148</f>
        <v>144</v>
      </c>
      <c r="B145" s="50" t="str">
        <f aca="false">'Project Plan'!E148</f>
        <v>Workflows (BPMN) and rules (DMN) configuration</v>
      </c>
      <c r="C145" s="50" t="n">
        <f aca="false">'Project Plan'!C148</f>
        <v>3</v>
      </c>
      <c r="D145" s="50" t="str">
        <f aca="false">'Project Plan'!J148&amp;"d"</f>
        <v>34d</v>
      </c>
      <c r="E145" s="54" t="n">
        <f aca="false">'Project Plan'!K148</f>
        <v>46402</v>
      </c>
      <c r="F145" s="54" t="n">
        <f aca="false">'Project Plan'!L148</f>
        <v>46449</v>
      </c>
      <c r="G145" s="50" t="str">
        <f aca="false">'Project Plan'!M148&amp;""</f>
        <v>141</v>
      </c>
      <c r="H145" s="50" t="str">
        <f aca="false">'Project Plan'!H148&amp;""</f>
        <v>BE</v>
      </c>
      <c r="I145" s="50" t="str">
        <f aca="false">IF('Project Plan'!C148=3,ROUND('Project Plan'!Z148*Assumptions!$C$6,0)&amp;"h","")</f>
        <v>193h</v>
      </c>
    </row>
    <row r="146" customFormat="false" ht="15" hidden="false" customHeight="false" outlineLevel="0" collapsed="false">
      <c r="A146" s="50" t="n">
        <f aca="false">'Project Plan'!A149</f>
        <v>145</v>
      </c>
      <c r="B146" s="50" t="str">
        <f aca="false">'Project Plan'!E149</f>
        <v>Staff console screens</v>
      </c>
      <c r="C146" s="50" t="n">
        <f aca="false">'Project Plan'!C149</f>
        <v>3</v>
      </c>
      <c r="D146" s="50" t="str">
        <f aca="false">'Project Plan'!J149&amp;"d"</f>
        <v>45d</v>
      </c>
      <c r="E146" s="54" t="n">
        <f aca="false">'Project Plan'!K149</f>
        <v>46394</v>
      </c>
      <c r="F146" s="54" t="n">
        <f aca="false">'Project Plan'!L149</f>
        <v>46456</v>
      </c>
      <c r="G146" s="50" t="str">
        <f aca="false">'Project Plan'!M149&amp;""</f>
        <v>142</v>
      </c>
      <c r="H146" s="50" t="str">
        <f aca="false">'Project Plan'!H149&amp;""</f>
        <v>FE</v>
      </c>
      <c r="I146" s="50" t="str">
        <f aca="false">IF('Project Plan'!C149=3,ROUND('Project Plan'!Z149*Assumptions!$C$6,0)&amp;"h","")</f>
        <v>350h</v>
      </c>
    </row>
    <row r="147" customFormat="false" ht="15" hidden="false" customHeight="false" outlineLevel="0" collapsed="false">
      <c r="A147" s="50" t="n">
        <f aca="false">'Project Plan'!A150</f>
        <v>146</v>
      </c>
      <c r="B147" s="50" t="str">
        <f aca="false">'Project Plan'!E150</f>
        <v>Citizen portal and app services</v>
      </c>
      <c r="C147" s="50" t="n">
        <f aca="false">'Project Plan'!C150</f>
        <v>3</v>
      </c>
      <c r="D147" s="50" t="str">
        <f aca="false">'Project Plan'!J150&amp;"d"</f>
        <v>34d</v>
      </c>
      <c r="E147" s="54" t="n">
        <f aca="false">'Project Plan'!K150</f>
        <v>46409</v>
      </c>
      <c r="F147" s="54" t="n">
        <f aca="false">'Project Plan'!L150</f>
        <v>46456</v>
      </c>
      <c r="G147" s="50" t="str">
        <f aca="false">'Project Plan'!M150&amp;""</f>
        <v>142</v>
      </c>
      <c r="H147" s="50" t="str">
        <f aca="false">'Project Plan'!H150&amp;""</f>
        <v>FE</v>
      </c>
      <c r="I147" s="50" t="str">
        <f aca="false">IF('Project Plan'!C150=3,ROUND('Project Plan'!Z150*Assumptions!$C$6,0)&amp;"h","")</f>
        <v>248h</v>
      </c>
    </row>
    <row r="148" customFormat="false" ht="15" hidden="false" customHeight="false" outlineLevel="0" collapsed="false">
      <c r="A148" s="50" t="n">
        <f aca="false">'Project Plan'!A151</f>
        <v>147</v>
      </c>
      <c r="B148" s="50" t="str">
        <f aca="false">'Project Plan'!E151</f>
        <v>GIS layers, map views and spatial checks</v>
      </c>
      <c r="C148" s="50" t="n">
        <f aca="false">'Project Plan'!C151</f>
        <v>3</v>
      </c>
      <c r="D148" s="50" t="str">
        <f aca="false">'Project Plan'!J151&amp;"d"</f>
        <v>39d</v>
      </c>
      <c r="E148" s="54" t="n">
        <f aca="false">'Project Plan'!K151</f>
        <v>46394</v>
      </c>
      <c r="F148" s="54" t="n">
        <f aca="false">'Project Plan'!L151</f>
        <v>46448</v>
      </c>
      <c r="G148" s="50" t="str">
        <f aca="false">'Project Plan'!M151&amp;""</f>
        <v>141</v>
      </c>
      <c r="H148" s="50" t="str">
        <f aca="false">'Project Plan'!H151&amp;""</f>
        <v>GIS</v>
      </c>
      <c r="I148" s="50" t="str">
        <f aca="false">IF('Project Plan'!C151=3,ROUND('Project Plan'!Z151*Assumptions!$C$6,0)&amp;"h","")</f>
        <v>138h</v>
      </c>
    </row>
    <row r="149" customFormat="false" ht="15" hidden="false" customHeight="false" outlineLevel="0" collapsed="false">
      <c r="A149" s="50" t="n">
        <f aca="false">'Project Plan'!A152</f>
        <v>148</v>
      </c>
      <c r="B149" s="50" t="str">
        <f aca="false">'Project Plan'!E152</f>
        <v>Module interfaces (5 I-xx links): events and APIs</v>
      </c>
      <c r="C149" s="50" t="n">
        <f aca="false">'Project Plan'!C152</f>
        <v>3</v>
      </c>
      <c r="D149" s="50" t="str">
        <f aca="false">'Project Plan'!J152&amp;"d"</f>
        <v>31d</v>
      </c>
      <c r="E149" s="54" t="n">
        <f aca="false">'Project Plan'!K152</f>
        <v>46419</v>
      </c>
      <c r="F149" s="54" t="n">
        <f aca="false">'Project Plan'!L152</f>
        <v>46461</v>
      </c>
      <c r="G149" s="50" t="str">
        <f aca="false">'Project Plan'!M152&amp;""</f>
        <v>143</v>
      </c>
      <c r="H149" s="50" t="str">
        <f aca="false">'Project Plan'!H152&amp;""</f>
        <v>BE</v>
      </c>
      <c r="I149" s="50" t="str">
        <f aca="false">IF('Project Plan'!C152=3,ROUND('Project Plan'!Z152*Assumptions!$C$6,0)&amp;"h","")</f>
        <v>74h</v>
      </c>
    </row>
    <row r="150" customFormat="false" ht="15" hidden="false" customHeight="false" outlineLevel="0" collapsed="false">
      <c r="A150" s="50" t="n">
        <f aca="false">'Project Plan'!A153</f>
        <v>149</v>
      </c>
      <c r="B150" s="50" t="str">
        <f aca="false">'Project Plan'!E153</f>
        <v>External system adapters (6)</v>
      </c>
      <c r="C150" s="50" t="n">
        <f aca="false">'Project Plan'!C153</f>
        <v>3</v>
      </c>
      <c r="D150" s="50" t="str">
        <f aca="false">'Project Plan'!J153&amp;"d"</f>
        <v>37d</v>
      </c>
      <c r="E150" s="54" t="n">
        <f aca="false">'Project Plan'!K153</f>
        <v>46409</v>
      </c>
      <c r="F150" s="54" t="n">
        <f aca="false">'Project Plan'!L153</f>
        <v>46461</v>
      </c>
      <c r="G150" s="50" t="str">
        <f aca="false">'Project Plan'!M153&amp;""</f>
        <v>141</v>
      </c>
      <c r="H150" s="50" t="str">
        <f aca="false">'Project Plan'!H153&amp;""</f>
        <v>BE</v>
      </c>
      <c r="I150" s="50" t="str">
        <f aca="false">IF('Project Plan'!C153=3,ROUND('Project Plan'!Z153*Assumptions!$C$6,0)&amp;"h","")</f>
        <v>331h</v>
      </c>
    </row>
    <row r="151" customFormat="false" ht="15" hidden="false" customHeight="false" outlineLevel="0" collapsed="false">
      <c r="A151" s="50" t="n">
        <f aca="false">'Project Plan'!A154</f>
        <v>150</v>
      </c>
      <c r="B151" s="50" t="str">
        <f aca="false">'Project Plan'!E154</f>
        <v>Reports, dashboards, notices and templates (all active languages)</v>
      </c>
      <c r="C151" s="50" t="n">
        <f aca="false">'Project Plan'!C154</f>
        <v>3</v>
      </c>
      <c r="D151" s="50" t="str">
        <f aca="false">'Project Plan'!J154&amp;"d"</f>
        <v>22d</v>
      </c>
      <c r="E151" s="54" t="n">
        <f aca="false">'Project Plan'!K154</f>
        <v>46434</v>
      </c>
      <c r="F151" s="54" t="n">
        <f aca="false">'Project Plan'!L154</f>
        <v>46463</v>
      </c>
      <c r="G151" s="50" t="str">
        <f aca="false">'Project Plan'!M154&amp;""</f>
        <v>143</v>
      </c>
      <c r="H151" s="50" t="str">
        <f aca="false">'Project Plan'!H154&amp;""</f>
        <v>BE</v>
      </c>
      <c r="I151" s="50" t="str">
        <f aca="false">IF('Project Plan'!C154=3,ROUND('Project Plan'!Z154*Assumptions!$C$6,0)&amp;"h","")</f>
        <v>138h</v>
      </c>
    </row>
    <row r="152" customFormat="false" ht="15" hidden="false" customHeight="false" outlineLevel="0" collapsed="false">
      <c r="A152" s="50" t="n">
        <f aca="false">'Project Plan'!A155</f>
        <v>151</v>
      </c>
      <c r="B152" s="50" t="str">
        <f aca="false">'Project Plan'!E155</f>
        <v>System integration testing</v>
      </c>
      <c r="C152" s="50" t="n">
        <f aca="false">'Project Plan'!C155</f>
        <v>3</v>
      </c>
      <c r="D152" s="50" t="str">
        <f aca="false">'Project Plan'!J155&amp;"d"</f>
        <v>18d</v>
      </c>
      <c r="E152" s="54" t="n">
        <f aca="false">'Project Plan'!K155</f>
        <v>46451</v>
      </c>
      <c r="F152" s="54" t="n">
        <f aca="false">'Project Plan'!L155</f>
        <v>46476</v>
      </c>
      <c r="G152" s="50" t="str">
        <f aca="false">'Project Plan'!M155&amp;""</f>
        <v>143,145</v>
      </c>
      <c r="H152" s="50" t="str">
        <f aca="false">'Project Plan'!H155&amp;""</f>
        <v>QA</v>
      </c>
      <c r="I152" s="50" t="str">
        <f aca="false">IF('Project Plan'!C155=3,ROUND('Project Plan'!Z155*Assumptions!$C$6,0)&amp;"h","")</f>
        <v>276h</v>
      </c>
    </row>
    <row r="153" customFormat="false" ht="15" hidden="false" customHeight="false" outlineLevel="0" collapsed="false">
      <c r="A153" s="50" t="n">
        <f aca="false">'Project Plan'!A156</f>
        <v>152</v>
      </c>
      <c r="B153" s="50" t="str">
        <f aca="false">'Project Plan'!E156</f>
        <v>Defect fixing and regression</v>
      </c>
      <c r="C153" s="50" t="n">
        <f aca="false">'Project Plan'!C156</f>
        <v>3</v>
      </c>
      <c r="D153" s="50" t="str">
        <f aca="false">'Project Plan'!J156&amp;"d"</f>
        <v>22d</v>
      </c>
      <c r="E153" s="54" t="n">
        <f aca="false">'Project Plan'!K156</f>
        <v>46457</v>
      </c>
      <c r="F153" s="54" t="n">
        <f aca="false">'Project Plan'!L156</f>
        <v>46486</v>
      </c>
      <c r="G153" s="50" t="str">
        <f aca="false">'Project Plan'!M156&amp;""</f>
        <v>151</v>
      </c>
      <c r="H153" s="50" t="str">
        <f aca="false">'Project Plan'!H156&amp;""</f>
        <v>BE</v>
      </c>
      <c r="I153" s="50" t="str">
        <f aca="false">IF('Project Plan'!C156=3,ROUND('Project Plan'!Z156*Assumptions!$C$6,0)&amp;"h","")</f>
        <v>239h</v>
      </c>
    </row>
    <row r="154" customFormat="false" ht="15" hidden="false" customHeight="false" outlineLevel="0" collapsed="false">
      <c r="A154" s="50" t="n">
        <f aca="false">'Project Plan'!A157</f>
        <v>153</v>
      </c>
      <c r="B154" s="50" t="str">
        <f aca="false">'Project Plan'!E157</f>
        <v>UAT support with GWMC department</v>
      </c>
      <c r="C154" s="50" t="n">
        <f aca="false">'Project Plan'!C157</f>
        <v>3</v>
      </c>
      <c r="D154" s="50" t="str">
        <f aca="false">'Project Plan'!J157&amp;"d"</f>
        <v>11d</v>
      </c>
      <c r="E154" s="54" t="n">
        <f aca="false">'Project Plan'!K157</f>
        <v>46477</v>
      </c>
      <c r="F154" s="54" t="n">
        <f aca="false">'Project Plan'!L157</f>
        <v>46491</v>
      </c>
      <c r="G154" s="50" t="str">
        <f aca="false">'Project Plan'!M157&amp;""</f>
        <v>151</v>
      </c>
      <c r="H154" s="50" t="str">
        <f aca="false">'Project Plan'!H157&amp;""</f>
        <v>BA</v>
      </c>
      <c r="I154" s="50" t="str">
        <f aca="false">IF('Project Plan'!C157=3,ROUND('Project Plan'!Z157*Assumptions!$C$6,0)&amp;"h","")</f>
        <v>147h</v>
      </c>
    </row>
    <row r="155" customFormat="false" ht="15" hidden="false" customHeight="false" outlineLevel="0" collapsed="false">
      <c r="A155" s="50" t="n">
        <f aca="false">'Project Plan'!A158</f>
        <v>154</v>
      </c>
      <c r="B155" s="50" t="str">
        <f aca="false">'Project Plan'!E158</f>
        <v>Training material and department training</v>
      </c>
      <c r="C155" s="50" t="n">
        <f aca="false">'Project Plan'!C158</f>
        <v>3</v>
      </c>
      <c r="D155" s="50" t="str">
        <f aca="false">'Project Plan'!J158&amp;"d"</f>
        <v>11d</v>
      </c>
      <c r="E155" s="54" t="n">
        <f aca="false">'Project Plan'!K158</f>
        <v>46482</v>
      </c>
      <c r="F155" s="54" t="n">
        <f aca="false">'Project Plan'!L158</f>
        <v>46496</v>
      </c>
      <c r="G155" s="50" t="str">
        <f aca="false">'Project Plan'!M158&amp;""</f>
        <v>153</v>
      </c>
      <c r="H155" s="50" t="str">
        <f aca="false">'Project Plan'!H158&amp;""</f>
        <v>TRN</v>
      </c>
      <c r="I155" s="50" t="str">
        <f aca="false">IF('Project Plan'!C158=3,ROUND('Project Plan'!Z158*Assumptions!$C$6,0)&amp;"h","")</f>
        <v>110h</v>
      </c>
    </row>
    <row r="156" customFormat="false" ht="15" hidden="false" customHeight="false" outlineLevel="0" collapsed="false">
      <c r="A156" s="50" t="n">
        <f aca="false">'Project Plan'!A159</f>
        <v>155</v>
      </c>
      <c r="B156" s="50" t="str">
        <f aca="false">'Project Plan'!E159</f>
        <v>Module 4: Finance &amp; Accounting</v>
      </c>
      <c r="C156" s="50" t="n">
        <f aca="false">'Project Plan'!C159</f>
        <v>2</v>
      </c>
      <c r="D156" s="50" t="str">
        <f aca="false">'Project Plan'!J159&amp;"d"</f>
        <v>101d</v>
      </c>
      <c r="E156" s="54" t="n">
        <f aca="false">'Project Plan'!K159</f>
        <v>46356</v>
      </c>
      <c r="F156" s="54" t="n">
        <f aca="false">'Project Plan'!L159</f>
        <v>46496</v>
      </c>
      <c r="G156" s="50" t="str">
        <f aca="false">'Project Plan'!M159&amp;""</f>
        <v/>
      </c>
      <c r="H156" s="50" t="str">
        <f aca="false">'Project Plan'!H159&amp;""</f>
        <v/>
      </c>
      <c r="I156" s="50" t="str">
        <f aca="false">IF('Project Plan'!C159=3,ROUND('Project Plan'!Z159*Assumptions!$C$6,0)&amp;"h","")</f>
        <v/>
      </c>
    </row>
    <row r="157" customFormat="false" ht="15" hidden="false" customHeight="false" outlineLevel="0" collapsed="false">
      <c r="A157" s="50" t="n">
        <f aca="false">'Project Plan'!A160</f>
        <v>156</v>
      </c>
      <c r="B157" s="50" t="str">
        <f aca="false">'Project Plan'!E160</f>
        <v>Process validation workshops and to-be sign-off</v>
      </c>
      <c r="C157" s="50" t="n">
        <f aca="false">'Project Plan'!C160</f>
        <v>3</v>
      </c>
      <c r="D157" s="50" t="str">
        <f aca="false">'Project Plan'!J160&amp;"d"</f>
        <v>13d</v>
      </c>
      <c r="E157" s="54" t="n">
        <f aca="false">'Project Plan'!K160</f>
        <v>46356</v>
      </c>
      <c r="F157" s="54" t="n">
        <f aca="false">'Project Plan'!L160</f>
        <v>46372</v>
      </c>
      <c r="G157" s="50" t="str">
        <f aca="false">'Project Plan'!M160&amp;""</f>
        <v>23</v>
      </c>
      <c r="H157" s="50" t="str">
        <f aca="false">'Project Plan'!H160&amp;""</f>
        <v>BA</v>
      </c>
      <c r="I157" s="50" t="str">
        <f aca="false">IF('Project Plan'!C160=3,ROUND('Project Plan'!Z160*Assumptions!$C$6,0)&amp;"h","")</f>
        <v>147h</v>
      </c>
    </row>
    <row r="158" customFormat="false" ht="15" hidden="false" customHeight="false" outlineLevel="0" collapsed="false">
      <c r="A158" s="50" t="n">
        <f aca="false">'Project Plan'!A161</f>
        <v>157</v>
      </c>
      <c r="B158" s="50" t="str">
        <f aca="false">'Project Plan'!E161</f>
        <v>LLD, data model and API/event contracts</v>
      </c>
      <c r="C158" s="50" t="n">
        <f aca="false">'Project Plan'!C161</f>
        <v>3</v>
      </c>
      <c r="D158" s="50" t="str">
        <f aca="false">'Project Plan'!J161&amp;"d"</f>
        <v>13d</v>
      </c>
      <c r="E158" s="54" t="n">
        <f aca="false">'Project Plan'!K161</f>
        <v>46367</v>
      </c>
      <c r="F158" s="54" t="n">
        <f aca="false">'Project Plan'!L161</f>
        <v>46385</v>
      </c>
      <c r="G158" s="50" t="str">
        <f aca="false">'Project Plan'!M161&amp;""</f>
        <v>156</v>
      </c>
      <c r="H158" s="50" t="str">
        <f aca="false">'Project Plan'!H161&amp;""</f>
        <v>ARC</v>
      </c>
      <c r="I158" s="50" t="str">
        <f aca="false">IF('Project Plan'!C161=3,ROUND('Project Plan'!Z161*Assumptions!$C$6,0)&amp;"h","")</f>
        <v>147h</v>
      </c>
    </row>
    <row r="159" customFormat="false" ht="15" hidden="false" customHeight="false" outlineLevel="0" collapsed="false">
      <c r="A159" s="50" t="n">
        <f aca="false">'Project Plan'!A162</f>
        <v>158</v>
      </c>
      <c r="B159" s="50" t="str">
        <f aca="false">'Project Plan'!E162</f>
        <v>UX wireframes and UI design</v>
      </c>
      <c r="C159" s="50" t="n">
        <f aca="false">'Project Plan'!C162</f>
        <v>3</v>
      </c>
      <c r="D159" s="50" t="str">
        <f aca="false">'Project Plan'!J162&amp;"d"</f>
        <v>13d</v>
      </c>
      <c r="E159" s="54" t="n">
        <f aca="false">'Project Plan'!K162</f>
        <v>46367</v>
      </c>
      <c r="F159" s="54" t="n">
        <f aca="false">'Project Plan'!L162</f>
        <v>46385</v>
      </c>
      <c r="G159" s="50" t="str">
        <f aca="false">'Project Plan'!M162&amp;""</f>
        <v>156</v>
      </c>
      <c r="H159" s="50" t="str">
        <f aca="false">'Project Plan'!H162&amp;""</f>
        <v>FE</v>
      </c>
      <c r="I159" s="50" t="str">
        <f aca="false">IF('Project Plan'!C162=3,ROUND('Project Plan'!Z162*Assumptions!$C$6,0)&amp;"h","")</f>
        <v>110h</v>
      </c>
    </row>
    <row r="160" customFormat="false" ht="15" hidden="false" customHeight="false" outlineLevel="0" collapsed="false">
      <c r="A160" s="50" t="n">
        <f aca="false">'Project Plan'!A163</f>
        <v>159</v>
      </c>
      <c r="B160" s="50" t="str">
        <f aca="false">'Project Plan'!E163</f>
        <v>Database schema, domain logic and APIs</v>
      </c>
      <c r="C160" s="50" t="n">
        <f aca="false">'Project Plan'!C163</f>
        <v>3</v>
      </c>
      <c r="D160" s="50" t="str">
        <f aca="false">'Project Plan'!J163&amp;"d"</f>
        <v>47d</v>
      </c>
      <c r="E160" s="54" t="n">
        <f aca="false">'Project Plan'!K163</f>
        <v>46384</v>
      </c>
      <c r="F160" s="54" t="n">
        <f aca="false">'Project Plan'!L163</f>
        <v>46448</v>
      </c>
      <c r="G160" s="50" t="str">
        <f aca="false">'Project Plan'!M163&amp;""</f>
        <v>157</v>
      </c>
      <c r="H160" s="50" t="str">
        <f aca="false">'Project Plan'!H163&amp;""</f>
        <v>BE</v>
      </c>
      <c r="I160" s="50" t="str">
        <f aca="false">IF('Project Plan'!C163=3,ROUND('Project Plan'!Z163*Assumptions!$C$6,0)&amp;"h","")</f>
        <v>414h</v>
      </c>
    </row>
    <row r="161" customFormat="false" ht="15" hidden="false" customHeight="false" outlineLevel="0" collapsed="false">
      <c r="A161" s="50" t="n">
        <f aca="false">'Project Plan'!A164</f>
        <v>160</v>
      </c>
      <c r="B161" s="50" t="str">
        <f aca="false">'Project Plan'!E164</f>
        <v>Workflows (BPMN) and rules (DMN) configuration</v>
      </c>
      <c r="C161" s="50" t="n">
        <f aca="false">'Project Plan'!C164</f>
        <v>3</v>
      </c>
      <c r="D161" s="50" t="str">
        <f aca="false">'Project Plan'!J164&amp;"d"</f>
        <v>34d</v>
      </c>
      <c r="E161" s="54" t="n">
        <f aca="false">'Project Plan'!K164</f>
        <v>46402</v>
      </c>
      <c r="F161" s="54" t="n">
        <f aca="false">'Project Plan'!L164</f>
        <v>46449</v>
      </c>
      <c r="G161" s="50" t="str">
        <f aca="false">'Project Plan'!M164&amp;""</f>
        <v>157</v>
      </c>
      <c r="H161" s="50" t="str">
        <f aca="false">'Project Plan'!H164&amp;""</f>
        <v>BE</v>
      </c>
      <c r="I161" s="50" t="str">
        <f aca="false">IF('Project Plan'!C164=3,ROUND('Project Plan'!Z164*Assumptions!$C$6,0)&amp;"h","")</f>
        <v>193h</v>
      </c>
    </row>
    <row r="162" customFormat="false" ht="15" hidden="false" customHeight="false" outlineLevel="0" collapsed="false">
      <c r="A162" s="50" t="n">
        <f aca="false">'Project Plan'!A165</f>
        <v>161</v>
      </c>
      <c r="B162" s="50" t="str">
        <f aca="false">'Project Plan'!E165</f>
        <v>Staff console screens</v>
      </c>
      <c r="C162" s="50" t="n">
        <f aca="false">'Project Plan'!C165</f>
        <v>3</v>
      </c>
      <c r="D162" s="50" t="str">
        <f aca="false">'Project Plan'!J165&amp;"d"</f>
        <v>45d</v>
      </c>
      <c r="E162" s="54" t="n">
        <f aca="false">'Project Plan'!K165</f>
        <v>46394</v>
      </c>
      <c r="F162" s="54" t="n">
        <f aca="false">'Project Plan'!L165</f>
        <v>46456</v>
      </c>
      <c r="G162" s="50" t="str">
        <f aca="false">'Project Plan'!M165&amp;""</f>
        <v>158</v>
      </c>
      <c r="H162" s="50" t="str">
        <f aca="false">'Project Plan'!H165&amp;""</f>
        <v>FE</v>
      </c>
      <c r="I162" s="50" t="str">
        <f aca="false">IF('Project Plan'!C165=3,ROUND('Project Plan'!Z165*Assumptions!$C$6,0)&amp;"h","")</f>
        <v>350h</v>
      </c>
    </row>
    <row r="163" customFormat="false" ht="15" hidden="false" customHeight="false" outlineLevel="0" collapsed="false">
      <c r="A163" s="50" t="n">
        <f aca="false">'Project Plan'!A166</f>
        <v>162</v>
      </c>
      <c r="B163" s="50" t="str">
        <f aca="false">'Project Plan'!E166</f>
        <v>Module interfaces (10 I-xx links): events and APIs</v>
      </c>
      <c r="C163" s="50" t="n">
        <f aca="false">'Project Plan'!C166</f>
        <v>3</v>
      </c>
      <c r="D163" s="50" t="str">
        <f aca="false">'Project Plan'!J166&amp;"d"</f>
        <v>31d</v>
      </c>
      <c r="E163" s="54" t="n">
        <f aca="false">'Project Plan'!K166</f>
        <v>46419</v>
      </c>
      <c r="F163" s="54" t="n">
        <f aca="false">'Project Plan'!L166</f>
        <v>46461</v>
      </c>
      <c r="G163" s="50" t="str">
        <f aca="false">'Project Plan'!M166&amp;""</f>
        <v>159</v>
      </c>
      <c r="H163" s="50" t="str">
        <f aca="false">'Project Plan'!H166&amp;""</f>
        <v>BE</v>
      </c>
      <c r="I163" s="50" t="str">
        <f aca="false">IF('Project Plan'!C166=3,ROUND('Project Plan'!Z166*Assumptions!$C$6,0)&amp;"h","")</f>
        <v>138h</v>
      </c>
    </row>
    <row r="164" customFormat="false" ht="15" hidden="false" customHeight="false" outlineLevel="0" collapsed="false">
      <c r="A164" s="50" t="n">
        <f aca="false">'Project Plan'!A167</f>
        <v>163</v>
      </c>
      <c r="B164" s="50" t="str">
        <f aca="false">'Project Plan'!E167</f>
        <v>External system adapters (5)</v>
      </c>
      <c r="C164" s="50" t="n">
        <f aca="false">'Project Plan'!C167</f>
        <v>3</v>
      </c>
      <c r="D164" s="50" t="str">
        <f aca="false">'Project Plan'!J167&amp;"d"</f>
        <v>37d</v>
      </c>
      <c r="E164" s="54" t="n">
        <f aca="false">'Project Plan'!K167</f>
        <v>46409</v>
      </c>
      <c r="F164" s="54" t="n">
        <f aca="false">'Project Plan'!L167</f>
        <v>46461</v>
      </c>
      <c r="G164" s="50" t="str">
        <f aca="false">'Project Plan'!M167&amp;""</f>
        <v>157</v>
      </c>
      <c r="H164" s="50" t="str">
        <f aca="false">'Project Plan'!H167&amp;""</f>
        <v>BE</v>
      </c>
      <c r="I164" s="50" t="str">
        <f aca="false">IF('Project Plan'!C167=3,ROUND('Project Plan'!Z167*Assumptions!$C$6,0)&amp;"h","")</f>
        <v>276h</v>
      </c>
    </row>
    <row r="165" customFormat="false" ht="15" hidden="false" customHeight="false" outlineLevel="0" collapsed="false">
      <c r="A165" s="50" t="n">
        <f aca="false">'Project Plan'!A168</f>
        <v>164</v>
      </c>
      <c r="B165" s="50" t="str">
        <f aca="false">'Project Plan'!E168</f>
        <v>Reports, dashboards, notices and templates (all active languages)</v>
      </c>
      <c r="C165" s="50" t="n">
        <f aca="false">'Project Plan'!C168</f>
        <v>3</v>
      </c>
      <c r="D165" s="50" t="str">
        <f aca="false">'Project Plan'!J168&amp;"d"</f>
        <v>22d</v>
      </c>
      <c r="E165" s="54" t="n">
        <f aca="false">'Project Plan'!K168</f>
        <v>46434</v>
      </c>
      <c r="F165" s="54" t="n">
        <f aca="false">'Project Plan'!L168</f>
        <v>46463</v>
      </c>
      <c r="G165" s="50" t="str">
        <f aca="false">'Project Plan'!M168&amp;""</f>
        <v>159</v>
      </c>
      <c r="H165" s="50" t="str">
        <f aca="false">'Project Plan'!H168&amp;""</f>
        <v>BE</v>
      </c>
      <c r="I165" s="50" t="str">
        <f aca="false">IF('Project Plan'!C168=3,ROUND('Project Plan'!Z168*Assumptions!$C$6,0)&amp;"h","")</f>
        <v>138h</v>
      </c>
    </row>
    <row r="166" customFormat="false" ht="15" hidden="false" customHeight="false" outlineLevel="0" collapsed="false">
      <c r="A166" s="50" t="n">
        <f aca="false">'Project Plan'!A169</f>
        <v>165</v>
      </c>
      <c r="B166" s="50" t="str">
        <f aca="false">'Project Plan'!E169</f>
        <v>Data migration: opening balances, budgets, vendors</v>
      </c>
      <c r="C166" s="50" t="n">
        <f aca="false">'Project Plan'!C169</f>
        <v>3</v>
      </c>
      <c r="D166" s="50" t="str">
        <f aca="false">'Project Plan'!J169&amp;"d"</f>
        <v>50d</v>
      </c>
      <c r="E166" s="54" t="n">
        <f aca="false">'Project Plan'!K169</f>
        <v>46402</v>
      </c>
      <c r="F166" s="54" t="n">
        <f aca="false">'Project Plan'!L169</f>
        <v>46471</v>
      </c>
      <c r="G166" s="50" t="str">
        <f aca="false">'Project Plan'!M169&amp;""</f>
        <v>157</v>
      </c>
      <c r="H166" s="50" t="str">
        <f aca="false">'Project Plan'!H169&amp;""</f>
        <v>DATA</v>
      </c>
      <c r="I166" s="50" t="str">
        <f aca="false">IF('Project Plan'!C169=3,ROUND('Project Plan'!Z169*Assumptions!$C$6,0)&amp;"h","")</f>
        <v>193h</v>
      </c>
    </row>
    <row r="167" customFormat="false" ht="15" hidden="false" customHeight="false" outlineLevel="0" collapsed="false">
      <c r="A167" s="50" t="n">
        <f aca="false">'Project Plan'!A170</f>
        <v>166</v>
      </c>
      <c r="B167" s="50" t="str">
        <f aca="false">'Project Plan'!E170</f>
        <v>System integration testing</v>
      </c>
      <c r="C167" s="50" t="n">
        <f aca="false">'Project Plan'!C170</f>
        <v>3</v>
      </c>
      <c r="D167" s="50" t="str">
        <f aca="false">'Project Plan'!J170&amp;"d"</f>
        <v>18d</v>
      </c>
      <c r="E167" s="54" t="n">
        <f aca="false">'Project Plan'!K170</f>
        <v>46451</v>
      </c>
      <c r="F167" s="54" t="n">
        <f aca="false">'Project Plan'!L170</f>
        <v>46476</v>
      </c>
      <c r="G167" s="50" t="str">
        <f aca="false">'Project Plan'!M170&amp;""</f>
        <v>159,161</v>
      </c>
      <c r="H167" s="50" t="str">
        <f aca="false">'Project Plan'!H170&amp;""</f>
        <v>QA</v>
      </c>
      <c r="I167" s="50" t="str">
        <f aca="false">IF('Project Plan'!C170=3,ROUND('Project Plan'!Z170*Assumptions!$C$6,0)&amp;"h","")</f>
        <v>276h</v>
      </c>
    </row>
    <row r="168" customFormat="false" ht="15" hidden="false" customHeight="false" outlineLevel="0" collapsed="false">
      <c r="A168" s="50" t="n">
        <f aca="false">'Project Plan'!A171</f>
        <v>167</v>
      </c>
      <c r="B168" s="50" t="str">
        <f aca="false">'Project Plan'!E171</f>
        <v>Defect fixing and regression</v>
      </c>
      <c r="C168" s="50" t="n">
        <f aca="false">'Project Plan'!C171</f>
        <v>3</v>
      </c>
      <c r="D168" s="50" t="str">
        <f aca="false">'Project Plan'!J171&amp;"d"</f>
        <v>22d</v>
      </c>
      <c r="E168" s="54" t="n">
        <f aca="false">'Project Plan'!K171</f>
        <v>46457</v>
      </c>
      <c r="F168" s="54" t="n">
        <f aca="false">'Project Plan'!L171</f>
        <v>46486</v>
      </c>
      <c r="G168" s="50" t="str">
        <f aca="false">'Project Plan'!M171&amp;""</f>
        <v>166</v>
      </c>
      <c r="H168" s="50" t="str">
        <f aca="false">'Project Plan'!H171&amp;""</f>
        <v>BE</v>
      </c>
      <c r="I168" s="50" t="str">
        <f aca="false">IF('Project Plan'!C171=3,ROUND('Project Plan'!Z171*Assumptions!$C$6,0)&amp;"h","")</f>
        <v>239h</v>
      </c>
    </row>
    <row r="169" customFormat="false" ht="15" hidden="false" customHeight="false" outlineLevel="0" collapsed="false">
      <c r="A169" s="50" t="n">
        <f aca="false">'Project Plan'!A172</f>
        <v>168</v>
      </c>
      <c r="B169" s="50" t="str">
        <f aca="false">'Project Plan'!E172</f>
        <v>UAT support with GWMC department</v>
      </c>
      <c r="C169" s="50" t="n">
        <f aca="false">'Project Plan'!C172</f>
        <v>3</v>
      </c>
      <c r="D169" s="50" t="str">
        <f aca="false">'Project Plan'!J172&amp;"d"</f>
        <v>11d</v>
      </c>
      <c r="E169" s="54" t="n">
        <f aca="false">'Project Plan'!K172</f>
        <v>46477</v>
      </c>
      <c r="F169" s="54" t="n">
        <f aca="false">'Project Plan'!L172</f>
        <v>46491</v>
      </c>
      <c r="G169" s="50" t="str">
        <f aca="false">'Project Plan'!M172&amp;""</f>
        <v>166</v>
      </c>
      <c r="H169" s="50" t="str">
        <f aca="false">'Project Plan'!H172&amp;""</f>
        <v>BA</v>
      </c>
      <c r="I169" s="50" t="str">
        <f aca="false">IF('Project Plan'!C172=3,ROUND('Project Plan'!Z172*Assumptions!$C$6,0)&amp;"h","")</f>
        <v>147h</v>
      </c>
    </row>
    <row r="170" customFormat="false" ht="15" hidden="false" customHeight="false" outlineLevel="0" collapsed="false">
      <c r="A170" s="50" t="n">
        <f aca="false">'Project Plan'!A173</f>
        <v>169</v>
      </c>
      <c r="B170" s="50" t="str">
        <f aca="false">'Project Plan'!E173</f>
        <v>Training material and department training</v>
      </c>
      <c r="C170" s="50" t="n">
        <f aca="false">'Project Plan'!C173</f>
        <v>3</v>
      </c>
      <c r="D170" s="50" t="str">
        <f aca="false">'Project Plan'!J173&amp;"d"</f>
        <v>11d</v>
      </c>
      <c r="E170" s="54" t="n">
        <f aca="false">'Project Plan'!K173</f>
        <v>46482</v>
      </c>
      <c r="F170" s="54" t="n">
        <f aca="false">'Project Plan'!L173</f>
        <v>46496</v>
      </c>
      <c r="G170" s="50" t="str">
        <f aca="false">'Project Plan'!M173&amp;""</f>
        <v>168</v>
      </c>
      <c r="H170" s="50" t="str">
        <f aca="false">'Project Plan'!H173&amp;""</f>
        <v>TRN</v>
      </c>
      <c r="I170" s="50" t="str">
        <f aca="false">IF('Project Plan'!C173=3,ROUND('Project Plan'!Z173*Assumptions!$C$6,0)&amp;"h","")</f>
        <v>110h</v>
      </c>
    </row>
    <row r="171" customFormat="false" ht="15" hidden="false" customHeight="false" outlineLevel="0" collapsed="false">
      <c r="A171" s="50" t="n">
        <f aca="false">'Project Plan'!A174</f>
        <v>170</v>
      </c>
      <c r="B171" s="50" t="str">
        <f aca="false">'Project Plan'!E174</f>
        <v>Module 9: Document Management System</v>
      </c>
      <c r="C171" s="50" t="n">
        <f aca="false">'Project Plan'!C174</f>
        <v>2</v>
      </c>
      <c r="D171" s="50" t="str">
        <f aca="false">'Project Plan'!J174&amp;"d"</f>
        <v>101d</v>
      </c>
      <c r="E171" s="54" t="n">
        <f aca="false">'Project Plan'!K174</f>
        <v>46356</v>
      </c>
      <c r="F171" s="54" t="n">
        <f aca="false">'Project Plan'!L174</f>
        <v>46496</v>
      </c>
      <c r="G171" s="50" t="str">
        <f aca="false">'Project Plan'!M174&amp;""</f>
        <v/>
      </c>
      <c r="H171" s="50" t="str">
        <f aca="false">'Project Plan'!H174&amp;""</f>
        <v/>
      </c>
      <c r="I171" s="50" t="str">
        <f aca="false">IF('Project Plan'!C174=3,ROUND('Project Plan'!Z174*Assumptions!$C$6,0)&amp;"h","")</f>
        <v/>
      </c>
    </row>
    <row r="172" customFormat="false" ht="15" hidden="false" customHeight="false" outlineLevel="0" collapsed="false">
      <c r="A172" s="50" t="n">
        <f aca="false">'Project Plan'!A175</f>
        <v>171</v>
      </c>
      <c r="B172" s="50" t="str">
        <f aca="false">'Project Plan'!E175</f>
        <v>Process validation workshops and to-be sign-off</v>
      </c>
      <c r="C172" s="50" t="n">
        <f aca="false">'Project Plan'!C175</f>
        <v>3</v>
      </c>
      <c r="D172" s="50" t="str">
        <f aca="false">'Project Plan'!J175&amp;"d"</f>
        <v>13d</v>
      </c>
      <c r="E172" s="54" t="n">
        <f aca="false">'Project Plan'!K175</f>
        <v>46356</v>
      </c>
      <c r="F172" s="54" t="n">
        <f aca="false">'Project Plan'!L175</f>
        <v>46372</v>
      </c>
      <c r="G172" s="50" t="str">
        <f aca="false">'Project Plan'!M175&amp;""</f>
        <v>23</v>
      </c>
      <c r="H172" s="50" t="str">
        <f aca="false">'Project Plan'!H175&amp;""</f>
        <v>BA</v>
      </c>
      <c r="I172" s="50" t="str">
        <f aca="false">IF('Project Plan'!C175=3,ROUND('Project Plan'!Z175*Assumptions!$C$6,0)&amp;"h","")</f>
        <v>147h</v>
      </c>
    </row>
    <row r="173" customFormat="false" ht="15" hidden="false" customHeight="false" outlineLevel="0" collapsed="false">
      <c r="A173" s="50" t="n">
        <f aca="false">'Project Plan'!A176</f>
        <v>172</v>
      </c>
      <c r="B173" s="50" t="str">
        <f aca="false">'Project Plan'!E176</f>
        <v>LLD, data model and API/event contracts</v>
      </c>
      <c r="C173" s="50" t="n">
        <f aca="false">'Project Plan'!C176</f>
        <v>3</v>
      </c>
      <c r="D173" s="50" t="str">
        <f aca="false">'Project Plan'!J176&amp;"d"</f>
        <v>13d</v>
      </c>
      <c r="E173" s="54" t="n">
        <f aca="false">'Project Plan'!K176</f>
        <v>46367</v>
      </c>
      <c r="F173" s="54" t="n">
        <f aca="false">'Project Plan'!L176</f>
        <v>46385</v>
      </c>
      <c r="G173" s="50" t="str">
        <f aca="false">'Project Plan'!M176&amp;""</f>
        <v>171</v>
      </c>
      <c r="H173" s="50" t="str">
        <f aca="false">'Project Plan'!H176&amp;""</f>
        <v>ARC</v>
      </c>
      <c r="I173" s="50" t="str">
        <f aca="false">IF('Project Plan'!C176=3,ROUND('Project Plan'!Z176*Assumptions!$C$6,0)&amp;"h","")</f>
        <v>147h</v>
      </c>
    </row>
    <row r="174" customFormat="false" ht="15" hidden="false" customHeight="false" outlineLevel="0" collapsed="false">
      <c r="A174" s="50" t="n">
        <f aca="false">'Project Plan'!A177</f>
        <v>173</v>
      </c>
      <c r="B174" s="50" t="str">
        <f aca="false">'Project Plan'!E177</f>
        <v>UX wireframes and UI design</v>
      </c>
      <c r="C174" s="50" t="n">
        <f aca="false">'Project Plan'!C177</f>
        <v>3</v>
      </c>
      <c r="D174" s="50" t="str">
        <f aca="false">'Project Plan'!J177&amp;"d"</f>
        <v>13d</v>
      </c>
      <c r="E174" s="54" t="n">
        <f aca="false">'Project Plan'!K177</f>
        <v>46367</v>
      </c>
      <c r="F174" s="54" t="n">
        <f aca="false">'Project Plan'!L177</f>
        <v>46385</v>
      </c>
      <c r="G174" s="50" t="str">
        <f aca="false">'Project Plan'!M177&amp;""</f>
        <v>171</v>
      </c>
      <c r="H174" s="50" t="str">
        <f aca="false">'Project Plan'!H177&amp;""</f>
        <v>FE</v>
      </c>
      <c r="I174" s="50" t="str">
        <f aca="false">IF('Project Plan'!C177=3,ROUND('Project Plan'!Z177*Assumptions!$C$6,0)&amp;"h","")</f>
        <v>110h</v>
      </c>
    </row>
    <row r="175" customFormat="false" ht="15" hidden="false" customHeight="false" outlineLevel="0" collapsed="false">
      <c r="A175" s="50" t="n">
        <f aca="false">'Project Plan'!A178</f>
        <v>174</v>
      </c>
      <c r="B175" s="50" t="str">
        <f aca="false">'Project Plan'!E178</f>
        <v>Database schema, domain logic and APIs</v>
      </c>
      <c r="C175" s="50" t="n">
        <f aca="false">'Project Plan'!C178</f>
        <v>3</v>
      </c>
      <c r="D175" s="50" t="str">
        <f aca="false">'Project Plan'!J178&amp;"d"</f>
        <v>47d</v>
      </c>
      <c r="E175" s="54" t="n">
        <f aca="false">'Project Plan'!K178</f>
        <v>46384</v>
      </c>
      <c r="F175" s="54" t="n">
        <f aca="false">'Project Plan'!L178</f>
        <v>46448</v>
      </c>
      <c r="G175" s="50" t="str">
        <f aca="false">'Project Plan'!M178&amp;""</f>
        <v>172</v>
      </c>
      <c r="H175" s="50" t="str">
        <f aca="false">'Project Plan'!H178&amp;""</f>
        <v>BE</v>
      </c>
      <c r="I175" s="50" t="str">
        <f aca="false">IF('Project Plan'!C178=3,ROUND('Project Plan'!Z178*Assumptions!$C$6,0)&amp;"h","")</f>
        <v>423h</v>
      </c>
    </row>
    <row r="176" customFormat="false" ht="15" hidden="false" customHeight="false" outlineLevel="0" collapsed="false">
      <c r="A176" s="50" t="n">
        <f aca="false">'Project Plan'!A179</f>
        <v>175</v>
      </c>
      <c r="B176" s="50" t="str">
        <f aca="false">'Project Plan'!E179</f>
        <v>Workflows (BPMN) and rules (DMN) configuration</v>
      </c>
      <c r="C176" s="50" t="n">
        <f aca="false">'Project Plan'!C179</f>
        <v>3</v>
      </c>
      <c r="D176" s="50" t="str">
        <f aca="false">'Project Plan'!J179&amp;"d"</f>
        <v>34d</v>
      </c>
      <c r="E176" s="54" t="n">
        <f aca="false">'Project Plan'!K179</f>
        <v>46402</v>
      </c>
      <c r="F176" s="54" t="n">
        <f aca="false">'Project Plan'!L179</f>
        <v>46449</v>
      </c>
      <c r="G176" s="50" t="str">
        <f aca="false">'Project Plan'!M179&amp;""</f>
        <v>172</v>
      </c>
      <c r="H176" s="50" t="str">
        <f aca="false">'Project Plan'!H179&amp;""</f>
        <v>BE</v>
      </c>
      <c r="I176" s="50" t="str">
        <f aca="false">IF('Project Plan'!C179=3,ROUND('Project Plan'!Z179*Assumptions!$C$6,0)&amp;"h","")</f>
        <v>193h</v>
      </c>
    </row>
    <row r="177" customFormat="false" ht="15" hidden="false" customHeight="false" outlineLevel="0" collapsed="false">
      <c r="A177" s="50" t="n">
        <f aca="false">'Project Plan'!A180</f>
        <v>176</v>
      </c>
      <c r="B177" s="50" t="str">
        <f aca="false">'Project Plan'!E180</f>
        <v>Staff console screens</v>
      </c>
      <c r="C177" s="50" t="n">
        <f aca="false">'Project Plan'!C180</f>
        <v>3</v>
      </c>
      <c r="D177" s="50" t="str">
        <f aca="false">'Project Plan'!J180&amp;"d"</f>
        <v>45d</v>
      </c>
      <c r="E177" s="54" t="n">
        <f aca="false">'Project Plan'!K180</f>
        <v>46394</v>
      </c>
      <c r="F177" s="54" t="n">
        <f aca="false">'Project Plan'!L180</f>
        <v>46456</v>
      </c>
      <c r="G177" s="50" t="str">
        <f aca="false">'Project Plan'!M180&amp;""</f>
        <v>173</v>
      </c>
      <c r="H177" s="50" t="str">
        <f aca="false">'Project Plan'!H180&amp;""</f>
        <v>FE</v>
      </c>
      <c r="I177" s="50" t="str">
        <f aca="false">IF('Project Plan'!C180=3,ROUND('Project Plan'!Z180*Assumptions!$C$6,0)&amp;"h","")</f>
        <v>350h</v>
      </c>
    </row>
    <row r="178" customFormat="false" ht="15" hidden="false" customHeight="false" outlineLevel="0" collapsed="false">
      <c r="A178" s="50" t="n">
        <f aca="false">'Project Plan'!A181</f>
        <v>177</v>
      </c>
      <c r="B178" s="50" t="str">
        <f aca="false">'Project Plan'!E181</f>
        <v>Citizen portal and app services</v>
      </c>
      <c r="C178" s="50" t="n">
        <f aca="false">'Project Plan'!C181</f>
        <v>3</v>
      </c>
      <c r="D178" s="50" t="str">
        <f aca="false">'Project Plan'!J181&amp;"d"</f>
        <v>34d</v>
      </c>
      <c r="E178" s="54" t="n">
        <f aca="false">'Project Plan'!K181</f>
        <v>46409</v>
      </c>
      <c r="F178" s="54" t="n">
        <f aca="false">'Project Plan'!L181</f>
        <v>46456</v>
      </c>
      <c r="G178" s="50" t="str">
        <f aca="false">'Project Plan'!M181&amp;""</f>
        <v>173</v>
      </c>
      <c r="H178" s="50" t="str">
        <f aca="false">'Project Plan'!H181&amp;""</f>
        <v>FE</v>
      </c>
      <c r="I178" s="50" t="str">
        <f aca="false">IF('Project Plan'!C181=3,ROUND('Project Plan'!Z181*Assumptions!$C$6,0)&amp;"h","")</f>
        <v>248h</v>
      </c>
    </row>
    <row r="179" customFormat="false" ht="15" hidden="false" customHeight="false" outlineLevel="0" collapsed="false">
      <c r="A179" s="50" t="n">
        <f aca="false">'Project Plan'!A182</f>
        <v>178</v>
      </c>
      <c r="B179" s="50" t="str">
        <f aca="false">'Project Plan'!E182</f>
        <v>Module interfaces (3 I-xx links): events and APIs</v>
      </c>
      <c r="C179" s="50" t="n">
        <f aca="false">'Project Plan'!C182</f>
        <v>3</v>
      </c>
      <c r="D179" s="50" t="str">
        <f aca="false">'Project Plan'!J182&amp;"d"</f>
        <v>31d</v>
      </c>
      <c r="E179" s="54" t="n">
        <f aca="false">'Project Plan'!K182</f>
        <v>46419</v>
      </c>
      <c r="F179" s="54" t="n">
        <f aca="false">'Project Plan'!L182</f>
        <v>46461</v>
      </c>
      <c r="G179" s="50" t="str">
        <f aca="false">'Project Plan'!M182&amp;""</f>
        <v>174</v>
      </c>
      <c r="H179" s="50" t="str">
        <f aca="false">'Project Plan'!H182&amp;""</f>
        <v>BE</v>
      </c>
      <c r="I179" s="50" t="str">
        <f aca="false">IF('Project Plan'!C182=3,ROUND('Project Plan'!Z182*Assumptions!$C$6,0)&amp;"h","")</f>
        <v>37h</v>
      </c>
    </row>
    <row r="180" customFormat="false" ht="15" hidden="false" customHeight="false" outlineLevel="0" collapsed="false">
      <c r="A180" s="50" t="n">
        <f aca="false">'Project Plan'!A183</f>
        <v>179</v>
      </c>
      <c r="B180" s="50" t="str">
        <f aca="false">'Project Plan'!E183</f>
        <v>External system adapters (5)</v>
      </c>
      <c r="C180" s="50" t="n">
        <f aca="false">'Project Plan'!C183</f>
        <v>3</v>
      </c>
      <c r="D180" s="50" t="str">
        <f aca="false">'Project Plan'!J183&amp;"d"</f>
        <v>37d</v>
      </c>
      <c r="E180" s="54" t="n">
        <f aca="false">'Project Plan'!K183</f>
        <v>46409</v>
      </c>
      <c r="F180" s="54" t="n">
        <f aca="false">'Project Plan'!L183</f>
        <v>46461</v>
      </c>
      <c r="G180" s="50" t="str">
        <f aca="false">'Project Plan'!M183&amp;""</f>
        <v>172</v>
      </c>
      <c r="H180" s="50" t="str">
        <f aca="false">'Project Plan'!H183&amp;""</f>
        <v>BE</v>
      </c>
      <c r="I180" s="50" t="str">
        <f aca="false">IF('Project Plan'!C183=3,ROUND('Project Plan'!Z183*Assumptions!$C$6,0)&amp;"h","")</f>
        <v>276h</v>
      </c>
    </row>
    <row r="181" customFormat="false" ht="15" hidden="false" customHeight="false" outlineLevel="0" collapsed="false">
      <c r="A181" s="50" t="n">
        <f aca="false">'Project Plan'!A184</f>
        <v>180</v>
      </c>
      <c r="B181" s="50" t="str">
        <f aca="false">'Project Plan'!E184</f>
        <v>Reports, dashboards, notices and templates (all active languages)</v>
      </c>
      <c r="C181" s="50" t="n">
        <f aca="false">'Project Plan'!C184</f>
        <v>3</v>
      </c>
      <c r="D181" s="50" t="str">
        <f aca="false">'Project Plan'!J184&amp;"d"</f>
        <v>22d</v>
      </c>
      <c r="E181" s="54" t="n">
        <f aca="false">'Project Plan'!K184</f>
        <v>46434</v>
      </c>
      <c r="F181" s="54" t="n">
        <f aca="false">'Project Plan'!L184</f>
        <v>46463</v>
      </c>
      <c r="G181" s="50" t="str">
        <f aca="false">'Project Plan'!M184&amp;""</f>
        <v>174</v>
      </c>
      <c r="H181" s="50" t="str">
        <f aca="false">'Project Plan'!H184&amp;""</f>
        <v>BE</v>
      </c>
      <c r="I181" s="50" t="str">
        <f aca="false">IF('Project Plan'!C184=3,ROUND('Project Plan'!Z184*Assumptions!$C$6,0)&amp;"h","")</f>
        <v>138h</v>
      </c>
    </row>
    <row r="182" customFormat="false" ht="15" hidden="false" customHeight="false" outlineLevel="0" collapsed="false">
      <c r="A182" s="50" t="n">
        <f aca="false">'Project Plan'!A185</f>
        <v>181</v>
      </c>
      <c r="B182" s="50" t="str">
        <f aca="false">'Project Plan'!E185</f>
        <v>Data migration: legacy files for scanning and indexing</v>
      </c>
      <c r="C182" s="50" t="n">
        <f aca="false">'Project Plan'!C185</f>
        <v>3</v>
      </c>
      <c r="D182" s="50" t="str">
        <f aca="false">'Project Plan'!J185&amp;"d"</f>
        <v>50d</v>
      </c>
      <c r="E182" s="54" t="n">
        <f aca="false">'Project Plan'!K185</f>
        <v>46402</v>
      </c>
      <c r="F182" s="54" t="n">
        <f aca="false">'Project Plan'!L185</f>
        <v>46471</v>
      </c>
      <c r="G182" s="50" t="str">
        <f aca="false">'Project Plan'!M185&amp;""</f>
        <v>172</v>
      </c>
      <c r="H182" s="50" t="str">
        <f aca="false">'Project Plan'!H185&amp;""</f>
        <v>DATA</v>
      </c>
      <c r="I182" s="50" t="str">
        <f aca="false">IF('Project Plan'!C185=3,ROUND('Project Plan'!Z185*Assumptions!$C$6,0)&amp;"h","")</f>
        <v>193h</v>
      </c>
    </row>
    <row r="183" customFormat="false" ht="15" hidden="false" customHeight="false" outlineLevel="0" collapsed="false">
      <c r="A183" s="50" t="n">
        <f aca="false">'Project Plan'!A186</f>
        <v>182</v>
      </c>
      <c r="B183" s="50" t="str">
        <f aca="false">'Project Plan'!E186</f>
        <v>System integration testing</v>
      </c>
      <c r="C183" s="50" t="n">
        <f aca="false">'Project Plan'!C186</f>
        <v>3</v>
      </c>
      <c r="D183" s="50" t="str">
        <f aca="false">'Project Plan'!J186&amp;"d"</f>
        <v>18d</v>
      </c>
      <c r="E183" s="54" t="n">
        <f aca="false">'Project Plan'!K186</f>
        <v>46451</v>
      </c>
      <c r="F183" s="54" t="n">
        <f aca="false">'Project Plan'!L186</f>
        <v>46476</v>
      </c>
      <c r="G183" s="50" t="str">
        <f aca="false">'Project Plan'!M186&amp;""</f>
        <v>174,176</v>
      </c>
      <c r="H183" s="50" t="str">
        <f aca="false">'Project Plan'!H186&amp;""</f>
        <v>QA</v>
      </c>
      <c r="I183" s="50" t="str">
        <f aca="false">IF('Project Plan'!C186=3,ROUND('Project Plan'!Z186*Assumptions!$C$6,0)&amp;"h","")</f>
        <v>276h</v>
      </c>
    </row>
    <row r="184" customFormat="false" ht="15" hidden="false" customHeight="false" outlineLevel="0" collapsed="false">
      <c r="A184" s="50" t="n">
        <f aca="false">'Project Plan'!A187</f>
        <v>183</v>
      </c>
      <c r="B184" s="50" t="str">
        <f aca="false">'Project Plan'!E187</f>
        <v>Defect fixing and regression</v>
      </c>
      <c r="C184" s="50" t="n">
        <f aca="false">'Project Plan'!C187</f>
        <v>3</v>
      </c>
      <c r="D184" s="50" t="str">
        <f aca="false">'Project Plan'!J187&amp;"d"</f>
        <v>22d</v>
      </c>
      <c r="E184" s="54" t="n">
        <f aca="false">'Project Plan'!K187</f>
        <v>46457</v>
      </c>
      <c r="F184" s="54" t="n">
        <f aca="false">'Project Plan'!L187</f>
        <v>46486</v>
      </c>
      <c r="G184" s="50" t="str">
        <f aca="false">'Project Plan'!M187&amp;""</f>
        <v>182</v>
      </c>
      <c r="H184" s="50" t="str">
        <f aca="false">'Project Plan'!H187&amp;""</f>
        <v>BE</v>
      </c>
      <c r="I184" s="50" t="str">
        <f aca="false">IF('Project Plan'!C187=3,ROUND('Project Plan'!Z187*Assumptions!$C$6,0)&amp;"h","")</f>
        <v>239h</v>
      </c>
    </row>
    <row r="185" customFormat="false" ht="15" hidden="false" customHeight="false" outlineLevel="0" collapsed="false">
      <c r="A185" s="50" t="n">
        <f aca="false">'Project Plan'!A188</f>
        <v>184</v>
      </c>
      <c r="B185" s="50" t="str">
        <f aca="false">'Project Plan'!E188</f>
        <v>UAT support with GWMC department</v>
      </c>
      <c r="C185" s="50" t="n">
        <f aca="false">'Project Plan'!C188</f>
        <v>3</v>
      </c>
      <c r="D185" s="50" t="str">
        <f aca="false">'Project Plan'!J188&amp;"d"</f>
        <v>11d</v>
      </c>
      <c r="E185" s="54" t="n">
        <f aca="false">'Project Plan'!K188</f>
        <v>46477</v>
      </c>
      <c r="F185" s="54" t="n">
        <f aca="false">'Project Plan'!L188</f>
        <v>46491</v>
      </c>
      <c r="G185" s="50" t="str">
        <f aca="false">'Project Plan'!M188&amp;""</f>
        <v>182</v>
      </c>
      <c r="H185" s="50" t="str">
        <f aca="false">'Project Plan'!H188&amp;""</f>
        <v>BA</v>
      </c>
      <c r="I185" s="50" t="str">
        <f aca="false">IF('Project Plan'!C188=3,ROUND('Project Plan'!Z188*Assumptions!$C$6,0)&amp;"h","")</f>
        <v>147h</v>
      </c>
    </row>
    <row r="186" customFormat="false" ht="15" hidden="false" customHeight="false" outlineLevel="0" collapsed="false">
      <c r="A186" s="50" t="n">
        <f aca="false">'Project Plan'!A189</f>
        <v>185</v>
      </c>
      <c r="B186" s="50" t="str">
        <f aca="false">'Project Plan'!E189</f>
        <v>Training material and department training</v>
      </c>
      <c r="C186" s="50" t="n">
        <f aca="false">'Project Plan'!C189</f>
        <v>3</v>
      </c>
      <c r="D186" s="50" t="str">
        <f aca="false">'Project Plan'!J189&amp;"d"</f>
        <v>11d</v>
      </c>
      <c r="E186" s="54" t="n">
        <f aca="false">'Project Plan'!K189</f>
        <v>46482</v>
      </c>
      <c r="F186" s="54" t="n">
        <f aca="false">'Project Plan'!L189</f>
        <v>46496</v>
      </c>
      <c r="G186" s="50" t="str">
        <f aca="false">'Project Plan'!M189&amp;""</f>
        <v>184</v>
      </c>
      <c r="H186" s="50" t="str">
        <f aca="false">'Project Plan'!H189&amp;""</f>
        <v>TRN</v>
      </c>
      <c r="I186" s="50" t="str">
        <f aca="false">IF('Project Plan'!C189=3,ROUND('Project Plan'!Z189*Assumptions!$C$6,0)&amp;"h","")</f>
        <v>110h</v>
      </c>
    </row>
    <row r="187" customFormat="false" ht="15" hidden="false" customHeight="false" outlineLevel="0" collapsed="false">
      <c r="A187" s="50" t="n">
        <f aca="false">'Project Plan'!A190</f>
        <v>186</v>
      </c>
      <c r="B187" s="50" t="str">
        <f aca="false">'Project Plan'!E190</f>
        <v>Phase 1 release, testing and go-live</v>
      </c>
      <c r="C187" s="50" t="n">
        <f aca="false">'Project Plan'!C190</f>
        <v>2</v>
      </c>
      <c r="D187" s="50" t="str">
        <f aca="false">'Project Plan'!J190&amp;"d"</f>
        <v>22d</v>
      </c>
      <c r="E187" s="54" t="n">
        <f aca="false">'Project Plan'!K190</f>
        <v>46469</v>
      </c>
      <c r="F187" s="54" t="n">
        <f aca="false">'Project Plan'!L190</f>
        <v>46498</v>
      </c>
      <c r="G187" s="50" t="str">
        <f aca="false">'Project Plan'!M190&amp;""</f>
        <v/>
      </c>
      <c r="H187" s="50" t="str">
        <f aca="false">'Project Plan'!H190&amp;""</f>
        <v/>
      </c>
      <c r="I187" s="50" t="str">
        <f aca="false">IF('Project Plan'!C190=3,ROUND('Project Plan'!Z190*Assumptions!$C$6,0)&amp;"h","")</f>
        <v/>
      </c>
    </row>
    <row r="188" customFormat="false" ht="15" hidden="false" customHeight="false" outlineLevel="0" collapsed="false">
      <c r="A188" s="50" t="n">
        <f aca="false">'Project Plan'!A191</f>
        <v>187</v>
      </c>
      <c r="B188" s="50" t="str">
        <f aca="false">'Project Plan'!E191</f>
        <v>End-to-end integration testing (SRS E2E scenarios)</v>
      </c>
      <c r="C188" s="50" t="n">
        <f aca="false">'Project Plan'!C191</f>
        <v>3</v>
      </c>
      <c r="D188" s="50" t="str">
        <f aca="false">'Project Plan'!J191&amp;"d"</f>
        <v>11d</v>
      </c>
      <c r="E188" s="54" t="n">
        <f aca="false">'Project Plan'!K191</f>
        <v>46469</v>
      </c>
      <c r="F188" s="54" t="n">
        <f aca="false">'Project Plan'!L191</f>
        <v>46483</v>
      </c>
      <c r="G188" s="50" t="str">
        <f aca="false">'Project Plan'!M191&amp;""</f>
        <v>117,135,151,166,182</v>
      </c>
      <c r="H188" s="50" t="str">
        <f aca="false">'Project Plan'!H191&amp;""</f>
        <v>QA</v>
      </c>
      <c r="I188" s="50" t="str">
        <f aca="false">IF('Project Plan'!C191=3,ROUND('Project Plan'!Z191*Assumptions!$C$6,0)&amp;"h","")</f>
        <v>276h</v>
      </c>
    </row>
    <row r="189" customFormat="false" ht="15" hidden="false" customHeight="false" outlineLevel="0" collapsed="false">
      <c r="A189" s="50" t="n">
        <f aca="false">'Project Plan'!A192</f>
        <v>188</v>
      </c>
      <c r="B189" s="50" t="str">
        <f aca="false">'Project Plan'!E192</f>
        <v>Performance and load testing (NFR-001/002)</v>
      </c>
      <c r="C189" s="50" t="n">
        <f aca="false">'Project Plan'!C192</f>
        <v>3</v>
      </c>
      <c r="D189" s="50" t="str">
        <f aca="false">'Project Plan'!J192&amp;"d"</f>
        <v>8d</v>
      </c>
      <c r="E189" s="54" t="n">
        <f aca="false">'Project Plan'!K192</f>
        <v>46472</v>
      </c>
      <c r="F189" s="54" t="n">
        <f aca="false">'Project Plan'!L192</f>
        <v>46483</v>
      </c>
      <c r="G189" s="50" t="str">
        <f aca="false">'Project Plan'!M192&amp;""</f>
        <v/>
      </c>
      <c r="H189" s="50" t="str">
        <f aca="false">'Project Plan'!H192&amp;""</f>
        <v>QA</v>
      </c>
      <c r="I189" s="50" t="str">
        <f aca="false">IF('Project Plan'!C192=3,ROUND('Project Plan'!Z192*Assumptions!$C$6,0)&amp;"h","")</f>
        <v>147h</v>
      </c>
    </row>
    <row r="190" customFormat="false" ht="15" hidden="false" customHeight="false" outlineLevel="0" collapsed="false">
      <c r="A190" s="50" t="n">
        <f aca="false">'Project Plan'!A193</f>
        <v>189</v>
      </c>
      <c r="B190" s="50" t="str">
        <f aca="false">'Project Plan'!E193</f>
        <v>Security audit by CERT-In empanelled auditor and fixes</v>
      </c>
      <c r="C190" s="50" t="n">
        <f aca="false">'Project Plan'!C193</f>
        <v>3</v>
      </c>
      <c r="D190" s="50" t="str">
        <f aca="false">'Project Plan'!J193&amp;"d"</f>
        <v>11d</v>
      </c>
      <c r="E190" s="54" t="n">
        <f aca="false">'Project Plan'!K193</f>
        <v>46477</v>
      </c>
      <c r="F190" s="54" t="n">
        <f aca="false">'Project Plan'!L193</f>
        <v>46491</v>
      </c>
      <c r="G190" s="50" t="str">
        <f aca="false">'Project Plan'!M193&amp;""</f>
        <v/>
      </c>
      <c r="H190" s="50" t="str">
        <f aca="false">'Project Plan'!H193&amp;""</f>
        <v>QA</v>
      </c>
      <c r="I190" s="50" t="str">
        <f aca="false">IF('Project Plan'!C193=3,ROUND('Project Plan'!Z193*Assumptions!$C$6,0)&amp;"h","")</f>
        <v>193h</v>
      </c>
    </row>
    <row r="191" customFormat="false" ht="15" hidden="false" customHeight="false" outlineLevel="0" collapsed="false">
      <c r="A191" s="50" t="n">
        <f aca="false">'Project Plan'!A194</f>
        <v>190</v>
      </c>
      <c r="B191" s="50" t="str">
        <f aca="false">'Project Plan'!E194</f>
        <v>Training of trainers and end-user training programme</v>
      </c>
      <c r="C191" s="50" t="n">
        <f aca="false">'Project Plan'!C194</f>
        <v>3</v>
      </c>
      <c r="D191" s="50" t="str">
        <f aca="false">'Project Plan'!J194&amp;"d"</f>
        <v>11d</v>
      </c>
      <c r="E191" s="54" t="n">
        <f aca="false">'Project Plan'!K194</f>
        <v>46484</v>
      </c>
      <c r="F191" s="54" t="n">
        <f aca="false">'Project Plan'!L194</f>
        <v>46498</v>
      </c>
      <c r="G191" s="50" t="str">
        <f aca="false">'Project Plan'!M194&amp;""</f>
        <v/>
      </c>
      <c r="H191" s="50" t="str">
        <f aca="false">'Project Plan'!H194&amp;""</f>
        <v>TRN</v>
      </c>
      <c r="I191" s="50" t="str">
        <f aca="false">IF('Project Plan'!C194=3,ROUND('Project Plan'!Z194*Assumptions!$C$6,0)&amp;"h","")</f>
        <v>184h</v>
      </c>
    </row>
    <row r="192" customFormat="false" ht="15" hidden="false" customHeight="false" outlineLevel="0" collapsed="false">
      <c r="A192" s="50" t="n">
        <f aca="false">'Project Plan'!A195</f>
        <v>191</v>
      </c>
      <c r="B192" s="50" t="str">
        <f aca="false">'Project Plan'!E195</f>
        <v>Migration dress rehearsal and cut-over plan</v>
      </c>
      <c r="C192" s="50" t="n">
        <f aca="false">'Project Plan'!C195</f>
        <v>3</v>
      </c>
      <c r="D192" s="50" t="str">
        <f aca="false">'Project Plan'!J195&amp;"d"</f>
        <v>7d</v>
      </c>
      <c r="E192" s="54" t="n">
        <f aca="false">'Project Plan'!K195</f>
        <v>46486</v>
      </c>
      <c r="F192" s="54" t="n">
        <f aca="false">'Project Plan'!L195</f>
        <v>46496</v>
      </c>
      <c r="G192" s="50" t="str">
        <f aca="false">'Project Plan'!M195&amp;""</f>
        <v/>
      </c>
      <c r="H192" s="50" t="str">
        <f aca="false">'Project Plan'!H195&amp;""</f>
        <v>DATA</v>
      </c>
      <c r="I192" s="50" t="str">
        <f aca="false">IF('Project Plan'!C195=3,ROUND('Project Plan'!Z195*Assumptions!$C$6,0)&amp;"h","")</f>
        <v>120h</v>
      </c>
    </row>
    <row r="193" customFormat="false" ht="15" hidden="false" customHeight="false" outlineLevel="0" collapsed="false">
      <c r="A193" s="50" t="n">
        <f aca="false">'Project Plan'!A196</f>
        <v>192</v>
      </c>
      <c r="B193" s="50" t="str">
        <f aca="false">'Project Plan'!E196</f>
        <v>Production deployment and cut-over</v>
      </c>
      <c r="C193" s="50" t="n">
        <f aca="false">'Project Plan'!C196</f>
        <v>3</v>
      </c>
      <c r="D193" s="50" t="str">
        <f aca="false">'Project Plan'!J196&amp;"d"</f>
        <v>2d</v>
      </c>
      <c r="E193" s="54" t="n">
        <f aca="false">'Project Plan'!K196</f>
        <v>46497</v>
      </c>
      <c r="F193" s="54" t="n">
        <f aca="false">'Project Plan'!L196</f>
        <v>46498</v>
      </c>
      <c r="G193" s="50" t="str">
        <f aca="false">'Project Plan'!M196&amp;""</f>
        <v>189,191,119,137,153,168,184</v>
      </c>
      <c r="H193" s="50" t="str">
        <f aca="false">'Project Plan'!H196&amp;""</f>
        <v>DEV</v>
      </c>
      <c r="I193" s="50" t="str">
        <f aca="false">IF('Project Plan'!C196=3,ROUND('Project Plan'!Z196*Assumptions!$C$6,0)&amp;"h","")</f>
        <v>147h</v>
      </c>
    </row>
    <row r="194" customFormat="false" ht="15" hidden="false" customHeight="false" outlineLevel="0" collapsed="false">
      <c r="A194" s="50" t="n">
        <f aca="false">'Project Plan'!A197</f>
        <v>193</v>
      </c>
      <c r="B194" s="50" t="str">
        <f aca="false">'Project Plan'!E197</f>
        <v>M1: Phase 1 go-live</v>
      </c>
      <c r="C194" s="50" t="n">
        <f aca="false">'Project Plan'!C197</f>
        <v>2</v>
      </c>
      <c r="D194" s="50" t="str">
        <f aca="false">'Project Plan'!J197&amp;"d"</f>
        <v>0d</v>
      </c>
      <c r="E194" s="54" t="n">
        <f aca="false">'Project Plan'!K197</f>
        <v>46499</v>
      </c>
      <c r="F194" s="54" t="n">
        <f aca="false">'Project Plan'!L197</f>
        <v>46499</v>
      </c>
      <c r="G194" s="50" t="str">
        <f aca="false">'Project Plan'!M197&amp;""</f>
        <v>192</v>
      </c>
      <c r="H194" s="50" t="str">
        <f aca="false">'Project Plan'!H197&amp;""</f>
        <v/>
      </c>
      <c r="I194" s="50" t="str">
        <f aca="false">IF('Project Plan'!C197=3,ROUND('Project Plan'!Z197*Assumptions!$C$6,0)&amp;"h","")</f>
        <v/>
      </c>
    </row>
    <row r="195" customFormat="false" ht="15" hidden="false" customHeight="false" outlineLevel="0" collapsed="false">
      <c r="A195" s="50" t="n">
        <f aca="false">'Project Plan'!A198</f>
        <v>194</v>
      </c>
      <c r="B195" s="50" t="str">
        <f aca="false">'Project Plan'!E198</f>
        <v>Hypercare and stabilisation (4 weeks)</v>
      </c>
      <c r="C195" s="50" t="n">
        <f aca="false">'Project Plan'!C198</f>
        <v>3</v>
      </c>
      <c r="D195" s="50" t="str">
        <f aca="false">'Project Plan'!J198&amp;"d"</f>
        <v>17d</v>
      </c>
      <c r="E195" s="54" t="n">
        <f aca="false">'Project Plan'!K198</f>
        <v>46499</v>
      </c>
      <c r="F195" s="54" t="n">
        <f aca="false">'Project Plan'!L198</f>
        <v>46521</v>
      </c>
      <c r="G195" s="50" t="str">
        <f aca="false">'Project Plan'!M198&amp;""</f>
        <v>193</v>
      </c>
      <c r="H195" s="50" t="str">
        <f aca="false">'Project Plan'!H198&amp;""</f>
        <v>BE</v>
      </c>
      <c r="I195" s="50" t="str">
        <f aca="false">IF('Project Plan'!C198=3,ROUND('Project Plan'!Z198*Assumptions!$C$6,0)&amp;"h","")</f>
        <v>267h</v>
      </c>
    </row>
    <row r="196" customFormat="false" ht="15" hidden="false" customHeight="false" outlineLevel="0" collapsed="false">
      <c r="A196" s="50" t="n">
        <f aca="false">'Project Plan'!A199</f>
        <v>195</v>
      </c>
      <c r="B196" s="50" t="str">
        <f aca="false">'Project Plan'!E199</f>
        <v>Phase 1 acceptance and sign-off</v>
      </c>
      <c r="C196" s="50" t="n">
        <f aca="false">'Project Plan'!C199</f>
        <v>2</v>
      </c>
      <c r="D196" s="50" t="str">
        <f aca="false">'Project Plan'!J199&amp;"d"</f>
        <v>0d</v>
      </c>
      <c r="E196" s="54" t="n">
        <f aca="false">'Project Plan'!K199</f>
        <v>46521</v>
      </c>
      <c r="F196" s="54" t="n">
        <f aca="false">'Project Plan'!L199</f>
        <v>46521</v>
      </c>
      <c r="G196" s="50" t="str">
        <f aca="false">'Project Plan'!M199&amp;""</f>
        <v>194</v>
      </c>
      <c r="H196" s="50" t="str">
        <f aca="false">'Project Plan'!H199&amp;""</f>
        <v/>
      </c>
      <c r="I196" s="50" t="str">
        <f aca="false">IF('Project Plan'!C199=3,ROUND('Project Plan'!Z199*Assumptions!$C$6,0)&amp;"h","")</f>
        <v/>
      </c>
    </row>
    <row r="197" customFormat="false" ht="15" hidden="false" customHeight="false" outlineLevel="0" collapsed="false">
      <c r="A197" s="50" t="n">
        <f aca="false">'Project Plan'!A200</f>
        <v>196</v>
      </c>
      <c r="B197" s="50" t="str">
        <f aca="false">'Project Plan'!E200</f>
        <v>Phase 1 build mid-point (next phase design may start)</v>
      </c>
      <c r="C197" s="50" t="n">
        <f aca="false">'Project Plan'!C200</f>
        <v>2</v>
      </c>
      <c r="D197" s="50" t="str">
        <f aca="false">'Project Plan'!J200&amp;"d"</f>
        <v>0d</v>
      </c>
      <c r="E197" s="54" t="n">
        <f aca="false">'Project Plan'!K200</f>
        <v>46434</v>
      </c>
      <c r="F197" s="54" t="n">
        <f aca="false">'Project Plan'!L200</f>
        <v>46434</v>
      </c>
      <c r="G197" s="50" t="str">
        <f aca="false">'Project Plan'!M200&amp;""</f>
        <v/>
      </c>
      <c r="H197" s="50" t="str">
        <f aca="false">'Project Plan'!H200&amp;""</f>
        <v/>
      </c>
      <c r="I197" s="50" t="str">
        <f aca="false">IF('Project Plan'!C200=3,ROUND('Project Plan'!Z200*Assumptions!$C$6,0)&amp;"h","")</f>
        <v/>
      </c>
    </row>
    <row r="198" customFormat="false" ht="15" hidden="false" customHeight="false" outlineLevel="0" collapsed="false">
      <c r="A198" s="50" t="n">
        <f aca="false">'Project Plan'!A201</f>
        <v>197</v>
      </c>
      <c r="B198" s="50" t="str">
        <f aca="false">'Project Plan'!E201</f>
        <v>Phase 2: Regulation and licensing</v>
      </c>
      <c r="C198" s="50" t="n">
        <f aca="false">'Project Plan'!C201</f>
        <v>1</v>
      </c>
      <c r="D198" s="50" t="str">
        <f aca="false">'Project Plan'!J201&amp;"d"</f>
        <v>142d</v>
      </c>
      <c r="E198" s="54" t="n">
        <f aca="false">'Project Plan'!K201</f>
        <v>46450</v>
      </c>
      <c r="F198" s="54" t="n">
        <f aca="false">'Project Plan'!L201</f>
        <v>46647</v>
      </c>
      <c r="G198" s="50" t="str">
        <f aca="false">'Project Plan'!M201&amp;""</f>
        <v/>
      </c>
      <c r="H198" s="50" t="str">
        <f aca="false">'Project Plan'!H201&amp;""</f>
        <v/>
      </c>
      <c r="I198" s="50" t="str">
        <f aca="false">IF('Project Plan'!C201=3,ROUND('Project Plan'!Z201*Assumptions!$C$6,0)&amp;"h","")</f>
        <v/>
      </c>
    </row>
    <row r="199" customFormat="false" ht="15" hidden="false" customHeight="false" outlineLevel="0" collapsed="false">
      <c r="A199" s="50" t="n">
        <f aca="false">'Project Plan'!A202</f>
        <v>198</v>
      </c>
      <c r="B199" s="50" t="str">
        <f aca="false">'Project Plan'!E202</f>
        <v>Platform increments for Phase 2</v>
      </c>
      <c r="C199" s="50" t="n">
        <f aca="false">'Project Plan'!C202</f>
        <v>2</v>
      </c>
      <c r="D199" s="50" t="str">
        <f aca="false">'Project Plan'!J202&amp;"d"</f>
        <v>59d</v>
      </c>
      <c r="E199" s="54" t="n">
        <f aca="false">'Project Plan'!K202</f>
        <v>46469</v>
      </c>
      <c r="F199" s="54" t="n">
        <f aca="false">'Project Plan'!L202</f>
        <v>46549</v>
      </c>
      <c r="G199" s="50" t="str">
        <f aca="false">'Project Plan'!M202&amp;""</f>
        <v/>
      </c>
      <c r="H199" s="50" t="str">
        <f aca="false">'Project Plan'!H202&amp;""</f>
        <v/>
      </c>
      <c r="I199" s="50" t="str">
        <f aca="false">IF('Project Plan'!C202=3,ROUND('Project Plan'!Z202*Assumptions!$C$6,0)&amp;"h","")</f>
        <v/>
      </c>
    </row>
    <row r="200" customFormat="false" ht="15" hidden="false" customHeight="false" outlineLevel="0" collapsed="false">
      <c r="A200" s="50" t="n">
        <f aca="false">'Project Plan'!A203</f>
        <v>199</v>
      </c>
      <c r="B200" s="50" t="str">
        <f aca="false">'Project Plan'!E203</f>
        <v>GIS elevation and 3D service (DTM, DSM, 3D Tiles)</v>
      </c>
      <c r="C200" s="50" t="n">
        <f aca="false">'Project Plan'!C203</f>
        <v>3</v>
      </c>
      <c r="D200" s="50" t="str">
        <f aca="false">'Project Plan'!J203&amp;"d"</f>
        <v>59d</v>
      </c>
      <c r="E200" s="54" t="n">
        <f aca="false">'Project Plan'!K203</f>
        <v>46469</v>
      </c>
      <c r="F200" s="54" t="n">
        <f aca="false">'Project Plan'!L203</f>
        <v>46549</v>
      </c>
      <c r="G200" s="50" t="str">
        <f aca="false">'Project Plan'!M203&amp;""</f>
        <v/>
      </c>
      <c r="H200" s="50" t="str">
        <f aca="false">'Project Plan'!H203&amp;""</f>
        <v>GIS</v>
      </c>
      <c r="I200" s="50" t="str">
        <f aca="false">IF('Project Plan'!C203=3,ROUND('Project Plan'!Z203*Assumptions!$C$6,0)&amp;"h","")</f>
        <v>377h</v>
      </c>
    </row>
    <row r="201" customFormat="false" ht="15" hidden="false" customHeight="false" outlineLevel="0" collapsed="false">
      <c r="A201" s="50" t="n">
        <f aca="false">'Project Plan'!A204</f>
        <v>200</v>
      </c>
      <c r="B201" s="50" t="str">
        <f aca="false">'Project Plan'!E204</f>
        <v>Hand over ward and planning layers to Town Planning (I-20)</v>
      </c>
      <c r="C201" s="50" t="n">
        <f aca="false">'Project Plan'!C204</f>
        <v>3</v>
      </c>
      <c r="D201" s="50" t="str">
        <f aca="false">'Project Plan'!J204&amp;"d"</f>
        <v>59d</v>
      </c>
      <c r="E201" s="54" t="n">
        <f aca="false">'Project Plan'!K204</f>
        <v>46469</v>
      </c>
      <c r="F201" s="54" t="n">
        <f aca="false">'Project Plan'!L204</f>
        <v>46549</v>
      </c>
      <c r="G201" s="50" t="str">
        <f aca="false">'Project Plan'!M204&amp;""</f>
        <v/>
      </c>
      <c r="H201" s="50" t="str">
        <f aca="false">'Project Plan'!H204&amp;""</f>
        <v>GIS</v>
      </c>
      <c r="I201" s="50" t="str">
        <f aca="false">IF('Project Plan'!C204=3,ROUND('Project Plan'!Z204*Assumptions!$C$6,0)&amp;"h","")</f>
        <v>120h</v>
      </c>
    </row>
    <row r="202" customFormat="false" ht="15" hidden="false" customHeight="false" outlineLevel="0" collapsed="false">
      <c r="A202" s="50" t="n">
        <f aca="false">'Project Plan'!A205</f>
        <v>201</v>
      </c>
      <c r="B202" s="50" t="str">
        <f aca="false">'Project Plan'!E205</f>
        <v>Module 5: Trade Licence Management</v>
      </c>
      <c r="C202" s="50" t="n">
        <f aca="false">'Project Plan'!C205</f>
        <v>2</v>
      </c>
      <c r="D202" s="50" t="str">
        <f aca="false">'Project Plan'!J205&amp;"d"</f>
        <v>119d</v>
      </c>
      <c r="E202" s="54" t="n">
        <f aca="false">'Project Plan'!K205</f>
        <v>46450</v>
      </c>
      <c r="F202" s="54" t="n">
        <f aca="false">'Project Plan'!L205</f>
        <v>46616</v>
      </c>
      <c r="G202" s="50" t="str">
        <f aca="false">'Project Plan'!M205&amp;""</f>
        <v/>
      </c>
      <c r="H202" s="50" t="str">
        <f aca="false">'Project Plan'!H205&amp;""</f>
        <v/>
      </c>
      <c r="I202" s="50" t="str">
        <f aca="false">IF('Project Plan'!C205=3,ROUND('Project Plan'!Z205*Assumptions!$C$6,0)&amp;"h","")</f>
        <v/>
      </c>
    </row>
    <row r="203" customFormat="false" ht="15" hidden="false" customHeight="false" outlineLevel="0" collapsed="false">
      <c r="A203" s="50" t="n">
        <f aca="false">'Project Plan'!A206</f>
        <v>202</v>
      </c>
      <c r="B203" s="50" t="str">
        <f aca="false">'Project Plan'!E206</f>
        <v>Process validation workshops and to-be sign-off</v>
      </c>
      <c r="C203" s="50" t="n">
        <f aca="false">'Project Plan'!C206</f>
        <v>3</v>
      </c>
      <c r="D203" s="50" t="str">
        <f aca="false">'Project Plan'!J206&amp;"d"</f>
        <v>16d</v>
      </c>
      <c r="E203" s="54" t="n">
        <f aca="false">'Project Plan'!K206</f>
        <v>46450</v>
      </c>
      <c r="F203" s="54" t="n">
        <f aca="false">'Project Plan'!L206</f>
        <v>46471</v>
      </c>
      <c r="G203" s="50" t="str">
        <f aca="false">'Project Plan'!M206&amp;""</f>
        <v>196</v>
      </c>
      <c r="H203" s="50" t="str">
        <f aca="false">'Project Plan'!H206&amp;""</f>
        <v>BA</v>
      </c>
      <c r="I203" s="50" t="str">
        <f aca="false">IF('Project Plan'!C206=3,ROUND('Project Plan'!Z206*Assumptions!$C$6,0)&amp;"h","")</f>
        <v>129h</v>
      </c>
    </row>
    <row r="204" customFormat="false" ht="15" hidden="false" customHeight="false" outlineLevel="0" collapsed="false">
      <c r="A204" s="50" t="n">
        <f aca="false">'Project Plan'!A207</f>
        <v>203</v>
      </c>
      <c r="B204" s="50" t="str">
        <f aca="false">'Project Plan'!E207</f>
        <v>LLD, data model and API/event contracts</v>
      </c>
      <c r="C204" s="50" t="n">
        <f aca="false">'Project Plan'!C207</f>
        <v>3</v>
      </c>
      <c r="D204" s="50" t="str">
        <f aca="false">'Project Plan'!J207&amp;"d"</f>
        <v>16d</v>
      </c>
      <c r="E204" s="54" t="n">
        <f aca="false">'Project Plan'!K207</f>
        <v>46465</v>
      </c>
      <c r="F204" s="54" t="n">
        <f aca="false">'Project Plan'!L207</f>
        <v>46486</v>
      </c>
      <c r="G204" s="50" t="str">
        <f aca="false">'Project Plan'!M207&amp;""</f>
        <v>202</v>
      </c>
      <c r="H204" s="50" t="str">
        <f aca="false">'Project Plan'!H207&amp;""</f>
        <v>ARC</v>
      </c>
      <c r="I204" s="50" t="str">
        <f aca="false">IF('Project Plan'!C207=3,ROUND('Project Plan'!Z207*Assumptions!$C$6,0)&amp;"h","")</f>
        <v>110h</v>
      </c>
    </row>
    <row r="205" customFormat="false" ht="15" hidden="false" customHeight="false" outlineLevel="0" collapsed="false">
      <c r="A205" s="50" t="n">
        <f aca="false">'Project Plan'!A208</f>
        <v>204</v>
      </c>
      <c r="B205" s="50" t="str">
        <f aca="false">'Project Plan'!E208</f>
        <v>UX wireframes and UI design</v>
      </c>
      <c r="C205" s="50" t="n">
        <f aca="false">'Project Plan'!C208</f>
        <v>3</v>
      </c>
      <c r="D205" s="50" t="str">
        <f aca="false">'Project Plan'!J208&amp;"d"</f>
        <v>16d</v>
      </c>
      <c r="E205" s="54" t="n">
        <f aca="false">'Project Plan'!K208</f>
        <v>46465</v>
      </c>
      <c r="F205" s="54" t="n">
        <f aca="false">'Project Plan'!L208</f>
        <v>46486</v>
      </c>
      <c r="G205" s="50" t="str">
        <f aca="false">'Project Plan'!M208&amp;""</f>
        <v>202</v>
      </c>
      <c r="H205" s="50" t="str">
        <f aca="false">'Project Plan'!H208&amp;""</f>
        <v>FE</v>
      </c>
      <c r="I205" s="50" t="str">
        <f aca="false">IF('Project Plan'!C208=3,ROUND('Project Plan'!Z208*Assumptions!$C$6,0)&amp;"h","")</f>
        <v>101h</v>
      </c>
    </row>
    <row r="206" customFormat="false" ht="15" hidden="false" customHeight="false" outlineLevel="0" collapsed="false">
      <c r="A206" s="50" t="n">
        <f aca="false">'Project Plan'!A209</f>
        <v>205</v>
      </c>
      <c r="B206" s="50" t="str">
        <f aca="false">'Project Plan'!E209</f>
        <v>Database schema, domain logic and APIs</v>
      </c>
      <c r="C206" s="50" t="n">
        <f aca="false">'Project Plan'!C209</f>
        <v>3</v>
      </c>
      <c r="D206" s="50" t="str">
        <f aca="false">'Project Plan'!J209&amp;"d"</f>
        <v>55d</v>
      </c>
      <c r="E206" s="54" t="n">
        <f aca="false">'Project Plan'!K209</f>
        <v>46484</v>
      </c>
      <c r="F206" s="54" t="n">
        <f aca="false">'Project Plan'!L209</f>
        <v>46560</v>
      </c>
      <c r="G206" s="50" t="str">
        <f aca="false">'Project Plan'!M209&amp;""</f>
        <v>203</v>
      </c>
      <c r="H206" s="50" t="str">
        <f aca="false">'Project Plan'!H209&amp;""</f>
        <v>BE</v>
      </c>
      <c r="I206" s="50" t="str">
        <f aca="false">IF('Project Plan'!C209=3,ROUND('Project Plan'!Z209*Assumptions!$C$6,0)&amp;"h","")</f>
        <v>359h</v>
      </c>
    </row>
    <row r="207" customFormat="false" ht="15" hidden="false" customHeight="false" outlineLevel="0" collapsed="false">
      <c r="A207" s="50" t="n">
        <f aca="false">'Project Plan'!A210</f>
        <v>206</v>
      </c>
      <c r="B207" s="50" t="str">
        <f aca="false">'Project Plan'!E210</f>
        <v>Workflows (BPMN) and rules (DMN) configuration</v>
      </c>
      <c r="C207" s="50" t="n">
        <f aca="false">'Project Plan'!C210</f>
        <v>3</v>
      </c>
      <c r="D207" s="50" t="str">
        <f aca="false">'Project Plan'!J210&amp;"d"</f>
        <v>40d</v>
      </c>
      <c r="E207" s="54" t="n">
        <f aca="false">'Project Plan'!K210</f>
        <v>46506</v>
      </c>
      <c r="F207" s="54" t="n">
        <f aca="false">'Project Plan'!L210</f>
        <v>46561</v>
      </c>
      <c r="G207" s="50" t="str">
        <f aca="false">'Project Plan'!M210&amp;""</f>
        <v>203</v>
      </c>
      <c r="H207" s="50" t="str">
        <f aca="false">'Project Plan'!H210&amp;""</f>
        <v>BE</v>
      </c>
      <c r="I207" s="50" t="str">
        <f aca="false">IF('Project Plan'!C210=3,ROUND('Project Plan'!Z210*Assumptions!$C$6,0)&amp;"h","")</f>
        <v>166h</v>
      </c>
    </row>
    <row r="208" customFormat="false" ht="15" hidden="false" customHeight="false" outlineLevel="0" collapsed="false">
      <c r="A208" s="50" t="n">
        <f aca="false">'Project Plan'!A211</f>
        <v>207</v>
      </c>
      <c r="B208" s="50" t="str">
        <f aca="false">'Project Plan'!E211</f>
        <v>Staff console screens</v>
      </c>
      <c r="C208" s="50" t="n">
        <f aca="false">'Project Plan'!C211</f>
        <v>3</v>
      </c>
      <c r="D208" s="50" t="str">
        <f aca="false">'Project Plan'!J211&amp;"d"</f>
        <v>53d</v>
      </c>
      <c r="E208" s="54" t="n">
        <f aca="false">'Project Plan'!K211</f>
        <v>46497</v>
      </c>
      <c r="F208" s="54" t="n">
        <f aca="false">'Project Plan'!L211</f>
        <v>46569</v>
      </c>
      <c r="G208" s="50" t="str">
        <f aca="false">'Project Plan'!M211&amp;""</f>
        <v>204</v>
      </c>
      <c r="H208" s="50" t="str">
        <f aca="false">'Project Plan'!H211&amp;""</f>
        <v>FE</v>
      </c>
      <c r="I208" s="50" t="str">
        <f aca="false">IF('Project Plan'!C211=3,ROUND('Project Plan'!Z211*Assumptions!$C$6,0)&amp;"h","")</f>
        <v>294h</v>
      </c>
    </row>
    <row r="209" customFormat="false" ht="15" hidden="false" customHeight="false" outlineLevel="0" collapsed="false">
      <c r="A209" s="50" t="n">
        <f aca="false">'Project Plan'!A212</f>
        <v>208</v>
      </c>
      <c r="B209" s="50" t="str">
        <f aca="false">'Project Plan'!E212</f>
        <v>Citizen portal and app services</v>
      </c>
      <c r="C209" s="50" t="n">
        <f aca="false">'Project Plan'!C212</f>
        <v>3</v>
      </c>
      <c r="D209" s="50" t="str">
        <f aca="false">'Project Plan'!J212&amp;"d"</f>
        <v>40d</v>
      </c>
      <c r="E209" s="54" t="n">
        <f aca="false">'Project Plan'!K212</f>
        <v>46514</v>
      </c>
      <c r="F209" s="54" t="n">
        <f aca="false">'Project Plan'!L212</f>
        <v>46569</v>
      </c>
      <c r="G209" s="50" t="str">
        <f aca="false">'Project Plan'!M212&amp;""</f>
        <v>204</v>
      </c>
      <c r="H209" s="50" t="str">
        <f aca="false">'Project Plan'!H212&amp;""</f>
        <v>FE</v>
      </c>
      <c r="I209" s="50" t="str">
        <f aca="false">IF('Project Plan'!C212=3,ROUND('Project Plan'!Z212*Assumptions!$C$6,0)&amp;"h","")</f>
        <v>221h</v>
      </c>
    </row>
    <row r="210" customFormat="false" ht="15" hidden="false" customHeight="false" outlineLevel="0" collapsed="false">
      <c r="A210" s="50" t="n">
        <f aca="false">'Project Plan'!A213</f>
        <v>209</v>
      </c>
      <c r="B210" s="50" t="str">
        <f aca="false">'Project Plan'!E213</f>
        <v>Field app tasks (offline)</v>
      </c>
      <c r="C210" s="50" t="n">
        <f aca="false">'Project Plan'!C213</f>
        <v>3</v>
      </c>
      <c r="D210" s="50" t="str">
        <f aca="false">'Project Plan'!J213&amp;"d"</f>
        <v>40d</v>
      </c>
      <c r="E210" s="54" t="n">
        <f aca="false">'Project Plan'!K213</f>
        <v>46514</v>
      </c>
      <c r="F210" s="54" t="n">
        <f aca="false">'Project Plan'!L213</f>
        <v>46569</v>
      </c>
      <c r="G210" s="50" t="str">
        <f aca="false">'Project Plan'!M213&amp;""</f>
        <v>204</v>
      </c>
      <c r="H210" s="50" t="str">
        <f aca="false">'Project Plan'!H213&amp;""</f>
        <v>MOB</v>
      </c>
      <c r="I210" s="50" t="str">
        <f aca="false">IF('Project Plan'!C213=3,ROUND('Project Plan'!Z213*Assumptions!$C$6,0)&amp;"h","")</f>
        <v>147h</v>
      </c>
    </row>
    <row r="211" customFormat="false" ht="15" hidden="false" customHeight="false" outlineLevel="0" collapsed="false">
      <c r="A211" s="50" t="n">
        <f aca="false">'Project Plan'!A214</f>
        <v>210</v>
      </c>
      <c r="B211" s="50" t="str">
        <f aca="false">'Project Plan'!E214</f>
        <v>GIS layers, map views and spatial checks</v>
      </c>
      <c r="C211" s="50" t="n">
        <f aca="false">'Project Plan'!C214</f>
        <v>3</v>
      </c>
      <c r="D211" s="50" t="str">
        <f aca="false">'Project Plan'!J214&amp;"d"</f>
        <v>46d</v>
      </c>
      <c r="E211" s="54" t="n">
        <f aca="false">'Project Plan'!K214</f>
        <v>46497</v>
      </c>
      <c r="F211" s="54" t="n">
        <f aca="false">'Project Plan'!L214</f>
        <v>46560</v>
      </c>
      <c r="G211" s="50" t="str">
        <f aca="false">'Project Plan'!M214&amp;""</f>
        <v>203</v>
      </c>
      <c r="H211" s="50" t="str">
        <f aca="false">'Project Plan'!H214&amp;""</f>
        <v>GIS</v>
      </c>
      <c r="I211" s="50" t="str">
        <f aca="false">IF('Project Plan'!C214=3,ROUND('Project Plan'!Z214*Assumptions!$C$6,0)&amp;"h","")</f>
        <v>120h</v>
      </c>
    </row>
    <row r="212" customFormat="false" ht="15" hidden="false" customHeight="false" outlineLevel="0" collapsed="false">
      <c r="A212" s="50" t="n">
        <f aca="false">'Project Plan'!A215</f>
        <v>211</v>
      </c>
      <c r="B212" s="50" t="str">
        <f aca="false">'Project Plan'!E215</f>
        <v>Module interfaces (10 I-xx links): events and APIs</v>
      </c>
      <c r="C212" s="50" t="n">
        <f aca="false">'Project Plan'!C215</f>
        <v>3</v>
      </c>
      <c r="D212" s="50" t="str">
        <f aca="false">'Project Plan'!J215&amp;"d"</f>
        <v>37d</v>
      </c>
      <c r="E212" s="54" t="n">
        <f aca="false">'Project Plan'!K215</f>
        <v>46525</v>
      </c>
      <c r="F212" s="54" t="n">
        <f aca="false">'Project Plan'!L215</f>
        <v>46575</v>
      </c>
      <c r="G212" s="50" t="str">
        <f aca="false">'Project Plan'!M215&amp;""</f>
        <v>205</v>
      </c>
      <c r="H212" s="50" t="str">
        <f aca="false">'Project Plan'!H215&amp;""</f>
        <v>BE</v>
      </c>
      <c r="I212" s="50" t="str">
        <f aca="false">IF('Project Plan'!C215=3,ROUND('Project Plan'!Z215*Assumptions!$C$6,0)&amp;"h","")</f>
        <v>138h</v>
      </c>
    </row>
    <row r="213" customFormat="false" ht="15" hidden="false" customHeight="false" outlineLevel="0" collapsed="false">
      <c r="A213" s="50" t="n">
        <f aca="false">'Project Plan'!A216</f>
        <v>212</v>
      </c>
      <c r="B213" s="50" t="str">
        <f aca="false">'Project Plan'!E216</f>
        <v>External system adapters (3)</v>
      </c>
      <c r="C213" s="50" t="n">
        <f aca="false">'Project Plan'!C216</f>
        <v>3</v>
      </c>
      <c r="D213" s="50" t="str">
        <f aca="false">'Project Plan'!J216&amp;"d"</f>
        <v>44d</v>
      </c>
      <c r="E213" s="54" t="n">
        <f aca="false">'Project Plan'!K216</f>
        <v>46514</v>
      </c>
      <c r="F213" s="54" t="n">
        <f aca="false">'Project Plan'!L216</f>
        <v>46575</v>
      </c>
      <c r="G213" s="50" t="str">
        <f aca="false">'Project Plan'!M216&amp;""</f>
        <v>203</v>
      </c>
      <c r="H213" s="50" t="str">
        <f aca="false">'Project Plan'!H216&amp;""</f>
        <v>BE</v>
      </c>
      <c r="I213" s="50" t="str">
        <f aca="false">IF('Project Plan'!C216=3,ROUND('Project Plan'!Z216*Assumptions!$C$6,0)&amp;"h","")</f>
        <v>166h</v>
      </c>
    </row>
    <row r="214" customFormat="false" ht="15" hidden="false" customHeight="false" outlineLevel="0" collapsed="false">
      <c r="A214" s="50" t="n">
        <f aca="false">'Project Plan'!A217</f>
        <v>213</v>
      </c>
      <c r="B214" s="50" t="str">
        <f aca="false">'Project Plan'!E217</f>
        <v>Reports, dashboards, notices and templates (all active languages)</v>
      </c>
      <c r="C214" s="50" t="n">
        <f aca="false">'Project Plan'!C217</f>
        <v>3</v>
      </c>
      <c r="D214" s="50" t="str">
        <f aca="false">'Project Plan'!J217&amp;"d"</f>
        <v>26d</v>
      </c>
      <c r="E214" s="54" t="n">
        <f aca="false">'Project Plan'!K217</f>
        <v>46542</v>
      </c>
      <c r="F214" s="54" t="n">
        <f aca="false">'Project Plan'!L217</f>
        <v>46577</v>
      </c>
      <c r="G214" s="50" t="str">
        <f aca="false">'Project Plan'!M217&amp;""</f>
        <v>205</v>
      </c>
      <c r="H214" s="50" t="str">
        <f aca="false">'Project Plan'!H217&amp;""</f>
        <v>BE</v>
      </c>
      <c r="I214" s="50" t="str">
        <f aca="false">IF('Project Plan'!C217=3,ROUND('Project Plan'!Z217*Assumptions!$C$6,0)&amp;"h","")</f>
        <v>120h</v>
      </c>
    </row>
    <row r="215" customFormat="false" ht="15" hidden="false" customHeight="false" outlineLevel="0" collapsed="false">
      <c r="A215" s="50" t="n">
        <f aca="false">'Project Plan'!A218</f>
        <v>214</v>
      </c>
      <c r="B215" s="50" t="str">
        <f aca="false">'Project Plan'!E218</f>
        <v>Data migration: existing licences</v>
      </c>
      <c r="C215" s="50" t="n">
        <f aca="false">'Project Plan'!C218</f>
        <v>3</v>
      </c>
      <c r="D215" s="50" t="str">
        <f aca="false">'Project Plan'!J218&amp;"d"</f>
        <v>59d</v>
      </c>
      <c r="E215" s="54" t="n">
        <f aca="false">'Project Plan'!K218</f>
        <v>46506</v>
      </c>
      <c r="F215" s="54" t="n">
        <f aca="false">'Project Plan'!L218</f>
        <v>46588</v>
      </c>
      <c r="G215" s="50" t="str">
        <f aca="false">'Project Plan'!M218&amp;""</f>
        <v>203</v>
      </c>
      <c r="H215" s="50" t="str">
        <f aca="false">'Project Plan'!H218&amp;""</f>
        <v>DATA</v>
      </c>
      <c r="I215" s="50" t="str">
        <f aca="false">IF('Project Plan'!C218=3,ROUND('Project Plan'!Z218*Assumptions!$C$6,0)&amp;"h","")</f>
        <v>175h</v>
      </c>
    </row>
    <row r="216" customFormat="false" ht="15" hidden="false" customHeight="false" outlineLevel="0" collapsed="false">
      <c r="A216" s="50" t="n">
        <f aca="false">'Project Plan'!A219</f>
        <v>215</v>
      </c>
      <c r="B216" s="50" t="str">
        <f aca="false">'Project Plan'!E219</f>
        <v>System integration testing</v>
      </c>
      <c r="C216" s="50" t="n">
        <f aca="false">'Project Plan'!C219</f>
        <v>3</v>
      </c>
      <c r="D216" s="50" t="str">
        <f aca="false">'Project Plan'!J219&amp;"d"</f>
        <v>21d</v>
      </c>
      <c r="E216" s="54" t="n">
        <f aca="false">'Project Plan'!K219</f>
        <v>46566</v>
      </c>
      <c r="F216" s="54" t="n">
        <f aca="false">'Project Plan'!L219</f>
        <v>46594</v>
      </c>
      <c r="G216" s="50" t="str">
        <f aca="false">'Project Plan'!M219&amp;""</f>
        <v>205,207</v>
      </c>
      <c r="H216" s="50" t="str">
        <f aca="false">'Project Plan'!H219&amp;""</f>
        <v>QA</v>
      </c>
      <c r="I216" s="50" t="str">
        <f aca="false">IF('Project Plan'!C219=3,ROUND('Project Plan'!Z219*Assumptions!$C$6,0)&amp;"h","")</f>
        <v>239h</v>
      </c>
    </row>
    <row r="217" customFormat="false" ht="15" hidden="false" customHeight="false" outlineLevel="0" collapsed="false">
      <c r="A217" s="50" t="n">
        <f aca="false">'Project Plan'!A220</f>
        <v>216</v>
      </c>
      <c r="B217" s="50" t="str">
        <f aca="false">'Project Plan'!E220</f>
        <v>Defect fixing and regression</v>
      </c>
      <c r="C217" s="50" t="n">
        <f aca="false">'Project Plan'!C220</f>
        <v>3</v>
      </c>
      <c r="D217" s="50" t="str">
        <f aca="false">'Project Plan'!J220&amp;"d"</f>
        <v>26d</v>
      </c>
      <c r="E217" s="54" t="n">
        <f aca="false">'Project Plan'!K220</f>
        <v>46570</v>
      </c>
      <c r="F217" s="54" t="n">
        <f aca="false">'Project Plan'!L220</f>
        <v>46605</v>
      </c>
      <c r="G217" s="50" t="str">
        <f aca="false">'Project Plan'!M220&amp;""</f>
        <v>215</v>
      </c>
      <c r="H217" s="50" t="str">
        <f aca="false">'Project Plan'!H220&amp;""</f>
        <v>BE</v>
      </c>
      <c r="I217" s="50" t="str">
        <f aca="false">IF('Project Plan'!C220=3,ROUND('Project Plan'!Z220*Assumptions!$C$6,0)&amp;"h","")</f>
        <v>193h</v>
      </c>
    </row>
    <row r="218" customFormat="false" ht="15" hidden="false" customHeight="false" outlineLevel="0" collapsed="false">
      <c r="A218" s="50" t="n">
        <f aca="false">'Project Plan'!A221</f>
        <v>217</v>
      </c>
      <c r="B218" s="50" t="str">
        <f aca="false">'Project Plan'!E221</f>
        <v>UAT support with GWMC department</v>
      </c>
      <c r="C218" s="50" t="n">
        <f aca="false">'Project Plan'!C221</f>
        <v>3</v>
      </c>
      <c r="D218" s="50" t="str">
        <f aca="false">'Project Plan'!J221&amp;"d"</f>
        <v>13d</v>
      </c>
      <c r="E218" s="54" t="n">
        <f aca="false">'Project Plan'!K221</f>
        <v>46595</v>
      </c>
      <c r="F218" s="54" t="n">
        <f aca="false">'Project Plan'!L221</f>
        <v>46611</v>
      </c>
      <c r="G218" s="50" t="str">
        <f aca="false">'Project Plan'!M221&amp;""</f>
        <v>215</v>
      </c>
      <c r="H218" s="50" t="str">
        <f aca="false">'Project Plan'!H221&amp;""</f>
        <v>BA</v>
      </c>
      <c r="I218" s="50" t="str">
        <f aca="false">IF('Project Plan'!C221=3,ROUND('Project Plan'!Z221*Assumptions!$C$6,0)&amp;"h","")</f>
        <v>110h</v>
      </c>
    </row>
    <row r="219" customFormat="false" ht="15" hidden="false" customHeight="false" outlineLevel="0" collapsed="false">
      <c r="A219" s="50" t="n">
        <f aca="false">'Project Plan'!A222</f>
        <v>218</v>
      </c>
      <c r="B219" s="50" t="str">
        <f aca="false">'Project Plan'!E222</f>
        <v>Training material and department training</v>
      </c>
      <c r="C219" s="50" t="n">
        <f aca="false">'Project Plan'!C222</f>
        <v>3</v>
      </c>
      <c r="D219" s="50" t="str">
        <f aca="false">'Project Plan'!J222&amp;"d"</f>
        <v>13d</v>
      </c>
      <c r="E219" s="54" t="n">
        <f aca="false">'Project Plan'!K222</f>
        <v>46598</v>
      </c>
      <c r="F219" s="54" t="n">
        <f aca="false">'Project Plan'!L222</f>
        <v>46616</v>
      </c>
      <c r="G219" s="50" t="str">
        <f aca="false">'Project Plan'!M222&amp;""</f>
        <v>217</v>
      </c>
      <c r="H219" s="50" t="str">
        <f aca="false">'Project Plan'!H222&amp;""</f>
        <v>TRN</v>
      </c>
      <c r="I219" s="50" t="str">
        <f aca="false">IF('Project Plan'!C222=3,ROUND('Project Plan'!Z222*Assumptions!$C$6,0)&amp;"h","")</f>
        <v>101h</v>
      </c>
    </row>
    <row r="220" customFormat="false" ht="15" hidden="false" customHeight="false" outlineLevel="0" collapsed="false">
      <c r="A220" s="50" t="n">
        <f aca="false">'Project Plan'!A223</f>
        <v>219</v>
      </c>
      <c r="B220" s="50" t="str">
        <f aca="false">'Project Plan'!E223</f>
        <v>Module 6: User Charges Management</v>
      </c>
      <c r="C220" s="50" t="n">
        <f aca="false">'Project Plan'!C223</f>
        <v>2</v>
      </c>
      <c r="D220" s="50" t="str">
        <f aca="false">'Project Plan'!J223&amp;"d"</f>
        <v>119d</v>
      </c>
      <c r="E220" s="54" t="n">
        <f aca="false">'Project Plan'!K223</f>
        <v>46450</v>
      </c>
      <c r="F220" s="54" t="n">
        <f aca="false">'Project Plan'!L223</f>
        <v>46616</v>
      </c>
      <c r="G220" s="50" t="str">
        <f aca="false">'Project Plan'!M223&amp;""</f>
        <v/>
      </c>
      <c r="H220" s="50" t="str">
        <f aca="false">'Project Plan'!H223&amp;""</f>
        <v/>
      </c>
      <c r="I220" s="50" t="str">
        <f aca="false">IF('Project Plan'!C223=3,ROUND('Project Plan'!Z223*Assumptions!$C$6,0)&amp;"h","")</f>
        <v/>
      </c>
    </row>
    <row r="221" customFormat="false" ht="15" hidden="false" customHeight="false" outlineLevel="0" collapsed="false">
      <c r="A221" s="50" t="n">
        <f aca="false">'Project Plan'!A224</f>
        <v>220</v>
      </c>
      <c r="B221" s="50" t="str">
        <f aca="false">'Project Plan'!E224</f>
        <v>Process validation workshops and to-be sign-off</v>
      </c>
      <c r="C221" s="50" t="n">
        <f aca="false">'Project Plan'!C224</f>
        <v>3</v>
      </c>
      <c r="D221" s="50" t="str">
        <f aca="false">'Project Plan'!J224&amp;"d"</f>
        <v>16d</v>
      </c>
      <c r="E221" s="54" t="n">
        <f aca="false">'Project Plan'!K224</f>
        <v>46450</v>
      </c>
      <c r="F221" s="54" t="n">
        <f aca="false">'Project Plan'!L224</f>
        <v>46471</v>
      </c>
      <c r="G221" s="50" t="str">
        <f aca="false">'Project Plan'!M224&amp;""</f>
        <v>196</v>
      </c>
      <c r="H221" s="50" t="str">
        <f aca="false">'Project Plan'!H224&amp;""</f>
        <v>BA</v>
      </c>
      <c r="I221" s="50" t="str">
        <f aca="false">IF('Project Plan'!C224=3,ROUND('Project Plan'!Z224*Assumptions!$C$6,0)&amp;"h","")</f>
        <v>110h</v>
      </c>
    </row>
    <row r="222" customFormat="false" ht="15" hidden="false" customHeight="false" outlineLevel="0" collapsed="false">
      <c r="A222" s="50" t="n">
        <f aca="false">'Project Plan'!A225</f>
        <v>221</v>
      </c>
      <c r="B222" s="50" t="str">
        <f aca="false">'Project Plan'!E225</f>
        <v>LLD, data model and API/event contracts</v>
      </c>
      <c r="C222" s="50" t="n">
        <f aca="false">'Project Plan'!C225</f>
        <v>3</v>
      </c>
      <c r="D222" s="50" t="str">
        <f aca="false">'Project Plan'!J225&amp;"d"</f>
        <v>16d</v>
      </c>
      <c r="E222" s="54" t="n">
        <f aca="false">'Project Plan'!K225</f>
        <v>46465</v>
      </c>
      <c r="F222" s="54" t="n">
        <f aca="false">'Project Plan'!L225</f>
        <v>46486</v>
      </c>
      <c r="G222" s="50" t="str">
        <f aca="false">'Project Plan'!M225&amp;""</f>
        <v>220</v>
      </c>
      <c r="H222" s="50" t="str">
        <f aca="false">'Project Plan'!H225&amp;""</f>
        <v>ARC</v>
      </c>
      <c r="I222" s="50" t="str">
        <f aca="false">IF('Project Plan'!C225=3,ROUND('Project Plan'!Z225*Assumptions!$C$6,0)&amp;"h","")</f>
        <v>110h</v>
      </c>
    </row>
    <row r="223" customFormat="false" ht="15" hidden="false" customHeight="false" outlineLevel="0" collapsed="false">
      <c r="A223" s="50" t="n">
        <f aca="false">'Project Plan'!A226</f>
        <v>222</v>
      </c>
      <c r="B223" s="50" t="str">
        <f aca="false">'Project Plan'!E226</f>
        <v>UX wireframes and UI design</v>
      </c>
      <c r="C223" s="50" t="n">
        <f aca="false">'Project Plan'!C226</f>
        <v>3</v>
      </c>
      <c r="D223" s="50" t="str">
        <f aca="false">'Project Plan'!J226&amp;"d"</f>
        <v>16d</v>
      </c>
      <c r="E223" s="54" t="n">
        <f aca="false">'Project Plan'!K226</f>
        <v>46465</v>
      </c>
      <c r="F223" s="54" t="n">
        <f aca="false">'Project Plan'!L226</f>
        <v>46486</v>
      </c>
      <c r="G223" s="50" t="str">
        <f aca="false">'Project Plan'!M226&amp;""</f>
        <v>220</v>
      </c>
      <c r="H223" s="50" t="str">
        <f aca="false">'Project Plan'!H226&amp;""</f>
        <v>FE</v>
      </c>
      <c r="I223" s="50" t="str">
        <f aca="false">IF('Project Plan'!C226=3,ROUND('Project Plan'!Z226*Assumptions!$C$6,0)&amp;"h","")</f>
        <v>83h</v>
      </c>
    </row>
    <row r="224" customFormat="false" ht="15" hidden="false" customHeight="false" outlineLevel="0" collapsed="false">
      <c r="A224" s="50" t="n">
        <f aca="false">'Project Plan'!A227</f>
        <v>223</v>
      </c>
      <c r="B224" s="50" t="str">
        <f aca="false">'Project Plan'!E227</f>
        <v>Database schema, domain logic and APIs</v>
      </c>
      <c r="C224" s="50" t="n">
        <f aca="false">'Project Plan'!C227</f>
        <v>3</v>
      </c>
      <c r="D224" s="50" t="str">
        <f aca="false">'Project Plan'!J227&amp;"d"</f>
        <v>55d</v>
      </c>
      <c r="E224" s="54" t="n">
        <f aca="false">'Project Plan'!K227</f>
        <v>46484</v>
      </c>
      <c r="F224" s="54" t="n">
        <f aca="false">'Project Plan'!L227</f>
        <v>46560</v>
      </c>
      <c r="G224" s="50" t="str">
        <f aca="false">'Project Plan'!M227&amp;""</f>
        <v>221</v>
      </c>
      <c r="H224" s="50" t="str">
        <f aca="false">'Project Plan'!H227&amp;""</f>
        <v>BE</v>
      </c>
      <c r="I224" s="50" t="str">
        <f aca="false">IF('Project Plan'!C227=3,ROUND('Project Plan'!Z227*Assumptions!$C$6,0)&amp;"h","")</f>
        <v>313h</v>
      </c>
    </row>
    <row r="225" customFormat="false" ht="15" hidden="false" customHeight="false" outlineLevel="0" collapsed="false">
      <c r="A225" s="50" t="n">
        <f aca="false">'Project Plan'!A228</f>
        <v>224</v>
      </c>
      <c r="B225" s="50" t="str">
        <f aca="false">'Project Plan'!E228</f>
        <v>Workflows (BPMN) and rules (DMN) configuration</v>
      </c>
      <c r="C225" s="50" t="n">
        <f aca="false">'Project Plan'!C228</f>
        <v>3</v>
      </c>
      <c r="D225" s="50" t="str">
        <f aca="false">'Project Plan'!J228&amp;"d"</f>
        <v>40d</v>
      </c>
      <c r="E225" s="54" t="n">
        <f aca="false">'Project Plan'!K228</f>
        <v>46506</v>
      </c>
      <c r="F225" s="54" t="n">
        <f aca="false">'Project Plan'!L228</f>
        <v>46561</v>
      </c>
      <c r="G225" s="50" t="str">
        <f aca="false">'Project Plan'!M228&amp;""</f>
        <v>221</v>
      </c>
      <c r="H225" s="50" t="str">
        <f aca="false">'Project Plan'!H228&amp;""</f>
        <v>BE</v>
      </c>
      <c r="I225" s="50" t="str">
        <f aca="false">IF('Project Plan'!C228=3,ROUND('Project Plan'!Z228*Assumptions!$C$6,0)&amp;"h","")</f>
        <v>138h</v>
      </c>
    </row>
    <row r="226" customFormat="false" ht="15" hidden="false" customHeight="false" outlineLevel="0" collapsed="false">
      <c r="A226" s="50" t="n">
        <f aca="false">'Project Plan'!A229</f>
        <v>225</v>
      </c>
      <c r="B226" s="50" t="str">
        <f aca="false">'Project Plan'!E229</f>
        <v>Staff console screens</v>
      </c>
      <c r="C226" s="50" t="n">
        <f aca="false">'Project Plan'!C229</f>
        <v>3</v>
      </c>
      <c r="D226" s="50" t="str">
        <f aca="false">'Project Plan'!J229&amp;"d"</f>
        <v>53d</v>
      </c>
      <c r="E226" s="54" t="n">
        <f aca="false">'Project Plan'!K229</f>
        <v>46497</v>
      </c>
      <c r="F226" s="54" t="n">
        <f aca="false">'Project Plan'!L229</f>
        <v>46569</v>
      </c>
      <c r="G226" s="50" t="str">
        <f aca="false">'Project Plan'!M229&amp;""</f>
        <v>222</v>
      </c>
      <c r="H226" s="50" t="str">
        <f aca="false">'Project Plan'!H229&amp;""</f>
        <v>FE</v>
      </c>
      <c r="I226" s="50" t="str">
        <f aca="false">IF('Project Plan'!C229=3,ROUND('Project Plan'!Z229*Assumptions!$C$6,0)&amp;"h","")</f>
        <v>258h</v>
      </c>
    </row>
    <row r="227" customFormat="false" ht="15" hidden="false" customHeight="false" outlineLevel="0" collapsed="false">
      <c r="A227" s="50" t="n">
        <f aca="false">'Project Plan'!A230</f>
        <v>226</v>
      </c>
      <c r="B227" s="50" t="str">
        <f aca="false">'Project Plan'!E230</f>
        <v>Citizen portal and app services</v>
      </c>
      <c r="C227" s="50" t="n">
        <f aca="false">'Project Plan'!C230</f>
        <v>3</v>
      </c>
      <c r="D227" s="50" t="str">
        <f aca="false">'Project Plan'!J230&amp;"d"</f>
        <v>40d</v>
      </c>
      <c r="E227" s="54" t="n">
        <f aca="false">'Project Plan'!K230</f>
        <v>46514</v>
      </c>
      <c r="F227" s="54" t="n">
        <f aca="false">'Project Plan'!L230</f>
        <v>46569</v>
      </c>
      <c r="G227" s="50" t="str">
        <f aca="false">'Project Plan'!M230&amp;""</f>
        <v>222</v>
      </c>
      <c r="H227" s="50" t="str">
        <f aca="false">'Project Plan'!H230&amp;""</f>
        <v>FE</v>
      </c>
      <c r="I227" s="50" t="str">
        <f aca="false">IF('Project Plan'!C230=3,ROUND('Project Plan'!Z230*Assumptions!$C$6,0)&amp;"h","")</f>
        <v>193h</v>
      </c>
    </row>
    <row r="228" customFormat="false" ht="15" hidden="false" customHeight="false" outlineLevel="0" collapsed="false">
      <c r="A228" s="50" t="n">
        <f aca="false">'Project Plan'!A231</f>
        <v>227</v>
      </c>
      <c r="B228" s="50" t="str">
        <f aca="false">'Project Plan'!E231</f>
        <v>Field app tasks (offline)</v>
      </c>
      <c r="C228" s="50" t="n">
        <f aca="false">'Project Plan'!C231</f>
        <v>3</v>
      </c>
      <c r="D228" s="50" t="str">
        <f aca="false">'Project Plan'!J231&amp;"d"</f>
        <v>40d</v>
      </c>
      <c r="E228" s="54" t="n">
        <f aca="false">'Project Plan'!K231</f>
        <v>46514</v>
      </c>
      <c r="F228" s="54" t="n">
        <f aca="false">'Project Plan'!L231</f>
        <v>46569</v>
      </c>
      <c r="G228" s="50" t="str">
        <f aca="false">'Project Plan'!M231&amp;""</f>
        <v>222</v>
      </c>
      <c r="H228" s="50" t="str">
        <f aca="false">'Project Plan'!H231&amp;""</f>
        <v>MOB</v>
      </c>
      <c r="I228" s="50" t="str">
        <f aca="false">IF('Project Plan'!C231=3,ROUND('Project Plan'!Z231*Assumptions!$C$6,0)&amp;"h","")</f>
        <v>129h</v>
      </c>
    </row>
    <row r="229" customFormat="false" ht="15" hidden="false" customHeight="false" outlineLevel="0" collapsed="false">
      <c r="A229" s="50" t="n">
        <f aca="false">'Project Plan'!A232</f>
        <v>228</v>
      </c>
      <c r="B229" s="50" t="str">
        <f aca="false">'Project Plan'!E232</f>
        <v>GIS layers, map views and spatial checks</v>
      </c>
      <c r="C229" s="50" t="n">
        <f aca="false">'Project Plan'!C232</f>
        <v>3</v>
      </c>
      <c r="D229" s="50" t="str">
        <f aca="false">'Project Plan'!J232&amp;"d"</f>
        <v>46d</v>
      </c>
      <c r="E229" s="54" t="n">
        <f aca="false">'Project Plan'!K232</f>
        <v>46497</v>
      </c>
      <c r="F229" s="54" t="n">
        <f aca="false">'Project Plan'!L232</f>
        <v>46560</v>
      </c>
      <c r="G229" s="50" t="str">
        <f aca="false">'Project Plan'!M232&amp;""</f>
        <v>221</v>
      </c>
      <c r="H229" s="50" t="str">
        <f aca="false">'Project Plan'!H232&amp;""</f>
        <v>GIS</v>
      </c>
      <c r="I229" s="50" t="str">
        <f aca="false">IF('Project Plan'!C232=3,ROUND('Project Plan'!Z232*Assumptions!$C$6,0)&amp;"h","")</f>
        <v>101h</v>
      </c>
    </row>
    <row r="230" customFormat="false" ht="15" hidden="false" customHeight="false" outlineLevel="0" collapsed="false">
      <c r="A230" s="50" t="n">
        <f aca="false">'Project Plan'!A233</f>
        <v>229</v>
      </c>
      <c r="B230" s="50" t="str">
        <f aca="false">'Project Plan'!E233</f>
        <v>Module interfaces (12 I-xx links): events and APIs</v>
      </c>
      <c r="C230" s="50" t="n">
        <f aca="false">'Project Plan'!C233</f>
        <v>3</v>
      </c>
      <c r="D230" s="50" t="str">
        <f aca="false">'Project Plan'!J233&amp;"d"</f>
        <v>37d</v>
      </c>
      <c r="E230" s="54" t="n">
        <f aca="false">'Project Plan'!K233</f>
        <v>46525</v>
      </c>
      <c r="F230" s="54" t="n">
        <f aca="false">'Project Plan'!L233</f>
        <v>46575</v>
      </c>
      <c r="G230" s="50" t="str">
        <f aca="false">'Project Plan'!M233&amp;""</f>
        <v>223</v>
      </c>
      <c r="H230" s="50" t="str">
        <f aca="false">'Project Plan'!H233&amp;""</f>
        <v>BE</v>
      </c>
      <c r="I230" s="50" t="str">
        <f aca="false">IF('Project Plan'!C233=3,ROUND('Project Plan'!Z233*Assumptions!$C$6,0)&amp;"h","")</f>
        <v>166h</v>
      </c>
    </row>
    <row r="231" customFormat="false" ht="15" hidden="false" customHeight="false" outlineLevel="0" collapsed="false">
      <c r="A231" s="50" t="n">
        <f aca="false">'Project Plan'!A234</f>
        <v>230</v>
      </c>
      <c r="B231" s="50" t="str">
        <f aca="false">'Project Plan'!E234</f>
        <v>External system adapters (2)</v>
      </c>
      <c r="C231" s="50" t="n">
        <f aca="false">'Project Plan'!C234</f>
        <v>3</v>
      </c>
      <c r="D231" s="50" t="str">
        <f aca="false">'Project Plan'!J234&amp;"d"</f>
        <v>44d</v>
      </c>
      <c r="E231" s="54" t="n">
        <f aca="false">'Project Plan'!K234</f>
        <v>46514</v>
      </c>
      <c r="F231" s="54" t="n">
        <f aca="false">'Project Plan'!L234</f>
        <v>46575</v>
      </c>
      <c r="G231" s="50" t="str">
        <f aca="false">'Project Plan'!M234&amp;""</f>
        <v>221</v>
      </c>
      <c r="H231" s="50" t="str">
        <f aca="false">'Project Plan'!H234&amp;""</f>
        <v>BE</v>
      </c>
      <c r="I231" s="50" t="str">
        <f aca="false">IF('Project Plan'!C234=3,ROUND('Project Plan'!Z234*Assumptions!$C$6,0)&amp;"h","")</f>
        <v>110h</v>
      </c>
    </row>
    <row r="232" customFormat="false" ht="15" hidden="false" customHeight="false" outlineLevel="0" collapsed="false">
      <c r="A232" s="50" t="n">
        <f aca="false">'Project Plan'!A235</f>
        <v>231</v>
      </c>
      <c r="B232" s="50" t="str">
        <f aca="false">'Project Plan'!E235</f>
        <v>Reports, dashboards, notices and templates (all active languages)</v>
      </c>
      <c r="C232" s="50" t="n">
        <f aca="false">'Project Plan'!C235</f>
        <v>3</v>
      </c>
      <c r="D232" s="50" t="str">
        <f aca="false">'Project Plan'!J235&amp;"d"</f>
        <v>26d</v>
      </c>
      <c r="E232" s="54" t="n">
        <f aca="false">'Project Plan'!K235</f>
        <v>46542</v>
      </c>
      <c r="F232" s="54" t="n">
        <f aca="false">'Project Plan'!L235</f>
        <v>46577</v>
      </c>
      <c r="G232" s="50" t="str">
        <f aca="false">'Project Plan'!M235&amp;""</f>
        <v>223</v>
      </c>
      <c r="H232" s="50" t="str">
        <f aca="false">'Project Plan'!H235&amp;""</f>
        <v>BE</v>
      </c>
      <c r="I232" s="50" t="str">
        <f aca="false">IF('Project Plan'!C235=3,ROUND('Project Plan'!Z235*Assumptions!$C$6,0)&amp;"h","")</f>
        <v>92h</v>
      </c>
    </row>
    <row r="233" customFormat="false" ht="15" hidden="false" customHeight="false" outlineLevel="0" collapsed="false">
      <c r="A233" s="50" t="n">
        <f aca="false">'Project Plan'!A236</f>
        <v>232</v>
      </c>
      <c r="B233" s="50" t="str">
        <f aca="false">'Project Plan'!E236</f>
        <v>Data migration: existing user-charge accounts</v>
      </c>
      <c r="C233" s="50" t="n">
        <f aca="false">'Project Plan'!C236</f>
        <v>3</v>
      </c>
      <c r="D233" s="50" t="str">
        <f aca="false">'Project Plan'!J236&amp;"d"</f>
        <v>59d</v>
      </c>
      <c r="E233" s="54" t="n">
        <f aca="false">'Project Plan'!K236</f>
        <v>46506</v>
      </c>
      <c r="F233" s="54" t="n">
        <f aca="false">'Project Plan'!L236</f>
        <v>46588</v>
      </c>
      <c r="G233" s="50" t="str">
        <f aca="false">'Project Plan'!M236&amp;""</f>
        <v>221</v>
      </c>
      <c r="H233" s="50" t="str">
        <f aca="false">'Project Plan'!H236&amp;""</f>
        <v>DATA</v>
      </c>
      <c r="I233" s="50" t="str">
        <f aca="false">IF('Project Plan'!C236=3,ROUND('Project Plan'!Z236*Assumptions!$C$6,0)&amp;"h","")</f>
        <v>147h</v>
      </c>
    </row>
    <row r="234" customFormat="false" ht="15" hidden="false" customHeight="false" outlineLevel="0" collapsed="false">
      <c r="A234" s="50" t="n">
        <f aca="false">'Project Plan'!A237</f>
        <v>233</v>
      </c>
      <c r="B234" s="50" t="str">
        <f aca="false">'Project Plan'!E237</f>
        <v>System integration testing</v>
      </c>
      <c r="C234" s="50" t="n">
        <f aca="false">'Project Plan'!C237</f>
        <v>3</v>
      </c>
      <c r="D234" s="50" t="str">
        <f aca="false">'Project Plan'!J237&amp;"d"</f>
        <v>21d</v>
      </c>
      <c r="E234" s="54" t="n">
        <f aca="false">'Project Plan'!K237</f>
        <v>46566</v>
      </c>
      <c r="F234" s="54" t="n">
        <f aca="false">'Project Plan'!L237</f>
        <v>46594</v>
      </c>
      <c r="G234" s="50" t="str">
        <f aca="false">'Project Plan'!M237&amp;""</f>
        <v>223,225</v>
      </c>
      <c r="H234" s="50" t="str">
        <f aca="false">'Project Plan'!H237&amp;""</f>
        <v>QA</v>
      </c>
      <c r="I234" s="50" t="str">
        <f aca="false">IF('Project Plan'!C237=3,ROUND('Project Plan'!Z237*Assumptions!$C$6,0)&amp;"h","")</f>
        <v>202h</v>
      </c>
    </row>
    <row r="235" customFormat="false" ht="15" hidden="false" customHeight="false" outlineLevel="0" collapsed="false">
      <c r="A235" s="50" t="n">
        <f aca="false">'Project Plan'!A238</f>
        <v>234</v>
      </c>
      <c r="B235" s="50" t="str">
        <f aca="false">'Project Plan'!E238</f>
        <v>Defect fixing and regression</v>
      </c>
      <c r="C235" s="50" t="n">
        <f aca="false">'Project Plan'!C238</f>
        <v>3</v>
      </c>
      <c r="D235" s="50" t="str">
        <f aca="false">'Project Plan'!J238&amp;"d"</f>
        <v>26d</v>
      </c>
      <c r="E235" s="54" t="n">
        <f aca="false">'Project Plan'!K238</f>
        <v>46570</v>
      </c>
      <c r="F235" s="54" t="n">
        <f aca="false">'Project Plan'!L238</f>
        <v>46605</v>
      </c>
      <c r="G235" s="50" t="str">
        <f aca="false">'Project Plan'!M238&amp;""</f>
        <v>233</v>
      </c>
      <c r="H235" s="50" t="str">
        <f aca="false">'Project Plan'!H238&amp;""</f>
        <v>BE</v>
      </c>
      <c r="I235" s="50" t="str">
        <f aca="false">IF('Project Plan'!C238=3,ROUND('Project Plan'!Z238*Assumptions!$C$6,0)&amp;"h","")</f>
        <v>175h</v>
      </c>
    </row>
    <row r="236" customFormat="false" ht="15" hidden="false" customHeight="false" outlineLevel="0" collapsed="false">
      <c r="A236" s="50" t="n">
        <f aca="false">'Project Plan'!A239</f>
        <v>235</v>
      </c>
      <c r="B236" s="50" t="str">
        <f aca="false">'Project Plan'!E239</f>
        <v>UAT support with GWMC department</v>
      </c>
      <c r="C236" s="50" t="n">
        <f aca="false">'Project Plan'!C239</f>
        <v>3</v>
      </c>
      <c r="D236" s="50" t="str">
        <f aca="false">'Project Plan'!J239&amp;"d"</f>
        <v>13d</v>
      </c>
      <c r="E236" s="54" t="n">
        <f aca="false">'Project Plan'!K239</f>
        <v>46595</v>
      </c>
      <c r="F236" s="54" t="n">
        <f aca="false">'Project Plan'!L239</f>
        <v>46611</v>
      </c>
      <c r="G236" s="50" t="str">
        <f aca="false">'Project Plan'!M239&amp;""</f>
        <v>233</v>
      </c>
      <c r="H236" s="50" t="str">
        <f aca="false">'Project Plan'!H239&amp;""</f>
        <v>BA</v>
      </c>
      <c r="I236" s="50" t="str">
        <f aca="false">IF('Project Plan'!C239=3,ROUND('Project Plan'!Z239*Assumptions!$C$6,0)&amp;"h","")</f>
        <v>110h</v>
      </c>
    </row>
    <row r="237" customFormat="false" ht="15" hidden="false" customHeight="false" outlineLevel="0" collapsed="false">
      <c r="A237" s="50" t="n">
        <f aca="false">'Project Plan'!A240</f>
        <v>236</v>
      </c>
      <c r="B237" s="50" t="str">
        <f aca="false">'Project Plan'!E240</f>
        <v>Training material and department training</v>
      </c>
      <c r="C237" s="50" t="n">
        <f aca="false">'Project Plan'!C240</f>
        <v>3</v>
      </c>
      <c r="D237" s="50" t="str">
        <f aca="false">'Project Plan'!J240&amp;"d"</f>
        <v>13d</v>
      </c>
      <c r="E237" s="54" t="n">
        <f aca="false">'Project Plan'!K240</f>
        <v>46598</v>
      </c>
      <c r="F237" s="54" t="n">
        <f aca="false">'Project Plan'!L240</f>
        <v>46616</v>
      </c>
      <c r="G237" s="50" t="str">
        <f aca="false">'Project Plan'!M240&amp;""</f>
        <v>235</v>
      </c>
      <c r="H237" s="50" t="str">
        <f aca="false">'Project Plan'!H240&amp;""</f>
        <v>TRN</v>
      </c>
      <c r="I237" s="50" t="str">
        <f aca="false">IF('Project Plan'!C240=3,ROUND('Project Plan'!Z240*Assumptions!$C$6,0)&amp;"h","")</f>
        <v>83h</v>
      </c>
    </row>
    <row r="238" customFormat="false" ht="15" hidden="false" customHeight="false" outlineLevel="0" collapsed="false">
      <c r="A238" s="50" t="n">
        <f aca="false">'Project Plan'!A241</f>
        <v>237</v>
      </c>
      <c r="B238" s="50" t="str">
        <f aca="false">'Project Plan'!E241</f>
        <v>Module 11: Building Permission Management / Integration</v>
      </c>
      <c r="C238" s="50" t="n">
        <f aca="false">'Project Plan'!C241</f>
        <v>2</v>
      </c>
      <c r="D238" s="50" t="str">
        <f aca="false">'Project Plan'!J241&amp;"d"</f>
        <v>119d</v>
      </c>
      <c r="E238" s="54" t="n">
        <f aca="false">'Project Plan'!K241</f>
        <v>46450</v>
      </c>
      <c r="F238" s="54" t="n">
        <f aca="false">'Project Plan'!L241</f>
        <v>46616</v>
      </c>
      <c r="G238" s="50" t="str">
        <f aca="false">'Project Plan'!M241&amp;""</f>
        <v/>
      </c>
      <c r="H238" s="50" t="str">
        <f aca="false">'Project Plan'!H241&amp;""</f>
        <v/>
      </c>
      <c r="I238" s="50" t="str">
        <f aca="false">IF('Project Plan'!C241=3,ROUND('Project Plan'!Z241*Assumptions!$C$6,0)&amp;"h","")</f>
        <v/>
      </c>
    </row>
    <row r="239" customFormat="false" ht="15" hidden="false" customHeight="false" outlineLevel="0" collapsed="false">
      <c r="A239" s="50" t="n">
        <f aca="false">'Project Plan'!A242</f>
        <v>238</v>
      </c>
      <c r="B239" s="50" t="str">
        <f aca="false">'Project Plan'!E242</f>
        <v>Process validation workshops and to-be sign-off</v>
      </c>
      <c r="C239" s="50" t="n">
        <f aca="false">'Project Plan'!C242</f>
        <v>3</v>
      </c>
      <c r="D239" s="50" t="str">
        <f aca="false">'Project Plan'!J242&amp;"d"</f>
        <v>16d</v>
      </c>
      <c r="E239" s="54" t="n">
        <f aca="false">'Project Plan'!K242</f>
        <v>46450</v>
      </c>
      <c r="F239" s="54" t="n">
        <f aca="false">'Project Plan'!L242</f>
        <v>46471</v>
      </c>
      <c r="G239" s="50" t="str">
        <f aca="false">'Project Plan'!M242&amp;""</f>
        <v>196</v>
      </c>
      <c r="H239" s="50" t="str">
        <f aca="false">'Project Plan'!H242&amp;""</f>
        <v>BA</v>
      </c>
      <c r="I239" s="50" t="str">
        <f aca="false">IF('Project Plan'!C242=3,ROUND('Project Plan'!Z242*Assumptions!$C$6,0)&amp;"h","")</f>
        <v>110h</v>
      </c>
    </row>
    <row r="240" customFormat="false" ht="15" hidden="false" customHeight="false" outlineLevel="0" collapsed="false">
      <c r="A240" s="50" t="n">
        <f aca="false">'Project Plan'!A243</f>
        <v>239</v>
      </c>
      <c r="B240" s="50" t="str">
        <f aca="false">'Project Plan'!E243</f>
        <v>LLD, data model and API/event contracts</v>
      </c>
      <c r="C240" s="50" t="n">
        <f aca="false">'Project Plan'!C243</f>
        <v>3</v>
      </c>
      <c r="D240" s="50" t="str">
        <f aca="false">'Project Plan'!J243&amp;"d"</f>
        <v>16d</v>
      </c>
      <c r="E240" s="54" t="n">
        <f aca="false">'Project Plan'!K243</f>
        <v>46465</v>
      </c>
      <c r="F240" s="54" t="n">
        <f aca="false">'Project Plan'!L243</f>
        <v>46486</v>
      </c>
      <c r="G240" s="50" t="str">
        <f aca="false">'Project Plan'!M243&amp;""</f>
        <v>238</v>
      </c>
      <c r="H240" s="50" t="str">
        <f aca="false">'Project Plan'!H243&amp;""</f>
        <v>ARC</v>
      </c>
      <c r="I240" s="50" t="str">
        <f aca="false">IF('Project Plan'!C243=3,ROUND('Project Plan'!Z243*Assumptions!$C$6,0)&amp;"h","")</f>
        <v>110h</v>
      </c>
    </row>
    <row r="241" customFormat="false" ht="15" hidden="false" customHeight="false" outlineLevel="0" collapsed="false">
      <c r="A241" s="50" t="n">
        <f aca="false">'Project Plan'!A244</f>
        <v>240</v>
      </c>
      <c r="B241" s="50" t="str">
        <f aca="false">'Project Plan'!E244</f>
        <v>UX wireframes and UI design</v>
      </c>
      <c r="C241" s="50" t="n">
        <f aca="false">'Project Plan'!C244</f>
        <v>3</v>
      </c>
      <c r="D241" s="50" t="str">
        <f aca="false">'Project Plan'!J244&amp;"d"</f>
        <v>16d</v>
      </c>
      <c r="E241" s="54" t="n">
        <f aca="false">'Project Plan'!K244</f>
        <v>46465</v>
      </c>
      <c r="F241" s="54" t="n">
        <f aca="false">'Project Plan'!L244</f>
        <v>46486</v>
      </c>
      <c r="G241" s="50" t="str">
        <f aca="false">'Project Plan'!M244&amp;""</f>
        <v>238</v>
      </c>
      <c r="H241" s="50" t="str">
        <f aca="false">'Project Plan'!H244&amp;""</f>
        <v>FE</v>
      </c>
      <c r="I241" s="50" t="str">
        <f aca="false">IF('Project Plan'!C244=3,ROUND('Project Plan'!Z244*Assumptions!$C$6,0)&amp;"h","")</f>
        <v>83h</v>
      </c>
    </row>
    <row r="242" customFormat="false" ht="15" hidden="false" customHeight="false" outlineLevel="0" collapsed="false">
      <c r="A242" s="50" t="n">
        <f aca="false">'Project Plan'!A245</f>
        <v>241</v>
      </c>
      <c r="B242" s="50" t="str">
        <f aca="false">'Project Plan'!E245</f>
        <v>Database schema, domain logic and APIs</v>
      </c>
      <c r="C242" s="50" t="n">
        <f aca="false">'Project Plan'!C245</f>
        <v>3</v>
      </c>
      <c r="D242" s="50" t="str">
        <f aca="false">'Project Plan'!J245&amp;"d"</f>
        <v>55d</v>
      </c>
      <c r="E242" s="54" t="n">
        <f aca="false">'Project Plan'!K245</f>
        <v>46484</v>
      </c>
      <c r="F242" s="54" t="n">
        <f aca="false">'Project Plan'!L245</f>
        <v>46560</v>
      </c>
      <c r="G242" s="50" t="str">
        <f aca="false">'Project Plan'!M245&amp;""</f>
        <v>239</v>
      </c>
      <c r="H242" s="50" t="str">
        <f aca="false">'Project Plan'!H245&amp;""</f>
        <v>BE</v>
      </c>
      <c r="I242" s="50" t="str">
        <f aca="false">IF('Project Plan'!C245=3,ROUND('Project Plan'!Z245*Assumptions!$C$6,0)&amp;"h","")</f>
        <v>322h</v>
      </c>
    </row>
    <row r="243" customFormat="false" ht="15" hidden="false" customHeight="false" outlineLevel="0" collapsed="false">
      <c r="A243" s="50" t="n">
        <f aca="false">'Project Plan'!A246</f>
        <v>242</v>
      </c>
      <c r="B243" s="50" t="str">
        <f aca="false">'Project Plan'!E246</f>
        <v>Workflows (BPMN) and rules (DMN) configuration</v>
      </c>
      <c r="C243" s="50" t="n">
        <f aca="false">'Project Plan'!C246</f>
        <v>3</v>
      </c>
      <c r="D243" s="50" t="str">
        <f aca="false">'Project Plan'!J246&amp;"d"</f>
        <v>40d</v>
      </c>
      <c r="E243" s="54" t="n">
        <f aca="false">'Project Plan'!K246</f>
        <v>46506</v>
      </c>
      <c r="F243" s="54" t="n">
        <f aca="false">'Project Plan'!L246</f>
        <v>46561</v>
      </c>
      <c r="G243" s="50" t="str">
        <f aca="false">'Project Plan'!M246&amp;""</f>
        <v>239</v>
      </c>
      <c r="H243" s="50" t="str">
        <f aca="false">'Project Plan'!H246&amp;""</f>
        <v>BE</v>
      </c>
      <c r="I243" s="50" t="str">
        <f aca="false">IF('Project Plan'!C246=3,ROUND('Project Plan'!Z246*Assumptions!$C$6,0)&amp;"h","")</f>
        <v>156h</v>
      </c>
    </row>
    <row r="244" customFormat="false" ht="15" hidden="false" customHeight="false" outlineLevel="0" collapsed="false">
      <c r="A244" s="50" t="n">
        <f aca="false">'Project Plan'!A247</f>
        <v>243</v>
      </c>
      <c r="B244" s="50" t="str">
        <f aca="false">'Project Plan'!E247</f>
        <v>Staff console screens</v>
      </c>
      <c r="C244" s="50" t="n">
        <f aca="false">'Project Plan'!C247</f>
        <v>3</v>
      </c>
      <c r="D244" s="50" t="str">
        <f aca="false">'Project Plan'!J247&amp;"d"</f>
        <v>53d</v>
      </c>
      <c r="E244" s="54" t="n">
        <f aca="false">'Project Plan'!K247</f>
        <v>46497</v>
      </c>
      <c r="F244" s="54" t="n">
        <f aca="false">'Project Plan'!L247</f>
        <v>46569</v>
      </c>
      <c r="G244" s="50" t="str">
        <f aca="false">'Project Plan'!M247&amp;""</f>
        <v>240</v>
      </c>
      <c r="H244" s="50" t="str">
        <f aca="false">'Project Plan'!H247&amp;""</f>
        <v>FE</v>
      </c>
      <c r="I244" s="50" t="str">
        <f aca="false">IF('Project Plan'!C247=3,ROUND('Project Plan'!Z247*Assumptions!$C$6,0)&amp;"h","")</f>
        <v>267h</v>
      </c>
    </row>
    <row r="245" customFormat="false" ht="15" hidden="false" customHeight="false" outlineLevel="0" collapsed="false">
      <c r="A245" s="50" t="n">
        <f aca="false">'Project Plan'!A248</f>
        <v>244</v>
      </c>
      <c r="B245" s="50" t="str">
        <f aca="false">'Project Plan'!E248</f>
        <v>Citizen portal and app services</v>
      </c>
      <c r="C245" s="50" t="n">
        <f aca="false">'Project Plan'!C248</f>
        <v>3</v>
      </c>
      <c r="D245" s="50" t="str">
        <f aca="false">'Project Plan'!J248&amp;"d"</f>
        <v>40d</v>
      </c>
      <c r="E245" s="54" t="n">
        <f aca="false">'Project Plan'!K248</f>
        <v>46514</v>
      </c>
      <c r="F245" s="54" t="n">
        <f aca="false">'Project Plan'!L248</f>
        <v>46569</v>
      </c>
      <c r="G245" s="50" t="str">
        <f aca="false">'Project Plan'!M248&amp;""</f>
        <v>240</v>
      </c>
      <c r="H245" s="50" t="str">
        <f aca="false">'Project Plan'!H248&amp;""</f>
        <v>FE</v>
      </c>
      <c r="I245" s="50" t="str">
        <f aca="false">IF('Project Plan'!C248=3,ROUND('Project Plan'!Z248*Assumptions!$C$6,0)&amp;"h","")</f>
        <v>193h</v>
      </c>
    </row>
    <row r="246" customFormat="false" ht="15" hidden="false" customHeight="false" outlineLevel="0" collapsed="false">
      <c r="A246" s="50" t="n">
        <f aca="false">'Project Plan'!A249</f>
        <v>245</v>
      </c>
      <c r="B246" s="50" t="str">
        <f aca="false">'Project Plan'!E249</f>
        <v>Field app tasks (offline)</v>
      </c>
      <c r="C246" s="50" t="n">
        <f aca="false">'Project Plan'!C249</f>
        <v>3</v>
      </c>
      <c r="D246" s="50" t="str">
        <f aca="false">'Project Plan'!J249&amp;"d"</f>
        <v>40d</v>
      </c>
      <c r="E246" s="54" t="n">
        <f aca="false">'Project Plan'!K249</f>
        <v>46514</v>
      </c>
      <c r="F246" s="54" t="n">
        <f aca="false">'Project Plan'!L249</f>
        <v>46569</v>
      </c>
      <c r="G246" s="50" t="str">
        <f aca="false">'Project Plan'!M249&amp;""</f>
        <v>240</v>
      </c>
      <c r="H246" s="50" t="str">
        <f aca="false">'Project Plan'!H249&amp;""</f>
        <v>MOB</v>
      </c>
      <c r="I246" s="50" t="str">
        <f aca="false">IF('Project Plan'!C249=3,ROUND('Project Plan'!Z249*Assumptions!$C$6,0)&amp;"h","")</f>
        <v>129h</v>
      </c>
    </row>
    <row r="247" customFormat="false" ht="15" hidden="false" customHeight="false" outlineLevel="0" collapsed="false">
      <c r="A247" s="50" t="n">
        <f aca="false">'Project Plan'!A250</f>
        <v>246</v>
      </c>
      <c r="B247" s="50" t="str">
        <f aca="false">'Project Plan'!E250</f>
        <v>GIS layers, map views and spatial checks</v>
      </c>
      <c r="C247" s="50" t="n">
        <f aca="false">'Project Plan'!C250</f>
        <v>3</v>
      </c>
      <c r="D247" s="50" t="str">
        <f aca="false">'Project Plan'!J250&amp;"d"</f>
        <v>46d</v>
      </c>
      <c r="E247" s="54" t="n">
        <f aca="false">'Project Plan'!K250</f>
        <v>46497</v>
      </c>
      <c r="F247" s="54" t="n">
        <f aca="false">'Project Plan'!L250</f>
        <v>46560</v>
      </c>
      <c r="G247" s="50" t="str">
        <f aca="false">'Project Plan'!M250&amp;""</f>
        <v>239</v>
      </c>
      <c r="H247" s="50" t="str">
        <f aca="false">'Project Plan'!H250&amp;""</f>
        <v>GIS</v>
      </c>
      <c r="I247" s="50" t="str">
        <f aca="false">IF('Project Plan'!C250=3,ROUND('Project Plan'!Z250*Assumptions!$C$6,0)&amp;"h","")</f>
        <v>110h</v>
      </c>
    </row>
    <row r="248" customFormat="false" ht="15" hidden="false" customHeight="false" outlineLevel="0" collapsed="false">
      <c r="A248" s="50" t="n">
        <f aca="false">'Project Plan'!A251</f>
        <v>247</v>
      </c>
      <c r="B248" s="50" t="str">
        <f aca="false">'Project Plan'!E251</f>
        <v>Module interfaces (14 I-xx links): events and APIs</v>
      </c>
      <c r="C248" s="50" t="n">
        <f aca="false">'Project Plan'!C251</f>
        <v>3</v>
      </c>
      <c r="D248" s="50" t="str">
        <f aca="false">'Project Plan'!J251&amp;"d"</f>
        <v>37d</v>
      </c>
      <c r="E248" s="54" t="n">
        <f aca="false">'Project Plan'!K251</f>
        <v>46525</v>
      </c>
      <c r="F248" s="54" t="n">
        <f aca="false">'Project Plan'!L251</f>
        <v>46575</v>
      </c>
      <c r="G248" s="50" t="str">
        <f aca="false">'Project Plan'!M251&amp;""</f>
        <v>241</v>
      </c>
      <c r="H248" s="50" t="str">
        <f aca="false">'Project Plan'!H251&amp;""</f>
        <v>BE</v>
      </c>
      <c r="I248" s="50" t="str">
        <f aca="false">IF('Project Plan'!C251=3,ROUND('Project Plan'!Z251*Assumptions!$C$6,0)&amp;"h","")</f>
        <v>193h</v>
      </c>
    </row>
    <row r="249" customFormat="false" ht="15" hidden="false" customHeight="false" outlineLevel="0" collapsed="false">
      <c r="A249" s="50" t="n">
        <f aca="false">'Project Plan'!A252</f>
        <v>248</v>
      </c>
      <c r="B249" s="50" t="str">
        <f aca="false">'Project Plan'!E252</f>
        <v>External system adapters (10)</v>
      </c>
      <c r="C249" s="50" t="n">
        <f aca="false">'Project Plan'!C252</f>
        <v>3</v>
      </c>
      <c r="D249" s="50" t="str">
        <f aca="false">'Project Plan'!J252&amp;"d"</f>
        <v>44d</v>
      </c>
      <c r="E249" s="54" t="n">
        <f aca="false">'Project Plan'!K252</f>
        <v>46514</v>
      </c>
      <c r="F249" s="54" t="n">
        <f aca="false">'Project Plan'!L252</f>
        <v>46575</v>
      </c>
      <c r="G249" s="50" t="str">
        <f aca="false">'Project Plan'!M252&amp;""</f>
        <v>239</v>
      </c>
      <c r="H249" s="50" t="str">
        <f aca="false">'Project Plan'!H252&amp;""</f>
        <v>BE</v>
      </c>
      <c r="I249" s="50" t="str">
        <f aca="false">IF('Project Plan'!C252=3,ROUND('Project Plan'!Z252*Assumptions!$C$6,0)&amp;"h","")</f>
        <v>552h</v>
      </c>
    </row>
    <row r="250" customFormat="false" ht="15" hidden="false" customHeight="false" outlineLevel="0" collapsed="false">
      <c r="A250" s="50" t="n">
        <f aca="false">'Project Plan'!A253</f>
        <v>249</v>
      </c>
      <c r="B250" s="50" t="str">
        <f aca="false">'Project Plan'!E253</f>
        <v>Reports, dashboards, notices and templates (all active languages)</v>
      </c>
      <c r="C250" s="50" t="n">
        <f aca="false">'Project Plan'!C253</f>
        <v>3</v>
      </c>
      <c r="D250" s="50" t="str">
        <f aca="false">'Project Plan'!J253&amp;"d"</f>
        <v>26d</v>
      </c>
      <c r="E250" s="54" t="n">
        <f aca="false">'Project Plan'!K253</f>
        <v>46542</v>
      </c>
      <c r="F250" s="54" t="n">
        <f aca="false">'Project Plan'!L253</f>
        <v>46577</v>
      </c>
      <c r="G250" s="50" t="str">
        <f aca="false">'Project Plan'!M253&amp;""</f>
        <v>241</v>
      </c>
      <c r="H250" s="50" t="str">
        <f aca="false">'Project Plan'!H253&amp;""</f>
        <v>BE</v>
      </c>
      <c r="I250" s="50" t="str">
        <f aca="false">IF('Project Plan'!C253=3,ROUND('Project Plan'!Z253*Assumptions!$C$6,0)&amp;"h","")</f>
        <v>110h</v>
      </c>
    </row>
    <row r="251" customFormat="false" ht="15" hidden="false" customHeight="false" outlineLevel="0" collapsed="false">
      <c r="A251" s="50" t="n">
        <f aca="false">'Project Plan'!A254</f>
        <v>250</v>
      </c>
      <c r="B251" s="50" t="str">
        <f aca="false">'Project Plan'!E254</f>
        <v>Data migration: permits in TG-bPASS</v>
      </c>
      <c r="C251" s="50" t="n">
        <f aca="false">'Project Plan'!C254</f>
        <v>3</v>
      </c>
      <c r="D251" s="50" t="str">
        <f aca="false">'Project Plan'!J254&amp;"d"</f>
        <v>59d</v>
      </c>
      <c r="E251" s="54" t="n">
        <f aca="false">'Project Plan'!K254</f>
        <v>46506</v>
      </c>
      <c r="F251" s="54" t="n">
        <f aca="false">'Project Plan'!L254</f>
        <v>46588</v>
      </c>
      <c r="G251" s="50" t="str">
        <f aca="false">'Project Plan'!M254&amp;""</f>
        <v>239</v>
      </c>
      <c r="H251" s="50" t="str">
        <f aca="false">'Project Plan'!H254&amp;""</f>
        <v>DATA</v>
      </c>
      <c r="I251" s="50" t="str">
        <f aca="false">IF('Project Plan'!C254=3,ROUND('Project Plan'!Z254*Assumptions!$C$6,0)&amp;"h","")</f>
        <v>147h</v>
      </c>
    </row>
    <row r="252" customFormat="false" ht="15" hidden="false" customHeight="false" outlineLevel="0" collapsed="false">
      <c r="A252" s="50" t="n">
        <f aca="false">'Project Plan'!A255</f>
        <v>251</v>
      </c>
      <c r="B252" s="50" t="str">
        <f aca="false">'Project Plan'!E255</f>
        <v>System integration testing</v>
      </c>
      <c r="C252" s="50" t="n">
        <f aca="false">'Project Plan'!C255</f>
        <v>3</v>
      </c>
      <c r="D252" s="50" t="str">
        <f aca="false">'Project Plan'!J255&amp;"d"</f>
        <v>21d</v>
      </c>
      <c r="E252" s="54" t="n">
        <f aca="false">'Project Plan'!K255</f>
        <v>46566</v>
      </c>
      <c r="F252" s="54" t="n">
        <f aca="false">'Project Plan'!L255</f>
        <v>46594</v>
      </c>
      <c r="G252" s="50" t="str">
        <f aca="false">'Project Plan'!M255&amp;""</f>
        <v>241,243</v>
      </c>
      <c r="H252" s="50" t="str">
        <f aca="false">'Project Plan'!H255&amp;""</f>
        <v>QA</v>
      </c>
      <c r="I252" s="50" t="str">
        <f aca="false">IF('Project Plan'!C255=3,ROUND('Project Plan'!Z255*Assumptions!$C$6,0)&amp;"h","")</f>
        <v>221h</v>
      </c>
    </row>
    <row r="253" customFormat="false" ht="15" hidden="false" customHeight="false" outlineLevel="0" collapsed="false">
      <c r="A253" s="50" t="n">
        <f aca="false">'Project Plan'!A256</f>
        <v>252</v>
      </c>
      <c r="B253" s="50" t="str">
        <f aca="false">'Project Plan'!E256</f>
        <v>Defect fixing and regression</v>
      </c>
      <c r="C253" s="50" t="n">
        <f aca="false">'Project Plan'!C256</f>
        <v>3</v>
      </c>
      <c r="D253" s="50" t="str">
        <f aca="false">'Project Plan'!J256&amp;"d"</f>
        <v>26d</v>
      </c>
      <c r="E253" s="54" t="n">
        <f aca="false">'Project Plan'!K256</f>
        <v>46570</v>
      </c>
      <c r="F253" s="54" t="n">
        <f aca="false">'Project Plan'!L256</f>
        <v>46605</v>
      </c>
      <c r="G253" s="50" t="str">
        <f aca="false">'Project Plan'!M256&amp;""</f>
        <v>251</v>
      </c>
      <c r="H253" s="50" t="str">
        <f aca="false">'Project Plan'!H256&amp;""</f>
        <v>BE</v>
      </c>
      <c r="I253" s="50" t="str">
        <f aca="false">IF('Project Plan'!C256=3,ROUND('Project Plan'!Z256*Assumptions!$C$6,0)&amp;"h","")</f>
        <v>184h</v>
      </c>
    </row>
    <row r="254" customFormat="false" ht="15" hidden="false" customHeight="false" outlineLevel="0" collapsed="false">
      <c r="A254" s="50" t="n">
        <f aca="false">'Project Plan'!A257</f>
        <v>253</v>
      </c>
      <c r="B254" s="50" t="str">
        <f aca="false">'Project Plan'!E257</f>
        <v>UAT support with GWMC department</v>
      </c>
      <c r="C254" s="50" t="n">
        <f aca="false">'Project Plan'!C257</f>
        <v>3</v>
      </c>
      <c r="D254" s="50" t="str">
        <f aca="false">'Project Plan'!J257&amp;"d"</f>
        <v>13d</v>
      </c>
      <c r="E254" s="54" t="n">
        <f aca="false">'Project Plan'!K257</f>
        <v>46595</v>
      </c>
      <c r="F254" s="54" t="n">
        <f aca="false">'Project Plan'!L257</f>
        <v>46611</v>
      </c>
      <c r="G254" s="50" t="str">
        <f aca="false">'Project Plan'!M257&amp;""</f>
        <v>251</v>
      </c>
      <c r="H254" s="50" t="str">
        <f aca="false">'Project Plan'!H257&amp;""</f>
        <v>BA</v>
      </c>
      <c r="I254" s="50" t="str">
        <f aca="false">IF('Project Plan'!C257=3,ROUND('Project Plan'!Z257*Assumptions!$C$6,0)&amp;"h","")</f>
        <v>110h</v>
      </c>
    </row>
    <row r="255" customFormat="false" ht="15" hidden="false" customHeight="false" outlineLevel="0" collapsed="false">
      <c r="A255" s="50" t="n">
        <f aca="false">'Project Plan'!A258</f>
        <v>254</v>
      </c>
      <c r="B255" s="50" t="str">
        <f aca="false">'Project Plan'!E258</f>
        <v>Training material and department training</v>
      </c>
      <c r="C255" s="50" t="n">
        <f aca="false">'Project Plan'!C258</f>
        <v>3</v>
      </c>
      <c r="D255" s="50" t="str">
        <f aca="false">'Project Plan'!J258&amp;"d"</f>
        <v>13d</v>
      </c>
      <c r="E255" s="54" t="n">
        <f aca="false">'Project Plan'!K258</f>
        <v>46598</v>
      </c>
      <c r="F255" s="54" t="n">
        <f aca="false">'Project Plan'!L258</f>
        <v>46616</v>
      </c>
      <c r="G255" s="50" t="str">
        <f aca="false">'Project Plan'!M258&amp;""</f>
        <v>253</v>
      </c>
      <c r="H255" s="50" t="str">
        <f aca="false">'Project Plan'!H258&amp;""</f>
        <v>TRN</v>
      </c>
      <c r="I255" s="50" t="str">
        <f aca="false">IF('Project Plan'!C258=3,ROUND('Project Plan'!Z258*Assumptions!$C$6,0)&amp;"h","")</f>
        <v>83h</v>
      </c>
    </row>
    <row r="256" customFormat="false" ht="15" hidden="false" customHeight="false" outlineLevel="0" collapsed="false">
      <c r="A256" s="50" t="n">
        <f aca="false">'Project Plan'!A259</f>
        <v>255</v>
      </c>
      <c r="B256" s="50" t="str">
        <f aca="false">'Project Plan'!E259</f>
        <v>Module 13: Town Planning</v>
      </c>
      <c r="C256" s="50" t="n">
        <f aca="false">'Project Plan'!C259</f>
        <v>2</v>
      </c>
      <c r="D256" s="50" t="str">
        <f aca="false">'Project Plan'!J259&amp;"d"</f>
        <v>119d</v>
      </c>
      <c r="E256" s="54" t="n">
        <f aca="false">'Project Plan'!K259</f>
        <v>46450</v>
      </c>
      <c r="F256" s="54" t="n">
        <f aca="false">'Project Plan'!L259</f>
        <v>46616</v>
      </c>
      <c r="G256" s="50" t="str">
        <f aca="false">'Project Plan'!M259&amp;""</f>
        <v/>
      </c>
      <c r="H256" s="50" t="str">
        <f aca="false">'Project Plan'!H259&amp;""</f>
        <v/>
      </c>
      <c r="I256" s="50" t="str">
        <f aca="false">IF('Project Plan'!C259=3,ROUND('Project Plan'!Z259*Assumptions!$C$6,0)&amp;"h","")</f>
        <v/>
      </c>
    </row>
    <row r="257" customFormat="false" ht="15" hidden="false" customHeight="false" outlineLevel="0" collapsed="false">
      <c r="A257" s="50" t="n">
        <f aca="false">'Project Plan'!A260</f>
        <v>256</v>
      </c>
      <c r="B257" s="50" t="str">
        <f aca="false">'Project Plan'!E260</f>
        <v>Process validation workshops and to-be sign-off</v>
      </c>
      <c r="C257" s="50" t="n">
        <f aca="false">'Project Plan'!C260</f>
        <v>3</v>
      </c>
      <c r="D257" s="50" t="str">
        <f aca="false">'Project Plan'!J260&amp;"d"</f>
        <v>16d</v>
      </c>
      <c r="E257" s="54" t="n">
        <f aca="false">'Project Plan'!K260</f>
        <v>46450</v>
      </c>
      <c r="F257" s="54" t="n">
        <f aca="false">'Project Plan'!L260</f>
        <v>46471</v>
      </c>
      <c r="G257" s="50" t="str">
        <f aca="false">'Project Plan'!M260&amp;""</f>
        <v>196</v>
      </c>
      <c r="H257" s="50" t="str">
        <f aca="false">'Project Plan'!H260&amp;""</f>
        <v>BA</v>
      </c>
      <c r="I257" s="50" t="str">
        <f aca="false">IF('Project Plan'!C260=3,ROUND('Project Plan'!Z260*Assumptions!$C$6,0)&amp;"h","")</f>
        <v>110h</v>
      </c>
    </row>
    <row r="258" customFormat="false" ht="15" hidden="false" customHeight="false" outlineLevel="0" collapsed="false">
      <c r="A258" s="50" t="n">
        <f aca="false">'Project Plan'!A261</f>
        <v>257</v>
      </c>
      <c r="B258" s="50" t="str">
        <f aca="false">'Project Plan'!E261</f>
        <v>LLD, data model and API/event contracts</v>
      </c>
      <c r="C258" s="50" t="n">
        <f aca="false">'Project Plan'!C261</f>
        <v>3</v>
      </c>
      <c r="D258" s="50" t="str">
        <f aca="false">'Project Plan'!J261&amp;"d"</f>
        <v>16d</v>
      </c>
      <c r="E258" s="54" t="n">
        <f aca="false">'Project Plan'!K261</f>
        <v>46465</v>
      </c>
      <c r="F258" s="54" t="n">
        <f aca="false">'Project Plan'!L261</f>
        <v>46486</v>
      </c>
      <c r="G258" s="50" t="str">
        <f aca="false">'Project Plan'!M261&amp;""</f>
        <v>256</v>
      </c>
      <c r="H258" s="50" t="str">
        <f aca="false">'Project Plan'!H261&amp;""</f>
        <v>ARC</v>
      </c>
      <c r="I258" s="50" t="str">
        <f aca="false">IF('Project Plan'!C261=3,ROUND('Project Plan'!Z261*Assumptions!$C$6,0)&amp;"h","")</f>
        <v>110h</v>
      </c>
    </row>
    <row r="259" customFormat="false" ht="15" hidden="false" customHeight="false" outlineLevel="0" collapsed="false">
      <c r="A259" s="50" t="n">
        <f aca="false">'Project Plan'!A262</f>
        <v>258</v>
      </c>
      <c r="B259" s="50" t="str">
        <f aca="false">'Project Plan'!E262</f>
        <v>UX wireframes and UI design</v>
      </c>
      <c r="C259" s="50" t="n">
        <f aca="false">'Project Plan'!C262</f>
        <v>3</v>
      </c>
      <c r="D259" s="50" t="str">
        <f aca="false">'Project Plan'!J262&amp;"d"</f>
        <v>16d</v>
      </c>
      <c r="E259" s="54" t="n">
        <f aca="false">'Project Plan'!K262</f>
        <v>46465</v>
      </c>
      <c r="F259" s="54" t="n">
        <f aca="false">'Project Plan'!L262</f>
        <v>46486</v>
      </c>
      <c r="G259" s="50" t="str">
        <f aca="false">'Project Plan'!M262&amp;""</f>
        <v>256</v>
      </c>
      <c r="H259" s="50" t="str">
        <f aca="false">'Project Plan'!H262&amp;""</f>
        <v>FE</v>
      </c>
      <c r="I259" s="50" t="str">
        <f aca="false">IF('Project Plan'!C262=3,ROUND('Project Plan'!Z262*Assumptions!$C$6,0)&amp;"h","")</f>
        <v>83h</v>
      </c>
    </row>
    <row r="260" customFormat="false" ht="15" hidden="false" customHeight="false" outlineLevel="0" collapsed="false">
      <c r="A260" s="50" t="n">
        <f aca="false">'Project Plan'!A263</f>
        <v>259</v>
      </c>
      <c r="B260" s="50" t="str">
        <f aca="false">'Project Plan'!E263</f>
        <v>Database schema, domain logic and APIs</v>
      </c>
      <c r="C260" s="50" t="n">
        <f aca="false">'Project Plan'!C263</f>
        <v>3</v>
      </c>
      <c r="D260" s="50" t="str">
        <f aca="false">'Project Plan'!J263&amp;"d"</f>
        <v>55d</v>
      </c>
      <c r="E260" s="54" t="n">
        <f aca="false">'Project Plan'!K263</f>
        <v>46484</v>
      </c>
      <c r="F260" s="54" t="n">
        <f aca="false">'Project Plan'!L263</f>
        <v>46560</v>
      </c>
      <c r="G260" s="50" t="str">
        <f aca="false">'Project Plan'!M263&amp;""</f>
        <v>257</v>
      </c>
      <c r="H260" s="50" t="str">
        <f aca="false">'Project Plan'!H263&amp;""</f>
        <v>BE</v>
      </c>
      <c r="I260" s="50" t="str">
        <f aca="false">IF('Project Plan'!C263=3,ROUND('Project Plan'!Z263*Assumptions!$C$6,0)&amp;"h","")</f>
        <v>322h</v>
      </c>
    </row>
    <row r="261" customFormat="false" ht="15" hidden="false" customHeight="false" outlineLevel="0" collapsed="false">
      <c r="A261" s="50" t="n">
        <f aca="false">'Project Plan'!A264</f>
        <v>260</v>
      </c>
      <c r="B261" s="50" t="str">
        <f aca="false">'Project Plan'!E264</f>
        <v>Workflows (BPMN) and rules (DMN) configuration</v>
      </c>
      <c r="C261" s="50" t="n">
        <f aca="false">'Project Plan'!C264</f>
        <v>3</v>
      </c>
      <c r="D261" s="50" t="str">
        <f aca="false">'Project Plan'!J264&amp;"d"</f>
        <v>40d</v>
      </c>
      <c r="E261" s="54" t="n">
        <f aca="false">'Project Plan'!K264</f>
        <v>46506</v>
      </c>
      <c r="F261" s="54" t="n">
        <f aca="false">'Project Plan'!L264</f>
        <v>46561</v>
      </c>
      <c r="G261" s="50" t="str">
        <f aca="false">'Project Plan'!M264&amp;""</f>
        <v>257</v>
      </c>
      <c r="H261" s="50" t="str">
        <f aca="false">'Project Plan'!H264&amp;""</f>
        <v>BE</v>
      </c>
      <c r="I261" s="50" t="str">
        <f aca="false">IF('Project Plan'!C264=3,ROUND('Project Plan'!Z264*Assumptions!$C$6,0)&amp;"h","")</f>
        <v>156h</v>
      </c>
    </row>
    <row r="262" customFormat="false" ht="15" hidden="false" customHeight="false" outlineLevel="0" collapsed="false">
      <c r="A262" s="50" t="n">
        <f aca="false">'Project Plan'!A265</f>
        <v>261</v>
      </c>
      <c r="B262" s="50" t="str">
        <f aca="false">'Project Plan'!E265</f>
        <v>Staff console screens</v>
      </c>
      <c r="C262" s="50" t="n">
        <f aca="false">'Project Plan'!C265</f>
        <v>3</v>
      </c>
      <c r="D262" s="50" t="str">
        <f aca="false">'Project Plan'!J265&amp;"d"</f>
        <v>53d</v>
      </c>
      <c r="E262" s="54" t="n">
        <f aca="false">'Project Plan'!K265</f>
        <v>46497</v>
      </c>
      <c r="F262" s="54" t="n">
        <f aca="false">'Project Plan'!L265</f>
        <v>46569</v>
      </c>
      <c r="G262" s="50" t="str">
        <f aca="false">'Project Plan'!M265&amp;""</f>
        <v>258</v>
      </c>
      <c r="H262" s="50" t="str">
        <f aca="false">'Project Plan'!H265&amp;""</f>
        <v>FE</v>
      </c>
      <c r="I262" s="50" t="str">
        <f aca="false">IF('Project Plan'!C265=3,ROUND('Project Plan'!Z265*Assumptions!$C$6,0)&amp;"h","")</f>
        <v>267h</v>
      </c>
    </row>
    <row r="263" customFormat="false" ht="15" hidden="false" customHeight="false" outlineLevel="0" collapsed="false">
      <c r="A263" s="50" t="n">
        <f aca="false">'Project Plan'!A266</f>
        <v>262</v>
      </c>
      <c r="B263" s="50" t="str">
        <f aca="false">'Project Plan'!E266</f>
        <v>Citizen portal and app services</v>
      </c>
      <c r="C263" s="50" t="n">
        <f aca="false">'Project Plan'!C266</f>
        <v>3</v>
      </c>
      <c r="D263" s="50" t="str">
        <f aca="false">'Project Plan'!J266&amp;"d"</f>
        <v>40d</v>
      </c>
      <c r="E263" s="54" t="n">
        <f aca="false">'Project Plan'!K266</f>
        <v>46514</v>
      </c>
      <c r="F263" s="54" t="n">
        <f aca="false">'Project Plan'!L266</f>
        <v>46569</v>
      </c>
      <c r="G263" s="50" t="str">
        <f aca="false">'Project Plan'!M266&amp;""</f>
        <v>258</v>
      </c>
      <c r="H263" s="50" t="str">
        <f aca="false">'Project Plan'!H266&amp;""</f>
        <v>FE</v>
      </c>
      <c r="I263" s="50" t="str">
        <f aca="false">IF('Project Plan'!C266=3,ROUND('Project Plan'!Z266*Assumptions!$C$6,0)&amp;"h","")</f>
        <v>193h</v>
      </c>
    </row>
    <row r="264" customFormat="false" ht="15" hidden="false" customHeight="false" outlineLevel="0" collapsed="false">
      <c r="A264" s="50" t="n">
        <f aca="false">'Project Plan'!A267</f>
        <v>263</v>
      </c>
      <c r="B264" s="50" t="str">
        <f aca="false">'Project Plan'!E267</f>
        <v>Field app tasks (offline)</v>
      </c>
      <c r="C264" s="50" t="n">
        <f aca="false">'Project Plan'!C267</f>
        <v>3</v>
      </c>
      <c r="D264" s="50" t="str">
        <f aca="false">'Project Plan'!J267&amp;"d"</f>
        <v>40d</v>
      </c>
      <c r="E264" s="54" t="n">
        <f aca="false">'Project Plan'!K267</f>
        <v>46514</v>
      </c>
      <c r="F264" s="54" t="n">
        <f aca="false">'Project Plan'!L267</f>
        <v>46569</v>
      </c>
      <c r="G264" s="50" t="str">
        <f aca="false">'Project Plan'!M267&amp;""</f>
        <v>258</v>
      </c>
      <c r="H264" s="50" t="str">
        <f aca="false">'Project Plan'!H267&amp;""</f>
        <v>MOB</v>
      </c>
      <c r="I264" s="50" t="str">
        <f aca="false">IF('Project Plan'!C267=3,ROUND('Project Plan'!Z267*Assumptions!$C$6,0)&amp;"h","")</f>
        <v>129h</v>
      </c>
    </row>
    <row r="265" customFormat="false" ht="15" hidden="false" customHeight="false" outlineLevel="0" collapsed="false">
      <c r="A265" s="50" t="n">
        <f aca="false">'Project Plan'!A268</f>
        <v>264</v>
      </c>
      <c r="B265" s="50" t="str">
        <f aca="false">'Project Plan'!E268</f>
        <v>GIS layers, map views and spatial checks</v>
      </c>
      <c r="C265" s="50" t="n">
        <f aca="false">'Project Plan'!C268</f>
        <v>3</v>
      </c>
      <c r="D265" s="50" t="str">
        <f aca="false">'Project Plan'!J268&amp;"d"</f>
        <v>46d</v>
      </c>
      <c r="E265" s="54" t="n">
        <f aca="false">'Project Plan'!K268</f>
        <v>46497</v>
      </c>
      <c r="F265" s="54" t="n">
        <f aca="false">'Project Plan'!L268</f>
        <v>46560</v>
      </c>
      <c r="G265" s="50" t="str">
        <f aca="false">'Project Plan'!M268&amp;""</f>
        <v>257</v>
      </c>
      <c r="H265" s="50" t="str">
        <f aca="false">'Project Plan'!H268&amp;""</f>
        <v>GIS</v>
      </c>
      <c r="I265" s="50" t="str">
        <f aca="false">IF('Project Plan'!C268=3,ROUND('Project Plan'!Z268*Assumptions!$C$6,0)&amp;"h","")</f>
        <v>110h</v>
      </c>
    </row>
    <row r="266" customFormat="false" ht="15" hidden="false" customHeight="false" outlineLevel="0" collapsed="false">
      <c r="A266" s="50" t="n">
        <f aca="false">'Project Plan'!A269</f>
        <v>265</v>
      </c>
      <c r="B266" s="50" t="str">
        <f aca="false">'Project Plan'!E269</f>
        <v>Module interfaces (11 I-xx links): events and APIs</v>
      </c>
      <c r="C266" s="50" t="n">
        <f aca="false">'Project Plan'!C269</f>
        <v>3</v>
      </c>
      <c r="D266" s="50" t="str">
        <f aca="false">'Project Plan'!J269&amp;"d"</f>
        <v>37d</v>
      </c>
      <c r="E266" s="54" t="n">
        <f aca="false">'Project Plan'!K269</f>
        <v>46525</v>
      </c>
      <c r="F266" s="54" t="n">
        <f aca="false">'Project Plan'!L269</f>
        <v>46575</v>
      </c>
      <c r="G266" s="50" t="str">
        <f aca="false">'Project Plan'!M269&amp;""</f>
        <v>259</v>
      </c>
      <c r="H266" s="50" t="str">
        <f aca="false">'Project Plan'!H269&amp;""</f>
        <v>BE</v>
      </c>
      <c r="I266" s="50" t="str">
        <f aca="false">IF('Project Plan'!C269=3,ROUND('Project Plan'!Z269*Assumptions!$C$6,0)&amp;"h","")</f>
        <v>147h</v>
      </c>
    </row>
    <row r="267" customFormat="false" ht="15" hidden="false" customHeight="false" outlineLevel="0" collapsed="false">
      <c r="A267" s="50" t="n">
        <f aca="false">'Project Plan'!A270</f>
        <v>266</v>
      </c>
      <c r="B267" s="50" t="str">
        <f aca="false">'Project Plan'!E270</f>
        <v>External system adapters (3)</v>
      </c>
      <c r="C267" s="50" t="n">
        <f aca="false">'Project Plan'!C270</f>
        <v>3</v>
      </c>
      <c r="D267" s="50" t="str">
        <f aca="false">'Project Plan'!J270&amp;"d"</f>
        <v>44d</v>
      </c>
      <c r="E267" s="54" t="n">
        <f aca="false">'Project Plan'!K270</f>
        <v>46514</v>
      </c>
      <c r="F267" s="54" t="n">
        <f aca="false">'Project Plan'!L270</f>
        <v>46575</v>
      </c>
      <c r="G267" s="50" t="str">
        <f aca="false">'Project Plan'!M270&amp;""</f>
        <v>257</v>
      </c>
      <c r="H267" s="50" t="str">
        <f aca="false">'Project Plan'!H270&amp;""</f>
        <v>BE</v>
      </c>
      <c r="I267" s="50" t="str">
        <f aca="false">IF('Project Plan'!C270=3,ROUND('Project Plan'!Z270*Assumptions!$C$6,0)&amp;"h","")</f>
        <v>166h</v>
      </c>
    </row>
    <row r="268" customFormat="false" ht="15" hidden="false" customHeight="false" outlineLevel="0" collapsed="false">
      <c r="A268" s="50" t="n">
        <f aca="false">'Project Plan'!A271</f>
        <v>267</v>
      </c>
      <c r="B268" s="50" t="str">
        <f aca="false">'Project Plan'!E271</f>
        <v>Reports, dashboards, notices and templates (all active languages)</v>
      </c>
      <c r="C268" s="50" t="n">
        <f aca="false">'Project Plan'!C271</f>
        <v>3</v>
      </c>
      <c r="D268" s="50" t="str">
        <f aca="false">'Project Plan'!J271&amp;"d"</f>
        <v>26d</v>
      </c>
      <c r="E268" s="54" t="n">
        <f aca="false">'Project Plan'!K271</f>
        <v>46542</v>
      </c>
      <c r="F268" s="54" t="n">
        <f aca="false">'Project Plan'!L271</f>
        <v>46577</v>
      </c>
      <c r="G268" s="50" t="str">
        <f aca="false">'Project Plan'!M271&amp;""</f>
        <v>259</v>
      </c>
      <c r="H268" s="50" t="str">
        <f aca="false">'Project Plan'!H271&amp;""</f>
        <v>BE</v>
      </c>
      <c r="I268" s="50" t="str">
        <f aca="false">IF('Project Plan'!C271=3,ROUND('Project Plan'!Z271*Assumptions!$C$6,0)&amp;"h","")</f>
        <v>110h</v>
      </c>
    </row>
    <row r="269" customFormat="false" ht="15" hidden="false" customHeight="false" outlineLevel="0" collapsed="false">
      <c r="A269" s="50" t="n">
        <f aca="false">'Project Plan'!A272</f>
        <v>268</v>
      </c>
      <c r="B269" s="50" t="str">
        <f aca="false">'Project Plan'!E272</f>
        <v>Data migration: layouts and LRS records</v>
      </c>
      <c r="C269" s="50" t="n">
        <f aca="false">'Project Plan'!C272</f>
        <v>3</v>
      </c>
      <c r="D269" s="50" t="str">
        <f aca="false">'Project Plan'!J272&amp;"d"</f>
        <v>59d</v>
      </c>
      <c r="E269" s="54" t="n">
        <f aca="false">'Project Plan'!K272</f>
        <v>46506</v>
      </c>
      <c r="F269" s="54" t="n">
        <f aca="false">'Project Plan'!L272</f>
        <v>46588</v>
      </c>
      <c r="G269" s="50" t="str">
        <f aca="false">'Project Plan'!M272&amp;""</f>
        <v>257</v>
      </c>
      <c r="H269" s="50" t="str">
        <f aca="false">'Project Plan'!H272&amp;""</f>
        <v>DATA</v>
      </c>
      <c r="I269" s="50" t="str">
        <f aca="false">IF('Project Plan'!C272=3,ROUND('Project Plan'!Z272*Assumptions!$C$6,0)&amp;"h","")</f>
        <v>147h</v>
      </c>
    </row>
    <row r="270" customFormat="false" ht="15" hidden="false" customHeight="false" outlineLevel="0" collapsed="false">
      <c r="A270" s="50" t="n">
        <f aca="false">'Project Plan'!A273</f>
        <v>269</v>
      </c>
      <c r="B270" s="50" t="str">
        <f aca="false">'Project Plan'!E273</f>
        <v>System integration testing</v>
      </c>
      <c r="C270" s="50" t="n">
        <f aca="false">'Project Plan'!C273</f>
        <v>3</v>
      </c>
      <c r="D270" s="50" t="str">
        <f aca="false">'Project Plan'!J273&amp;"d"</f>
        <v>21d</v>
      </c>
      <c r="E270" s="54" t="n">
        <f aca="false">'Project Plan'!K273</f>
        <v>46566</v>
      </c>
      <c r="F270" s="54" t="n">
        <f aca="false">'Project Plan'!L273</f>
        <v>46594</v>
      </c>
      <c r="G270" s="50" t="str">
        <f aca="false">'Project Plan'!M273&amp;""</f>
        <v>259,261</v>
      </c>
      <c r="H270" s="50" t="str">
        <f aca="false">'Project Plan'!H273&amp;""</f>
        <v>QA</v>
      </c>
      <c r="I270" s="50" t="str">
        <f aca="false">IF('Project Plan'!C273=3,ROUND('Project Plan'!Z273*Assumptions!$C$6,0)&amp;"h","")</f>
        <v>221h</v>
      </c>
    </row>
    <row r="271" customFormat="false" ht="15" hidden="false" customHeight="false" outlineLevel="0" collapsed="false">
      <c r="A271" s="50" t="n">
        <f aca="false">'Project Plan'!A274</f>
        <v>270</v>
      </c>
      <c r="B271" s="50" t="str">
        <f aca="false">'Project Plan'!E274</f>
        <v>Defect fixing and regression</v>
      </c>
      <c r="C271" s="50" t="n">
        <f aca="false">'Project Plan'!C274</f>
        <v>3</v>
      </c>
      <c r="D271" s="50" t="str">
        <f aca="false">'Project Plan'!J274&amp;"d"</f>
        <v>26d</v>
      </c>
      <c r="E271" s="54" t="n">
        <f aca="false">'Project Plan'!K274</f>
        <v>46570</v>
      </c>
      <c r="F271" s="54" t="n">
        <f aca="false">'Project Plan'!L274</f>
        <v>46605</v>
      </c>
      <c r="G271" s="50" t="str">
        <f aca="false">'Project Plan'!M274&amp;""</f>
        <v>269</v>
      </c>
      <c r="H271" s="50" t="str">
        <f aca="false">'Project Plan'!H274&amp;""</f>
        <v>BE</v>
      </c>
      <c r="I271" s="50" t="str">
        <f aca="false">IF('Project Plan'!C274=3,ROUND('Project Plan'!Z274*Assumptions!$C$6,0)&amp;"h","")</f>
        <v>184h</v>
      </c>
    </row>
    <row r="272" customFormat="false" ht="15" hidden="false" customHeight="false" outlineLevel="0" collapsed="false">
      <c r="A272" s="50" t="n">
        <f aca="false">'Project Plan'!A275</f>
        <v>271</v>
      </c>
      <c r="B272" s="50" t="str">
        <f aca="false">'Project Plan'!E275</f>
        <v>UAT support with GWMC department</v>
      </c>
      <c r="C272" s="50" t="n">
        <f aca="false">'Project Plan'!C275</f>
        <v>3</v>
      </c>
      <c r="D272" s="50" t="str">
        <f aca="false">'Project Plan'!J275&amp;"d"</f>
        <v>13d</v>
      </c>
      <c r="E272" s="54" t="n">
        <f aca="false">'Project Plan'!K275</f>
        <v>46595</v>
      </c>
      <c r="F272" s="54" t="n">
        <f aca="false">'Project Plan'!L275</f>
        <v>46611</v>
      </c>
      <c r="G272" s="50" t="str">
        <f aca="false">'Project Plan'!M275&amp;""</f>
        <v>269</v>
      </c>
      <c r="H272" s="50" t="str">
        <f aca="false">'Project Plan'!H275&amp;""</f>
        <v>BA</v>
      </c>
      <c r="I272" s="50" t="str">
        <f aca="false">IF('Project Plan'!C275=3,ROUND('Project Plan'!Z275*Assumptions!$C$6,0)&amp;"h","")</f>
        <v>110h</v>
      </c>
    </row>
    <row r="273" customFormat="false" ht="15" hidden="false" customHeight="false" outlineLevel="0" collapsed="false">
      <c r="A273" s="50" t="n">
        <f aca="false">'Project Plan'!A276</f>
        <v>272</v>
      </c>
      <c r="B273" s="50" t="str">
        <f aca="false">'Project Plan'!E276</f>
        <v>Training material and department training</v>
      </c>
      <c r="C273" s="50" t="n">
        <f aca="false">'Project Plan'!C276</f>
        <v>3</v>
      </c>
      <c r="D273" s="50" t="str">
        <f aca="false">'Project Plan'!J276&amp;"d"</f>
        <v>13d</v>
      </c>
      <c r="E273" s="54" t="n">
        <f aca="false">'Project Plan'!K276</f>
        <v>46598</v>
      </c>
      <c r="F273" s="54" t="n">
        <f aca="false">'Project Plan'!L276</f>
        <v>46616</v>
      </c>
      <c r="G273" s="50" t="str">
        <f aca="false">'Project Plan'!M276&amp;""</f>
        <v>271</v>
      </c>
      <c r="H273" s="50" t="str">
        <f aca="false">'Project Plan'!H276&amp;""</f>
        <v>TRN</v>
      </c>
      <c r="I273" s="50" t="str">
        <f aca="false">IF('Project Plan'!C276=3,ROUND('Project Plan'!Z276*Assumptions!$C$6,0)&amp;"h","")</f>
        <v>83h</v>
      </c>
    </row>
    <row r="274" customFormat="false" ht="15" hidden="false" customHeight="false" outlineLevel="0" collapsed="false">
      <c r="A274" s="50" t="n">
        <f aca="false">'Project Plan'!A277</f>
        <v>273</v>
      </c>
      <c r="B274" s="50" t="str">
        <f aca="false">'Project Plan'!E277</f>
        <v>Module 18: Fire NOC Management</v>
      </c>
      <c r="C274" s="50" t="n">
        <f aca="false">'Project Plan'!C277</f>
        <v>2</v>
      </c>
      <c r="D274" s="50" t="str">
        <f aca="false">'Project Plan'!J277&amp;"d"</f>
        <v>119d</v>
      </c>
      <c r="E274" s="54" t="n">
        <f aca="false">'Project Plan'!K277</f>
        <v>46450</v>
      </c>
      <c r="F274" s="54" t="n">
        <f aca="false">'Project Plan'!L277</f>
        <v>46616</v>
      </c>
      <c r="G274" s="50" t="str">
        <f aca="false">'Project Plan'!M277&amp;""</f>
        <v/>
      </c>
      <c r="H274" s="50" t="str">
        <f aca="false">'Project Plan'!H277&amp;""</f>
        <v/>
      </c>
      <c r="I274" s="50" t="str">
        <f aca="false">IF('Project Plan'!C277=3,ROUND('Project Plan'!Z277*Assumptions!$C$6,0)&amp;"h","")</f>
        <v/>
      </c>
    </row>
    <row r="275" customFormat="false" ht="15" hidden="false" customHeight="false" outlineLevel="0" collapsed="false">
      <c r="A275" s="50" t="n">
        <f aca="false">'Project Plan'!A278</f>
        <v>274</v>
      </c>
      <c r="B275" s="50" t="str">
        <f aca="false">'Project Plan'!E278</f>
        <v>Process validation workshops and to-be sign-off</v>
      </c>
      <c r="C275" s="50" t="n">
        <f aca="false">'Project Plan'!C278</f>
        <v>3</v>
      </c>
      <c r="D275" s="50" t="str">
        <f aca="false">'Project Plan'!J278&amp;"d"</f>
        <v>16d</v>
      </c>
      <c r="E275" s="54" t="n">
        <f aca="false">'Project Plan'!K278</f>
        <v>46450</v>
      </c>
      <c r="F275" s="54" t="n">
        <f aca="false">'Project Plan'!L278</f>
        <v>46471</v>
      </c>
      <c r="G275" s="50" t="str">
        <f aca="false">'Project Plan'!M278&amp;""</f>
        <v>196</v>
      </c>
      <c r="H275" s="50" t="str">
        <f aca="false">'Project Plan'!H278&amp;""</f>
        <v>BA</v>
      </c>
      <c r="I275" s="50" t="str">
        <f aca="false">IF('Project Plan'!C278=3,ROUND('Project Plan'!Z278*Assumptions!$C$6,0)&amp;"h","")</f>
        <v>92h</v>
      </c>
    </row>
    <row r="276" customFormat="false" ht="15" hidden="false" customHeight="false" outlineLevel="0" collapsed="false">
      <c r="A276" s="50" t="n">
        <f aca="false">'Project Plan'!A279</f>
        <v>275</v>
      </c>
      <c r="B276" s="50" t="str">
        <f aca="false">'Project Plan'!E279</f>
        <v>LLD, data model and API/event contracts</v>
      </c>
      <c r="C276" s="50" t="n">
        <f aca="false">'Project Plan'!C279</f>
        <v>3</v>
      </c>
      <c r="D276" s="50" t="str">
        <f aca="false">'Project Plan'!J279&amp;"d"</f>
        <v>16d</v>
      </c>
      <c r="E276" s="54" t="n">
        <f aca="false">'Project Plan'!K279</f>
        <v>46465</v>
      </c>
      <c r="F276" s="54" t="n">
        <f aca="false">'Project Plan'!L279</f>
        <v>46486</v>
      </c>
      <c r="G276" s="50" t="str">
        <f aca="false">'Project Plan'!M279&amp;""</f>
        <v>274</v>
      </c>
      <c r="H276" s="50" t="str">
        <f aca="false">'Project Plan'!H279&amp;""</f>
        <v>ARC</v>
      </c>
      <c r="I276" s="50" t="str">
        <f aca="false">IF('Project Plan'!C279=3,ROUND('Project Plan'!Z279*Assumptions!$C$6,0)&amp;"h","")</f>
        <v>74h</v>
      </c>
    </row>
    <row r="277" customFormat="false" ht="15" hidden="false" customHeight="false" outlineLevel="0" collapsed="false">
      <c r="A277" s="50" t="n">
        <f aca="false">'Project Plan'!A280</f>
        <v>276</v>
      </c>
      <c r="B277" s="50" t="str">
        <f aca="false">'Project Plan'!E280</f>
        <v>UX wireframes and UI design</v>
      </c>
      <c r="C277" s="50" t="n">
        <f aca="false">'Project Plan'!C280</f>
        <v>3</v>
      </c>
      <c r="D277" s="50" t="str">
        <f aca="false">'Project Plan'!J280&amp;"d"</f>
        <v>16d</v>
      </c>
      <c r="E277" s="54" t="n">
        <f aca="false">'Project Plan'!K280</f>
        <v>46465</v>
      </c>
      <c r="F277" s="54" t="n">
        <f aca="false">'Project Plan'!L280</f>
        <v>46486</v>
      </c>
      <c r="G277" s="50" t="str">
        <f aca="false">'Project Plan'!M280&amp;""</f>
        <v>274</v>
      </c>
      <c r="H277" s="50" t="str">
        <f aca="false">'Project Plan'!H280&amp;""</f>
        <v>FE</v>
      </c>
      <c r="I277" s="50" t="str">
        <f aca="false">IF('Project Plan'!C280=3,ROUND('Project Plan'!Z280*Assumptions!$C$6,0)&amp;"h","")</f>
        <v>64h</v>
      </c>
    </row>
    <row r="278" customFormat="false" ht="15" hidden="false" customHeight="false" outlineLevel="0" collapsed="false">
      <c r="A278" s="50" t="n">
        <f aca="false">'Project Plan'!A281</f>
        <v>277</v>
      </c>
      <c r="B278" s="50" t="str">
        <f aca="false">'Project Plan'!E281</f>
        <v>Database schema, domain logic and APIs</v>
      </c>
      <c r="C278" s="50" t="n">
        <f aca="false">'Project Plan'!C281</f>
        <v>3</v>
      </c>
      <c r="D278" s="50" t="str">
        <f aca="false">'Project Plan'!J281&amp;"d"</f>
        <v>55d</v>
      </c>
      <c r="E278" s="54" t="n">
        <f aca="false">'Project Plan'!K281</f>
        <v>46484</v>
      </c>
      <c r="F278" s="54" t="n">
        <f aca="false">'Project Plan'!L281</f>
        <v>46560</v>
      </c>
      <c r="G278" s="50" t="str">
        <f aca="false">'Project Plan'!M281&amp;""</f>
        <v>275</v>
      </c>
      <c r="H278" s="50" t="str">
        <f aca="false">'Project Plan'!H281&amp;""</f>
        <v>BE</v>
      </c>
      <c r="I278" s="50" t="str">
        <f aca="false">IF('Project Plan'!C281=3,ROUND('Project Plan'!Z281*Assumptions!$C$6,0)&amp;"h","")</f>
        <v>239h</v>
      </c>
    </row>
    <row r="279" customFormat="false" ht="15" hidden="false" customHeight="false" outlineLevel="0" collapsed="false">
      <c r="A279" s="50" t="n">
        <f aca="false">'Project Plan'!A282</f>
        <v>278</v>
      </c>
      <c r="B279" s="50" t="str">
        <f aca="false">'Project Plan'!E282</f>
        <v>Workflows (BPMN) and rules (DMN) configuration</v>
      </c>
      <c r="C279" s="50" t="n">
        <f aca="false">'Project Plan'!C282</f>
        <v>3</v>
      </c>
      <c r="D279" s="50" t="str">
        <f aca="false">'Project Plan'!J282&amp;"d"</f>
        <v>40d</v>
      </c>
      <c r="E279" s="54" t="n">
        <f aca="false">'Project Plan'!K282</f>
        <v>46506</v>
      </c>
      <c r="F279" s="54" t="n">
        <f aca="false">'Project Plan'!L282</f>
        <v>46561</v>
      </c>
      <c r="G279" s="50" t="str">
        <f aca="false">'Project Plan'!M282&amp;""</f>
        <v>275</v>
      </c>
      <c r="H279" s="50" t="str">
        <f aca="false">'Project Plan'!H282&amp;""</f>
        <v>BE</v>
      </c>
      <c r="I279" s="50" t="str">
        <f aca="false">IF('Project Plan'!C282=3,ROUND('Project Plan'!Z282*Assumptions!$C$6,0)&amp;"h","")</f>
        <v>120h</v>
      </c>
    </row>
    <row r="280" customFormat="false" ht="15" hidden="false" customHeight="false" outlineLevel="0" collapsed="false">
      <c r="A280" s="50" t="n">
        <f aca="false">'Project Plan'!A283</f>
        <v>279</v>
      </c>
      <c r="B280" s="50" t="str">
        <f aca="false">'Project Plan'!E283</f>
        <v>Staff console screens</v>
      </c>
      <c r="C280" s="50" t="n">
        <f aca="false">'Project Plan'!C283</f>
        <v>3</v>
      </c>
      <c r="D280" s="50" t="str">
        <f aca="false">'Project Plan'!J283&amp;"d"</f>
        <v>53d</v>
      </c>
      <c r="E280" s="54" t="n">
        <f aca="false">'Project Plan'!K283</f>
        <v>46497</v>
      </c>
      <c r="F280" s="54" t="n">
        <f aca="false">'Project Plan'!L283</f>
        <v>46569</v>
      </c>
      <c r="G280" s="50" t="str">
        <f aca="false">'Project Plan'!M283&amp;""</f>
        <v>276</v>
      </c>
      <c r="H280" s="50" t="str">
        <f aca="false">'Project Plan'!H283&amp;""</f>
        <v>FE</v>
      </c>
      <c r="I280" s="50" t="str">
        <f aca="false">IF('Project Plan'!C283=3,ROUND('Project Plan'!Z283*Assumptions!$C$6,0)&amp;"h","")</f>
        <v>202h</v>
      </c>
    </row>
    <row r="281" customFormat="false" ht="15" hidden="false" customHeight="false" outlineLevel="0" collapsed="false">
      <c r="A281" s="50" t="n">
        <f aca="false">'Project Plan'!A284</f>
        <v>280</v>
      </c>
      <c r="B281" s="50" t="str">
        <f aca="false">'Project Plan'!E284</f>
        <v>Citizen portal and app services</v>
      </c>
      <c r="C281" s="50" t="n">
        <f aca="false">'Project Plan'!C284</f>
        <v>3</v>
      </c>
      <c r="D281" s="50" t="str">
        <f aca="false">'Project Plan'!J284&amp;"d"</f>
        <v>40d</v>
      </c>
      <c r="E281" s="54" t="n">
        <f aca="false">'Project Plan'!K284</f>
        <v>46514</v>
      </c>
      <c r="F281" s="54" t="n">
        <f aca="false">'Project Plan'!L284</f>
        <v>46569</v>
      </c>
      <c r="G281" s="50" t="str">
        <f aca="false">'Project Plan'!M284&amp;""</f>
        <v>276</v>
      </c>
      <c r="H281" s="50" t="str">
        <f aca="false">'Project Plan'!H284&amp;""</f>
        <v>FE</v>
      </c>
      <c r="I281" s="50" t="str">
        <f aca="false">IF('Project Plan'!C284=3,ROUND('Project Plan'!Z284*Assumptions!$C$6,0)&amp;"h","")</f>
        <v>138h</v>
      </c>
    </row>
    <row r="282" customFormat="false" ht="15" hidden="false" customHeight="false" outlineLevel="0" collapsed="false">
      <c r="A282" s="50" t="n">
        <f aca="false">'Project Plan'!A285</f>
        <v>281</v>
      </c>
      <c r="B282" s="50" t="str">
        <f aca="false">'Project Plan'!E285</f>
        <v>Field app tasks (offline)</v>
      </c>
      <c r="C282" s="50" t="n">
        <f aca="false">'Project Plan'!C285</f>
        <v>3</v>
      </c>
      <c r="D282" s="50" t="str">
        <f aca="false">'Project Plan'!J285&amp;"d"</f>
        <v>40d</v>
      </c>
      <c r="E282" s="54" t="n">
        <f aca="false">'Project Plan'!K285</f>
        <v>46514</v>
      </c>
      <c r="F282" s="54" t="n">
        <f aca="false">'Project Plan'!L285</f>
        <v>46569</v>
      </c>
      <c r="G282" s="50" t="str">
        <f aca="false">'Project Plan'!M285&amp;""</f>
        <v>276</v>
      </c>
      <c r="H282" s="50" t="str">
        <f aca="false">'Project Plan'!H285&amp;""</f>
        <v>MOB</v>
      </c>
      <c r="I282" s="50" t="str">
        <f aca="false">IF('Project Plan'!C285=3,ROUND('Project Plan'!Z285*Assumptions!$C$6,0)&amp;"h","")</f>
        <v>92h</v>
      </c>
    </row>
    <row r="283" customFormat="false" ht="15" hidden="false" customHeight="false" outlineLevel="0" collapsed="false">
      <c r="A283" s="50" t="n">
        <f aca="false">'Project Plan'!A286</f>
        <v>282</v>
      </c>
      <c r="B283" s="50" t="str">
        <f aca="false">'Project Plan'!E286</f>
        <v>GIS layers, map views and spatial checks</v>
      </c>
      <c r="C283" s="50" t="n">
        <f aca="false">'Project Plan'!C286</f>
        <v>3</v>
      </c>
      <c r="D283" s="50" t="str">
        <f aca="false">'Project Plan'!J286&amp;"d"</f>
        <v>46d</v>
      </c>
      <c r="E283" s="54" t="n">
        <f aca="false">'Project Plan'!K286</f>
        <v>46497</v>
      </c>
      <c r="F283" s="54" t="n">
        <f aca="false">'Project Plan'!L286</f>
        <v>46560</v>
      </c>
      <c r="G283" s="50" t="str">
        <f aca="false">'Project Plan'!M286&amp;""</f>
        <v>275</v>
      </c>
      <c r="H283" s="50" t="str">
        <f aca="false">'Project Plan'!H286&amp;""</f>
        <v>GIS</v>
      </c>
      <c r="I283" s="50" t="str">
        <f aca="false">IF('Project Plan'!C286=3,ROUND('Project Plan'!Z286*Assumptions!$C$6,0)&amp;"h","")</f>
        <v>83h</v>
      </c>
    </row>
    <row r="284" customFormat="false" ht="15" hidden="false" customHeight="false" outlineLevel="0" collapsed="false">
      <c r="A284" s="50" t="n">
        <f aca="false">'Project Plan'!A287</f>
        <v>283</v>
      </c>
      <c r="B284" s="50" t="str">
        <f aca="false">'Project Plan'!E287</f>
        <v>Module interfaces (11 I-xx links): events and APIs</v>
      </c>
      <c r="C284" s="50" t="n">
        <f aca="false">'Project Plan'!C287</f>
        <v>3</v>
      </c>
      <c r="D284" s="50" t="str">
        <f aca="false">'Project Plan'!J287&amp;"d"</f>
        <v>37d</v>
      </c>
      <c r="E284" s="54" t="n">
        <f aca="false">'Project Plan'!K287</f>
        <v>46525</v>
      </c>
      <c r="F284" s="54" t="n">
        <f aca="false">'Project Plan'!L287</f>
        <v>46575</v>
      </c>
      <c r="G284" s="50" t="str">
        <f aca="false">'Project Plan'!M287&amp;""</f>
        <v>277</v>
      </c>
      <c r="H284" s="50" t="str">
        <f aca="false">'Project Plan'!H287&amp;""</f>
        <v>BE</v>
      </c>
      <c r="I284" s="50" t="str">
        <f aca="false">IF('Project Plan'!C287=3,ROUND('Project Plan'!Z287*Assumptions!$C$6,0)&amp;"h","")</f>
        <v>147h</v>
      </c>
    </row>
    <row r="285" customFormat="false" ht="15" hidden="false" customHeight="false" outlineLevel="0" collapsed="false">
      <c r="A285" s="50" t="n">
        <f aca="false">'Project Plan'!A288</f>
        <v>284</v>
      </c>
      <c r="B285" s="50" t="str">
        <f aca="false">'Project Plan'!E288</f>
        <v>External system adapters (3)</v>
      </c>
      <c r="C285" s="50" t="n">
        <f aca="false">'Project Plan'!C288</f>
        <v>3</v>
      </c>
      <c r="D285" s="50" t="str">
        <f aca="false">'Project Plan'!J288&amp;"d"</f>
        <v>44d</v>
      </c>
      <c r="E285" s="54" t="n">
        <f aca="false">'Project Plan'!K288</f>
        <v>46514</v>
      </c>
      <c r="F285" s="54" t="n">
        <f aca="false">'Project Plan'!L288</f>
        <v>46575</v>
      </c>
      <c r="G285" s="50" t="str">
        <f aca="false">'Project Plan'!M288&amp;""</f>
        <v>275</v>
      </c>
      <c r="H285" s="50" t="str">
        <f aca="false">'Project Plan'!H288&amp;""</f>
        <v>BE</v>
      </c>
      <c r="I285" s="50" t="str">
        <f aca="false">IF('Project Plan'!C288=3,ROUND('Project Plan'!Z288*Assumptions!$C$6,0)&amp;"h","")</f>
        <v>166h</v>
      </c>
    </row>
    <row r="286" customFormat="false" ht="15" hidden="false" customHeight="false" outlineLevel="0" collapsed="false">
      <c r="A286" s="50" t="n">
        <f aca="false">'Project Plan'!A289</f>
        <v>285</v>
      </c>
      <c r="B286" s="50" t="str">
        <f aca="false">'Project Plan'!E289</f>
        <v>Reports, dashboards, notices and templates (all active languages)</v>
      </c>
      <c r="C286" s="50" t="n">
        <f aca="false">'Project Plan'!C289</f>
        <v>3</v>
      </c>
      <c r="D286" s="50" t="str">
        <f aca="false">'Project Plan'!J289&amp;"d"</f>
        <v>26d</v>
      </c>
      <c r="E286" s="54" t="n">
        <f aca="false">'Project Plan'!K289</f>
        <v>46542</v>
      </c>
      <c r="F286" s="54" t="n">
        <f aca="false">'Project Plan'!L289</f>
        <v>46577</v>
      </c>
      <c r="G286" s="50" t="str">
        <f aca="false">'Project Plan'!M289&amp;""</f>
        <v>277</v>
      </c>
      <c r="H286" s="50" t="str">
        <f aca="false">'Project Plan'!H289&amp;""</f>
        <v>BE</v>
      </c>
      <c r="I286" s="50" t="str">
        <f aca="false">IF('Project Plan'!C289=3,ROUND('Project Plan'!Z289*Assumptions!$C$6,0)&amp;"h","")</f>
        <v>92h</v>
      </c>
    </row>
    <row r="287" customFormat="false" ht="15" hidden="false" customHeight="false" outlineLevel="0" collapsed="false">
      <c r="A287" s="50" t="n">
        <f aca="false">'Project Plan'!A290</f>
        <v>286</v>
      </c>
      <c r="B287" s="50" t="str">
        <f aca="false">'Project Plan'!E290</f>
        <v>System integration testing</v>
      </c>
      <c r="C287" s="50" t="n">
        <f aca="false">'Project Plan'!C290</f>
        <v>3</v>
      </c>
      <c r="D287" s="50" t="str">
        <f aca="false">'Project Plan'!J290&amp;"d"</f>
        <v>21d</v>
      </c>
      <c r="E287" s="54" t="n">
        <f aca="false">'Project Plan'!K290</f>
        <v>46566</v>
      </c>
      <c r="F287" s="54" t="n">
        <f aca="false">'Project Plan'!L290</f>
        <v>46594</v>
      </c>
      <c r="G287" s="50" t="str">
        <f aca="false">'Project Plan'!M290&amp;""</f>
        <v>277,279</v>
      </c>
      <c r="H287" s="50" t="str">
        <f aca="false">'Project Plan'!H290&amp;""</f>
        <v>QA</v>
      </c>
      <c r="I287" s="50" t="str">
        <f aca="false">IF('Project Plan'!C290=3,ROUND('Project Plan'!Z290*Assumptions!$C$6,0)&amp;"h","")</f>
        <v>166h</v>
      </c>
    </row>
    <row r="288" customFormat="false" ht="15" hidden="false" customHeight="false" outlineLevel="0" collapsed="false">
      <c r="A288" s="50" t="n">
        <f aca="false">'Project Plan'!A291</f>
        <v>287</v>
      </c>
      <c r="B288" s="50" t="str">
        <f aca="false">'Project Plan'!E291</f>
        <v>Defect fixing and regression</v>
      </c>
      <c r="C288" s="50" t="n">
        <f aca="false">'Project Plan'!C291</f>
        <v>3</v>
      </c>
      <c r="D288" s="50" t="str">
        <f aca="false">'Project Plan'!J291&amp;"d"</f>
        <v>26d</v>
      </c>
      <c r="E288" s="54" t="n">
        <f aca="false">'Project Plan'!K291</f>
        <v>46570</v>
      </c>
      <c r="F288" s="54" t="n">
        <f aca="false">'Project Plan'!L291</f>
        <v>46605</v>
      </c>
      <c r="G288" s="50" t="str">
        <f aca="false">'Project Plan'!M291&amp;""</f>
        <v>286</v>
      </c>
      <c r="H288" s="50" t="str">
        <f aca="false">'Project Plan'!H291&amp;""</f>
        <v>BE</v>
      </c>
      <c r="I288" s="50" t="str">
        <f aca="false">IF('Project Plan'!C291=3,ROUND('Project Plan'!Z291*Assumptions!$C$6,0)&amp;"h","")</f>
        <v>138h</v>
      </c>
    </row>
    <row r="289" customFormat="false" ht="15" hidden="false" customHeight="false" outlineLevel="0" collapsed="false">
      <c r="A289" s="50" t="n">
        <f aca="false">'Project Plan'!A292</f>
        <v>288</v>
      </c>
      <c r="B289" s="50" t="str">
        <f aca="false">'Project Plan'!E292</f>
        <v>UAT support with GWMC department</v>
      </c>
      <c r="C289" s="50" t="n">
        <f aca="false">'Project Plan'!C292</f>
        <v>3</v>
      </c>
      <c r="D289" s="50" t="str">
        <f aca="false">'Project Plan'!J292&amp;"d"</f>
        <v>13d</v>
      </c>
      <c r="E289" s="54" t="n">
        <f aca="false">'Project Plan'!K292</f>
        <v>46595</v>
      </c>
      <c r="F289" s="54" t="n">
        <f aca="false">'Project Plan'!L292</f>
        <v>46611</v>
      </c>
      <c r="G289" s="50" t="str">
        <f aca="false">'Project Plan'!M292&amp;""</f>
        <v>286</v>
      </c>
      <c r="H289" s="50" t="str">
        <f aca="false">'Project Plan'!H292&amp;""</f>
        <v>BA</v>
      </c>
      <c r="I289" s="50" t="str">
        <f aca="false">IF('Project Plan'!C292=3,ROUND('Project Plan'!Z292*Assumptions!$C$6,0)&amp;"h","")</f>
        <v>74h</v>
      </c>
    </row>
    <row r="290" customFormat="false" ht="15" hidden="false" customHeight="false" outlineLevel="0" collapsed="false">
      <c r="A290" s="50" t="n">
        <f aca="false">'Project Plan'!A293</f>
        <v>289</v>
      </c>
      <c r="B290" s="50" t="str">
        <f aca="false">'Project Plan'!E293</f>
        <v>Training material and department training</v>
      </c>
      <c r="C290" s="50" t="n">
        <f aca="false">'Project Plan'!C293</f>
        <v>3</v>
      </c>
      <c r="D290" s="50" t="str">
        <f aca="false">'Project Plan'!J293&amp;"d"</f>
        <v>13d</v>
      </c>
      <c r="E290" s="54" t="n">
        <f aca="false">'Project Plan'!K293</f>
        <v>46598</v>
      </c>
      <c r="F290" s="54" t="n">
        <f aca="false">'Project Plan'!L293</f>
        <v>46616</v>
      </c>
      <c r="G290" s="50" t="str">
        <f aca="false">'Project Plan'!M293&amp;""</f>
        <v>288</v>
      </c>
      <c r="H290" s="50" t="str">
        <f aca="false">'Project Plan'!H293&amp;""</f>
        <v>TRN</v>
      </c>
      <c r="I290" s="50" t="str">
        <f aca="false">IF('Project Plan'!C293=3,ROUND('Project Plan'!Z293*Assumptions!$C$6,0)&amp;"h","")</f>
        <v>64h</v>
      </c>
    </row>
    <row r="291" customFormat="false" ht="15" hidden="false" customHeight="false" outlineLevel="0" collapsed="false">
      <c r="A291" s="50" t="n">
        <f aca="false">'Project Plan'!A294</f>
        <v>290</v>
      </c>
      <c r="B291" s="50" t="str">
        <f aca="false">'Project Plan'!E294</f>
        <v>Phase 2 release, testing and go-live</v>
      </c>
      <c r="C291" s="50" t="n">
        <f aca="false">'Project Plan'!C294</f>
        <v>2</v>
      </c>
      <c r="D291" s="50" t="str">
        <f aca="false">'Project Plan'!J294&amp;"d"</f>
        <v>27d</v>
      </c>
      <c r="E291" s="54" t="n">
        <f aca="false">'Project Plan'!K294</f>
        <v>46583</v>
      </c>
      <c r="F291" s="54" t="n">
        <f aca="false">'Project Plan'!L294</f>
        <v>46619</v>
      </c>
      <c r="G291" s="50" t="str">
        <f aca="false">'Project Plan'!M294&amp;""</f>
        <v/>
      </c>
      <c r="H291" s="50" t="str">
        <f aca="false">'Project Plan'!H294&amp;""</f>
        <v/>
      </c>
      <c r="I291" s="50" t="str">
        <f aca="false">IF('Project Plan'!C294=3,ROUND('Project Plan'!Z294*Assumptions!$C$6,0)&amp;"h","")</f>
        <v/>
      </c>
    </row>
    <row r="292" customFormat="false" ht="15" hidden="false" customHeight="false" outlineLevel="0" collapsed="false">
      <c r="A292" s="50" t="n">
        <f aca="false">'Project Plan'!A295</f>
        <v>291</v>
      </c>
      <c r="B292" s="50" t="str">
        <f aca="false">'Project Plan'!E295</f>
        <v>End-to-end integration testing (SRS E2E scenarios)</v>
      </c>
      <c r="C292" s="50" t="n">
        <f aca="false">'Project Plan'!C295</f>
        <v>3</v>
      </c>
      <c r="D292" s="50" t="str">
        <f aca="false">'Project Plan'!J295&amp;"d"</f>
        <v>13d</v>
      </c>
      <c r="E292" s="54" t="n">
        <f aca="false">'Project Plan'!K295</f>
        <v>46583</v>
      </c>
      <c r="F292" s="54" t="n">
        <f aca="false">'Project Plan'!L295</f>
        <v>46601</v>
      </c>
      <c r="G292" s="50" t="str">
        <f aca="false">'Project Plan'!M295&amp;""</f>
        <v>215,233,251,269,286</v>
      </c>
      <c r="H292" s="50" t="str">
        <f aca="false">'Project Plan'!H295&amp;""</f>
        <v>QA</v>
      </c>
      <c r="I292" s="50" t="str">
        <f aca="false">IF('Project Plan'!C295=3,ROUND('Project Plan'!Z295*Assumptions!$C$6,0)&amp;"h","")</f>
        <v>276h</v>
      </c>
    </row>
    <row r="293" customFormat="false" ht="15" hidden="false" customHeight="false" outlineLevel="0" collapsed="false">
      <c r="A293" s="50" t="n">
        <f aca="false">'Project Plan'!A296</f>
        <v>292</v>
      </c>
      <c r="B293" s="50" t="str">
        <f aca="false">'Project Plan'!E296</f>
        <v>Performance and load testing (NFR-001/002)</v>
      </c>
      <c r="C293" s="50" t="n">
        <f aca="false">'Project Plan'!C296</f>
        <v>3</v>
      </c>
      <c r="D293" s="50" t="str">
        <f aca="false">'Project Plan'!J296&amp;"d"</f>
        <v>9d</v>
      </c>
      <c r="E293" s="54" t="n">
        <f aca="false">'Project Plan'!K296</f>
        <v>46589</v>
      </c>
      <c r="F293" s="54" t="n">
        <f aca="false">'Project Plan'!L296</f>
        <v>46601</v>
      </c>
      <c r="G293" s="50" t="str">
        <f aca="false">'Project Plan'!M296&amp;""</f>
        <v/>
      </c>
      <c r="H293" s="50" t="str">
        <f aca="false">'Project Plan'!H296&amp;""</f>
        <v>QA</v>
      </c>
      <c r="I293" s="50" t="str">
        <f aca="false">IF('Project Plan'!C296=3,ROUND('Project Plan'!Z296*Assumptions!$C$6,0)&amp;"h","")</f>
        <v>147h</v>
      </c>
    </row>
    <row r="294" customFormat="false" ht="15" hidden="false" customHeight="false" outlineLevel="0" collapsed="false">
      <c r="A294" s="50" t="n">
        <f aca="false">'Project Plan'!A297</f>
        <v>293</v>
      </c>
      <c r="B294" s="50" t="str">
        <f aca="false">'Project Plan'!E297</f>
        <v>Security audit by CERT-In empanelled auditor and fixes</v>
      </c>
      <c r="C294" s="50" t="n">
        <f aca="false">'Project Plan'!C297</f>
        <v>3</v>
      </c>
      <c r="D294" s="50" t="str">
        <f aca="false">'Project Plan'!J297&amp;"d"</f>
        <v>13d</v>
      </c>
      <c r="E294" s="54" t="n">
        <f aca="false">'Project Plan'!K297</f>
        <v>46595</v>
      </c>
      <c r="F294" s="54" t="n">
        <f aca="false">'Project Plan'!L297</f>
        <v>46611</v>
      </c>
      <c r="G294" s="50" t="str">
        <f aca="false">'Project Plan'!M297&amp;""</f>
        <v/>
      </c>
      <c r="H294" s="50" t="str">
        <f aca="false">'Project Plan'!H297&amp;""</f>
        <v>QA</v>
      </c>
      <c r="I294" s="50" t="str">
        <f aca="false">IF('Project Plan'!C297=3,ROUND('Project Plan'!Z297*Assumptions!$C$6,0)&amp;"h","")</f>
        <v>193h</v>
      </c>
    </row>
    <row r="295" customFormat="false" ht="15" hidden="false" customHeight="false" outlineLevel="0" collapsed="false">
      <c r="A295" s="50" t="n">
        <f aca="false">'Project Plan'!A298</f>
        <v>294</v>
      </c>
      <c r="B295" s="50" t="str">
        <f aca="false">'Project Plan'!E298</f>
        <v>Training of trainers and end-user training programme</v>
      </c>
      <c r="C295" s="50" t="n">
        <f aca="false">'Project Plan'!C298</f>
        <v>3</v>
      </c>
      <c r="D295" s="50" t="str">
        <f aca="false">'Project Plan'!J298&amp;"d"</f>
        <v>13d</v>
      </c>
      <c r="E295" s="54" t="n">
        <f aca="false">'Project Plan'!K298</f>
        <v>46602</v>
      </c>
      <c r="F295" s="54" t="n">
        <f aca="false">'Project Plan'!L298</f>
        <v>46618</v>
      </c>
      <c r="G295" s="50" t="str">
        <f aca="false">'Project Plan'!M298&amp;""</f>
        <v/>
      </c>
      <c r="H295" s="50" t="str">
        <f aca="false">'Project Plan'!H298&amp;""</f>
        <v>TRN</v>
      </c>
      <c r="I295" s="50" t="str">
        <f aca="false">IF('Project Plan'!C298=3,ROUND('Project Plan'!Z298*Assumptions!$C$6,0)&amp;"h","")</f>
        <v>184h</v>
      </c>
    </row>
    <row r="296" customFormat="false" ht="15" hidden="false" customHeight="false" outlineLevel="0" collapsed="false">
      <c r="A296" s="50" t="n">
        <f aca="false">'Project Plan'!A299</f>
        <v>295</v>
      </c>
      <c r="B296" s="50" t="str">
        <f aca="false">'Project Plan'!E299</f>
        <v>Migration dress rehearsal and cut-over plan</v>
      </c>
      <c r="C296" s="50" t="n">
        <f aca="false">'Project Plan'!C299</f>
        <v>3</v>
      </c>
      <c r="D296" s="50" t="str">
        <f aca="false">'Project Plan'!J299&amp;"d"</f>
        <v>8d</v>
      </c>
      <c r="E296" s="54" t="n">
        <f aca="false">'Project Plan'!K299</f>
        <v>46605</v>
      </c>
      <c r="F296" s="54" t="n">
        <f aca="false">'Project Plan'!L299</f>
        <v>46616</v>
      </c>
      <c r="G296" s="50" t="str">
        <f aca="false">'Project Plan'!M299&amp;""</f>
        <v/>
      </c>
      <c r="H296" s="50" t="str">
        <f aca="false">'Project Plan'!H299&amp;""</f>
        <v>DATA</v>
      </c>
      <c r="I296" s="50" t="str">
        <f aca="false">IF('Project Plan'!C299=3,ROUND('Project Plan'!Z299*Assumptions!$C$6,0)&amp;"h","")</f>
        <v>120h</v>
      </c>
    </row>
    <row r="297" customFormat="false" ht="15" hidden="false" customHeight="false" outlineLevel="0" collapsed="false">
      <c r="A297" s="50" t="n">
        <f aca="false">'Project Plan'!A300</f>
        <v>296</v>
      </c>
      <c r="B297" s="50" t="str">
        <f aca="false">'Project Plan'!E300</f>
        <v>Production deployment and cut-over</v>
      </c>
      <c r="C297" s="50" t="n">
        <f aca="false">'Project Plan'!C300</f>
        <v>3</v>
      </c>
      <c r="D297" s="50" t="str">
        <f aca="false">'Project Plan'!J300&amp;"d"</f>
        <v>3d</v>
      </c>
      <c r="E297" s="54" t="n">
        <f aca="false">'Project Plan'!K300</f>
        <v>46617</v>
      </c>
      <c r="F297" s="54" t="n">
        <f aca="false">'Project Plan'!L300</f>
        <v>46619</v>
      </c>
      <c r="G297" s="50" t="str">
        <f aca="false">'Project Plan'!M300&amp;""</f>
        <v>293,295,217,235,253,271,288</v>
      </c>
      <c r="H297" s="50" t="str">
        <f aca="false">'Project Plan'!H300&amp;""</f>
        <v>DEV</v>
      </c>
      <c r="I297" s="50" t="str">
        <f aca="false">IF('Project Plan'!C300=3,ROUND('Project Plan'!Z300*Assumptions!$C$6,0)&amp;"h","")</f>
        <v>147h</v>
      </c>
    </row>
    <row r="298" customFormat="false" ht="15" hidden="false" customHeight="false" outlineLevel="0" collapsed="false">
      <c r="A298" s="50" t="n">
        <f aca="false">'Project Plan'!A301</f>
        <v>297</v>
      </c>
      <c r="B298" s="50" t="str">
        <f aca="false">'Project Plan'!E301</f>
        <v>M2: Phase 2 go-live</v>
      </c>
      <c r="C298" s="50" t="n">
        <f aca="false">'Project Plan'!C301</f>
        <v>2</v>
      </c>
      <c r="D298" s="50" t="str">
        <f aca="false">'Project Plan'!J301&amp;"d"</f>
        <v>0d</v>
      </c>
      <c r="E298" s="54" t="n">
        <f aca="false">'Project Plan'!K301</f>
        <v>46619</v>
      </c>
      <c r="F298" s="54" t="n">
        <f aca="false">'Project Plan'!L301</f>
        <v>46619</v>
      </c>
      <c r="G298" s="50" t="str">
        <f aca="false">'Project Plan'!M301&amp;""</f>
        <v>296</v>
      </c>
      <c r="H298" s="50" t="str">
        <f aca="false">'Project Plan'!H301&amp;""</f>
        <v/>
      </c>
      <c r="I298" s="50" t="str">
        <f aca="false">IF('Project Plan'!C301=3,ROUND('Project Plan'!Z301*Assumptions!$C$6,0)&amp;"h","")</f>
        <v/>
      </c>
    </row>
    <row r="299" customFormat="false" ht="15" hidden="false" customHeight="false" outlineLevel="0" collapsed="false">
      <c r="A299" s="50" t="n">
        <f aca="false">'Project Plan'!A302</f>
        <v>298</v>
      </c>
      <c r="B299" s="50" t="str">
        <f aca="false">'Project Plan'!E302</f>
        <v>Hypercare and stabilisation (4 weeks)</v>
      </c>
      <c r="C299" s="50" t="n">
        <f aca="false">'Project Plan'!C302</f>
        <v>3</v>
      </c>
      <c r="D299" s="50" t="str">
        <f aca="false">'Project Plan'!J302&amp;"d"</f>
        <v>20d</v>
      </c>
      <c r="E299" s="54" t="n">
        <f aca="false">'Project Plan'!K302</f>
        <v>46619</v>
      </c>
      <c r="F299" s="54" t="n">
        <f aca="false">'Project Plan'!L302</f>
        <v>46646</v>
      </c>
      <c r="G299" s="50" t="str">
        <f aca="false">'Project Plan'!M302&amp;""</f>
        <v>297</v>
      </c>
      <c r="H299" s="50" t="str">
        <f aca="false">'Project Plan'!H302&amp;""</f>
        <v>BE</v>
      </c>
      <c r="I299" s="50" t="str">
        <f aca="false">IF('Project Plan'!C302=3,ROUND('Project Plan'!Z302*Assumptions!$C$6,0)&amp;"h","")</f>
        <v>267h</v>
      </c>
    </row>
    <row r="300" customFormat="false" ht="15" hidden="false" customHeight="false" outlineLevel="0" collapsed="false">
      <c r="A300" s="50" t="n">
        <f aca="false">'Project Plan'!A303</f>
        <v>299</v>
      </c>
      <c r="B300" s="50" t="str">
        <f aca="false">'Project Plan'!E303</f>
        <v>Phase 2 acceptance and sign-off</v>
      </c>
      <c r="C300" s="50" t="n">
        <f aca="false">'Project Plan'!C303</f>
        <v>2</v>
      </c>
      <c r="D300" s="50" t="str">
        <f aca="false">'Project Plan'!J303&amp;"d"</f>
        <v>0d</v>
      </c>
      <c r="E300" s="54" t="n">
        <f aca="false">'Project Plan'!K303</f>
        <v>46647</v>
      </c>
      <c r="F300" s="54" t="n">
        <f aca="false">'Project Plan'!L303</f>
        <v>46647</v>
      </c>
      <c r="G300" s="50" t="str">
        <f aca="false">'Project Plan'!M303&amp;""</f>
        <v>298</v>
      </c>
      <c r="H300" s="50" t="str">
        <f aca="false">'Project Plan'!H303&amp;""</f>
        <v/>
      </c>
      <c r="I300" s="50" t="str">
        <f aca="false">IF('Project Plan'!C303=3,ROUND('Project Plan'!Z303*Assumptions!$C$6,0)&amp;"h","")</f>
        <v/>
      </c>
    </row>
    <row r="301" customFormat="false" ht="15" hidden="false" customHeight="false" outlineLevel="0" collapsed="false">
      <c r="A301" s="50" t="n">
        <f aca="false">'Project Plan'!A304</f>
        <v>300</v>
      </c>
      <c r="B301" s="50" t="str">
        <f aca="false">'Project Plan'!E304</f>
        <v>Phase 2 build mid-point (next phase design may start)</v>
      </c>
      <c r="C301" s="50" t="n">
        <f aca="false">'Project Plan'!C304</f>
        <v>2</v>
      </c>
      <c r="D301" s="50" t="str">
        <f aca="false">'Project Plan'!J304&amp;"d"</f>
        <v>0d</v>
      </c>
      <c r="E301" s="54" t="n">
        <f aca="false">'Project Plan'!K304</f>
        <v>46542</v>
      </c>
      <c r="F301" s="54" t="n">
        <f aca="false">'Project Plan'!L304</f>
        <v>46542</v>
      </c>
      <c r="G301" s="50" t="str">
        <f aca="false">'Project Plan'!M304&amp;""</f>
        <v/>
      </c>
      <c r="H301" s="50" t="str">
        <f aca="false">'Project Plan'!H304&amp;""</f>
        <v/>
      </c>
      <c r="I301" s="50" t="str">
        <f aca="false">IF('Project Plan'!C304=3,ROUND('Project Plan'!Z304*Assumptions!$C$6,0)&amp;"h","")</f>
        <v/>
      </c>
    </row>
    <row r="302" customFormat="false" ht="15" hidden="false" customHeight="false" outlineLevel="0" collapsed="false">
      <c r="A302" s="50" t="n">
        <f aca="false">'Project Plan'!A305</f>
        <v>301</v>
      </c>
      <c r="B302" s="50" t="str">
        <f aca="false">'Project Plan'!E305</f>
        <v>Phase 3: Field operations</v>
      </c>
      <c r="C302" s="50" t="n">
        <f aca="false">'Project Plan'!C305</f>
        <v>1</v>
      </c>
      <c r="D302" s="50" t="str">
        <f aca="false">'Project Plan'!J305&amp;"d"</f>
        <v>142d</v>
      </c>
      <c r="E302" s="54" t="n">
        <f aca="false">'Project Plan'!K305</f>
        <v>46574</v>
      </c>
      <c r="F302" s="54" t="n">
        <f aca="false">'Project Plan'!L305</f>
        <v>46771</v>
      </c>
      <c r="G302" s="50" t="str">
        <f aca="false">'Project Plan'!M305&amp;""</f>
        <v/>
      </c>
      <c r="H302" s="50" t="str">
        <f aca="false">'Project Plan'!H305&amp;""</f>
        <v/>
      </c>
      <c r="I302" s="50" t="str">
        <f aca="false">IF('Project Plan'!C305=3,ROUND('Project Plan'!Z305*Assumptions!$C$6,0)&amp;"h","")</f>
        <v/>
      </c>
    </row>
    <row r="303" customFormat="false" ht="15" hidden="false" customHeight="false" outlineLevel="0" collapsed="false">
      <c r="A303" s="50" t="n">
        <f aca="false">'Project Plan'!A306</f>
        <v>302</v>
      </c>
      <c r="B303" s="50" t="str">
        <f aca="false">'Project Plan'!E306</f>
        <v>Platform increments for Phase 3</v>
      </c>
      <c r="C303" s="50" t="n">
        <f aca="false">'Project Plan'!C306</f>
        <v>2</v>
      </c>
      <c r="D303" s="50" t="str">
        <f aca="false">'Project Plan'!J306&amp;"d"</f>
        <v>59d</v>
      </c>
      <c r="E303" s="54" t="n">
        <f aca="false">'Project Plan'!K306</f>
        <v>46591</v>
      </c>
      <c r="F303" s="54" t="n">
        <f aca="false">'Project Plan'!L306</f>
        <v>46673</v>
      </c>
      <c r="G303" s="50" t="str">
        <f aca="false">'Project Plan'!M306&amp;""</f>
        <v/>
      </c>
      <c r="H303" s="50" t="str">
        <f aca="false">'Project Plan'!H306&amp;""</f>
        <v/>
      </c>
      <c r="I303" s="50" t="str">
        <f aca="false">IF('Project Plan'!C306=3,ROUND('Project Plan'!Z306*Assumptions!$C$6,0)&amp;"h","")</f>
        <v/>
      </c>
    </row>
    <row r="304" customFormat="false" ht="15" hidden="false" customHeight="false" outlineLevel="0" collapsed="false">
      <c r="A304" s="50" t="n">
        <f aca="false">'Project Plan'!A307</f>
        <v>303</v>
      </c>
      <c r="B304" s="50" t="str">
        <f aca="false">'Project Plan'!E307</f>
        <v>Field app scale-up and offline sync load test</v>
      </c>
      <c r="C304" s="50" t="n">
        <f aca="false">'Project Plan'!C307</f>
        <v>3</v>
      </c>
      <c r="D304" s="50" t="str">
        <f aca="false">'Project Plan'!J307&amp;"d"</f>
        <v>59d</v>
      </c>
      <c r="E304" s="54" t="n">
        <f aca="false">'Project Plan'!K307</f>
        <v>46591</v>
      </c>
      <c r="F304" s="54" t="n">
        <f aca="false">'Project Plan'!L307</f>
        <v>46673</v>
      </c>
      <c r="G304" s="50" t="str">
        <f aca="false">'Project Plan'!M307&amp;""</f>
        <v/>
      </c>
      <c r="H304" s="50" t="str">
        <f aca="false">'Project Plan'!H307&amp;""</f>
        <v>MOB</v>
      </c>
      <c r="I304" s="50" t="str">
        <f aca="false">IF('Project Plan'!C307=3,ROUND('Project Plan'!Z307*Assumptions!$C$6,0)&amp;"h","")</f>
        <v>193h</v>
      </c>
    </row>
    <row r="305" customFormat="false" ht="15" hidden="false" customHeight="false" outlineLevel="0" collapsed="false">
      <c r="A305" s="50" t="n">
        <f aca="false">'Project Plan'!A308</f>
        <v>304</v>
      </c>
      <c r="B305" s="50" t="str">
        <f aca="false">'Project Plan'!E308</f>
        <v>AVLS, CCMS and IoT ingestion pipeline</v>
      </c>
      <c r="C305" s="50" t="n">
        <f aca="false">'Project Plan'!C308</f>
        <v>3</v>
      </c>
      <c r="D305" s="50" t="str">
        <f aca="false">'Project Plan'!J308&amp;"d"</f>
        <v>59d</v>
      </c>
      <c r="E305" s="54" t="n">
        <f aca="false">'Project Plan'!K308</f>
        <v>46591</v>
      </c>
      <c r="F305" s="54" t="n">
        <f aca="false">'Project Plan'!L308</f>
        <v>46673</v>
      </c>
      <c r="G305" s="50" t="str">
        <f aca="false">'Project Plan'!M308&amp;""</f>
        <v/>
      </c>
      <c r="H305" s="50" t="str">
        <f aca="false">'Project Plan'!H308&amp;""</f>
        <v>BE</v>
      </c>
      <c r="I305" s="50" t="str">
        <f aca="false">IF('Project Plan'!C308=3,ROUND('Project Plan'!Z308*Assumptions!$C$6,0)&amp;"h","")</f>
        <v>184h</v>
      </c>
    </row>
    <row r="306" customFormat="false" ht="15" hidden="false" customHeight="false" outlineLevel="0" collapsed="false">
      <c r="A306" s="50" t="n">
        <f aca="false">'Project Plan'!A309</f>
        <v>305</v>
      </c>
      <c r="B306" s="50" t="str">
        <f aca="false">'Project Plan'!E309</f>
        <v>Road register moves to Engineering (I-32)</v>
      </c>
      <c r="C306" s="50" t="n">
        <f aca="false">'Project Plan'!C309</f>
        <v>3</v>
      </c>
      <c r="D306" s="50" t="str">
        <f aca="false">'Project Plan'!J309&amp;"d"</f>
        <v>59d</v>
      </c>
      <c r="E306" s="54" t="n">
        <f aca="false">'Project Plan'!K309</f>
        <v>46591</v>
      </c>
      <c r="F306" s="54" t="n">
        <f aca="false">'Project Plan'!L309</f>
        <v>46673</v>
      </c>
      <c r="G306" s="50" t="str">
        <f aca="false">'Project Plan'!M309&amp;""</f>
        <v/>
      </c>
      <c r="H306" s="50" t="str">
        <f aca="false">'Project Plan'!H309&amp;""</f>
        <v>GIS</v>
      </c>
      <c r="I306" s="50" t="str">
        <f aca="false">IF('Project Plan'!C309=3,ROUND('Project Plan'!Z309*Assumptions!$C$6,0)&amp;"h","")</f>
        <v>110h</v>
      </c>
    </row>
    <row r="307" customFormat="false" ht="15" hidden="false" customHeight="false" outlineLevel="0" collapsed="false">
      <c r="A307" s="50" t="n">
        <f aca="false">'Project Plan'!A310</f>
        <v>306</v>
      </c>
      <c r="B307" s="50" t="str">
        <f aca="false">'Project Plan'!E310</f>
        <v>Module 7: Solid Waste Management</v>
      </c>
      <c r="C307" s="50" t="n">
        <f aca="false">'Project Plan'!C310</f>
        <v>2</v>
      </c>
      <c r="D307" s="50" t="str">
        <f aca="false">'Project Plan'!J310&amp;"d"</f>
        <v>119d</v>
      </c>
      <c r="E307" s="54" t="n">
        <f aca="false">'Project Plan'!K310</f>
        <v>46574</v>
      </c>
      <c r="F307" s="54" t="n">
        <f aca="false">'Project Plan'!L310</f>
        <v>46738</v>
      </c>
      <c r="G307" s="50" t="str">
        <f aca="false">'Project Plan'!M310&amp;""</f>
        <v/>
      </c>
      <c r="H307" s="50" t="str">
        <f aca="false">'Project Plan'!H310&amp;""</f>
        <v/>
      </c>
      <c r="I307" s="50" t="str">
        <f aca="false">IF('Project Plan'!C310=3,ROUND('Project Plan'!Z310*Assumptions!$C$6,0)&amp;"h","")</f>
        <v/>
      </c>
    </row>
    <row r="308" customFormat="false" ht="15" hidden="false" customHeight="false" outlineLevel="0" collapsed="false">
      <c r="A308" s="50" t="n">
        <f aca="false">'Project Plan'!A311</f>
        <v>307</v>
      </c>
      <c r="B308" s="50" t="str">
        <f aca="false">'Project Plan'!E311</f>
        <v>Process validation workshops and to-be sign-off</v>
      </c>
      <c r="C308" s="50" t="n">
        <f aca="false">'Project Plan'!C311</f>
        <v>3</v>
      </c>
      <c r="D308" s="50" t="str">
        <f aca="false">'Project Plan'!J311&amp;"d"</f>
        <v>16d</v>
      </c>
      <c r="E308" s="54" t="n">
        <f aca="false">'Project Plan'!K311</f>
        <v>46574</v>
      </c>
      <c r="F308" s="54" t="n">
        <f aca="false">'Project Plan'!L311</f>
        <v>46595</v>
      </c>
      <c r="G308" s="50" t="str">
        <f aca="false">'Project Plan'!M311&amp;""</f>
        <v>300</v>
      </c>
      <c r="H308" s="50" t="str">
        <f aca="false">'Project Plan'!H311&amp;""</f>
        <v>BA</v>
      </c>
      <c r="I308" s="50" t="str">
        <f aca="false">IF('Project Plan'!C311=3,ROUND('Project Plan'!Z311*Assumptions!$C$6,0)&amp;"h","")</f>
        <v>92h</v>
      </c>
    </row>
    <row r="309" customFormat="false" ht="15" hidden="false" customHeight="false" outlineLevel="0" collapsed="false">
      <c r="A309" s="50" t="n">
        <f aca="false">'Project Plan'!A312</f>
        <v>308</v>
      </c>
      <c r="B309" s="50" t="str">
        <f aca="false">'Project Plan'!E312</f>
        <v>LLD, data model and API/event contracts</v>
      </c>
      <c r="C309" s="50" t="n">
        <f aca="false">'Project Plan'!C312</f>
        <v>3</v>
      </c>
      <c r="D309" s="50" t="str">
        <f aca="false">'Project Plan'!J312&amp;"d"</f>
        <v>16d</v>
      </c>
      <c r="E309" s="54" t="n">
        <f aca="false">'Project Plan'!K312</f>
        <v>46589</v>
      </c>
      <c r="F309" s="54" t="n">
        <f aca="false">'Project Plan'!L312</f>
        <v>46610</v>
      </c>
      <c r="G309" s="50" t="str">
        <f aca="false">'Project Plan'!M312&amp;""</f>
        <v>307</v>
      </c>
      <c r="H309" s="50" t="str">
        <f aca="false">'Project Plan'!H312&amp;""</f>
        <v>ARC</v>
      </c>
      <c r="I309" s="50" t="str">
        <f aca="false">IF('Project Plan'!C312=3,ROUND('Project Plan'!Z312*Assumptions!$C$6,0)&amp;"h","")</f>
        <v>74h</v>
      </c>
    </row>
    <row r="310" customFormat="false" ht="15" hidden="false" customHeight="false" outlineLevel="0" collapsed="false">
      <c r="A310" s="50" t="n">
        <f aca="false">'Project Plan'!A313</f>
        <v>309</v>
      </c>
      <c r="B310" s="50" t="str">
        <f aca="false">'Project Plan'!E313</f>
        <v>UX wireframes and UI design</v>
      </c>
      <c r="C310" s="50" t="n">
        <f aca="false">'Project Plan'!C313</f>
        <v>3</v>
      </c>
      <c r="D310" s="50" t="str">
        <f aca="false">'Project Plan'!J313&amp;"d"</f>
        <v>16d</v>
      </c>
      <c r="E310" s="54" t="n">
        <f aca="false">'Project Plan'!K313</f>
        <v>46589</v>
      </c>
      <c r="F310" s="54" t="n">
        <f aca="false">'Project Plan'!L313</f>
        <v>46610</v>
      </c>
      <c r="G310" s="50" t="str">
        <f aca="false">'Project Plan'!M313&amp;""</f>
        <v>307</v>
      </c>
      <c r="H310" s="50" t="str">
        <f aca="false">'Project Plan'!H313&amp;""</f>
        <v>FE</v>
      </c>
      <c r="I310" s="50" t="str">
        <f aca="false">IF('Project Plan'!C313=3,ROUND('Project Plan'!Z313*Assumptions!$C$6,0)&amp;"h","")</f>
        <v>64h</v>
      </c>
    </row>
    <row r="311" customFormat="false" ht="15" hidden="false" customHeight="false" outlineLevel="0" collapsed="false">
      <c r="A311" s="50" t="n">
        <f aca="false">'Project Plan'!A314</f>
        <v>310</v>
      </c>
      <c r="B311" s="50" t="str">
        <f aca="false">'Project Plan'!E314</f>
        <v>Database schema, domain logic and APIs</v>
      </c>
      <c r="C311" s="50" t="n">
        <f aca="false">'Project Plan'!C314</f>
        <v>3</v>
      </c>
      <c r="D311" s="50" t="str">
        <f aca="false">'Project Plan'!J314&amp;"d"</f>
        <v>55d</v>
      </c>
      <c r="E311" s="54" t="n">
        <f aca="false">'Project Plan'!K314</f>
        <v>46608</v>
      </c>
      <c r="F311" s="54" t="n">
        <f aca="false">'Project Plan'!L314</f>
        <v>46682</v>
      </c>
      <c r="G311" s="50" t="str">
        <f aca="false">'Project Plan'!M314&amp;""</f>
        <v>308</v>
      </c>
      <c r="H311" s="50" t="str">
        <f aca="false">'Project Plan'!H314&amp;""</f>
        <v>BE</v>
      </c>
      <c r="I311" s="50" t="str">
        <f aca="false">IF('Project Plan'!C314=3,ROUND('Project Plan'!Z314*Assumptions!$C$6,0)&amp;"h","")</f>
        <v>248h</v>
      </c>
    </row>
    <row r="312" customFormat="false" ht="15" hidden="false" customHeight="false" outlineLevel="0" collapsed="false">
      <c r="A312" s="50" t="n">
        <f aca="false">'Project Plan'!A315</f>
        <v>311</v>
      </c>
      <c r="B312" s="50" t="str">
        <f aca="false">'Project Plan'!E315</f>
        <v>Workflows (BPMN) and rules (DMN) configuration</v>
      </c>
      <c r="C312" s="50" t="n">
        <f aca="false">'Project Plan'!C315</f>
        <v>3</v>
      </c>
      <c r="D312" s="50" t="str">
        <f aca="false">'Project Plan'!J315&amp;"d"</f>
        <v>40d</v>
      </c>
      <c r="E312" s="54" t="n">
        <f aca="false">'Project Plan'!K315</f>
        <v>46630</v>
      </c>
      <c r="F312" s="54" t="n">
        <f aca="false">'Project Plan'!L315</f>
        <v>46685</v>
      </c>
      <c r="G312" s="50" t="str">
        <f aca="false">'Project Plan'!M315&amp;""</f>
        <v>308</v>
      </c>
      <c r="H312" s="50" t="str">
        <f aca="false">'Project Plan'!H315&amp;""</f>
        <v>BE</v>
      </c>
      <c r="I312" s="50" t="str">
        <f aca="false">IF('Project Plan'!C315=3,ROUND('Project Plan'!Z315*Assumptions!$C$6,0)&amp;"h","")</f>
        <v>120h</v>
      </c>
    </row>
    <row r="313" customFormat="false" ht="15" hidden="false" customHeight="false" outlineLevel="0" collapsed="false">
      <c r="A313" s="50" t="n">
        <f aca="false">'Project Plan'!A316</f>
        <v>312</v>
      </c>
      <c r="B313" s="50" t="str">
        <f aca="false">'Project Plan'!E316</f>
        <v>Staff console screens</v>
      </c>
      <c r="C313" s="50" t="n">
        <f aca="false">'Project Plan'!C316</f>
        <v>3</v>
      </c>
      <c r="D313" s="50" t="str">
        <f aca="false">'Project Plan'!J316&amp;"d"</f>
        <v>53d</v>
      </c>
      <c r="E313" s="54" t="n">
        <f aca="false">'Project Plan'!K316</f>
        <v>46619</v>
      </c>
      <c r="F313" s="54" t="n">
        <f aca="false">'Project Plan'!L316</f>
        <v>46693</v>
      </c>
      <c r="G313" s="50" t="str">
        <f aca="false">'Project Plan'!M316&amp;""</f>
        <v>309</v>
      </c>
      <c r="H313" s="50" t="str">
        <f aca="false">'Project Plan'!H316&amp;""</f>
        <v>FE</v>
      </c>
      <c r="I313" s="50" t="str">
        <f aca="false">IF('Project Plan'!C316=3,ROUND('Project Plan'!Z316*Assumptions!$C$6,0)&amp;"h","")</f>
        <v>202h</v>
      </c>
    </row>
    <row r="314" customFormat="false" ht="15" hidden="false" customHeight="false" outlineLevel="0" collapsed="false">
      <c r="A314" s="50" t="n">
        <f aca="false">'Project Plan'!A317</f>
        <v>313</v>
      </c>
      <c r="B314" s="50" t="str">
        <f aca="false">'Project Plan'!E317</f>
        <v>Field app tasks (offline)</v>
      </c>
      <c r="C314" s="50" t="n">
        <f aca="false">'Project Plan'!C317</f>
        <v>3</v>
      </c>
      <c r="D314" s="50" t="str">
        <f aca="false">'Project Plan'!J317&amp;"d"</f>
        <v>40d</v>
      </c>
      <c r="E314" s="54" t="n">
        <f aca="false">'Project Plan'!K317</f>
        <v>46638</v>
      </c>
      <c r="F314" s="54" t="n">
        <f aca="false">'Project Plan'!L317</f>
        <v>46693</v>
      </c>
      <c r="G314" s="50" t="str">
        <f aca="false">'Project Plan'!M317&amp;""</f>
        <v>309</v>
      </c>
      <c r="H314" s="50" t="str">
        <f aca="false">'Project Plan'!H317&amp;""</f>
        <v>MOB</v>
      </c>
      <c r="I314" s="50" t="str">
        <f aca="false">IF('Project Plan'!C317=3,ROUND('Project Plan'!Z317*Assumptions!$C$6,0)&amp;"h","")</f>
        <v>101h</v>
      </c>
    </row>
    <row r="315" customFormat="false" ht="15" hidden="false" customHeight="false" outlineLevel="0" collapsed="false">
      <c r="A315" s="50" t="n">
        <f aca="false">'Project Plan'!A318</f>
        <v>314</v>
      </c>
      <c r="B315" s="50" t="str">
        <f aca="false">'Project Plan'!E318</f>
        <v>GIS layers, map views and spatial checks</v>
      </c>
      <c r="C315" s="50" t="n">
        <f aca="false">'Project Plan'!C318</f>
        <v>3</v>
      </c>
      <c r="D315" s="50" t="str">
        <f aca="false">'Project Plan'!J318&amp;"d"</f>
        <v>46d</v>
      </c>
      <c r="E315" s="54" t="n">
        <f aca="false">'Project Plan'!K318</f>
        <v>46619</v>
      </c>
      <c r="F315" s="54" t="n">
        <f aca="false">'Project Plan'!L318</f>
        <v>46682</v>
      </c>
      <c r="G315" s="50" t="str">
        <f aca="false">'Project Plan'!M318&amp;""</f>
        <v>308</v>
      </c>
      <c r="H315" s="50" t="str">
        <f aca="false">'Project Plan'!H318&amp;""</f>
        <v>GIS</v>
      </c>
      <c r="I315" s="50" t="str">
        <f aca="false">IF('Project Plan'!C318=3,ROUND('Project Plan'!Z318*Assumptions!$C$6,0)&amp;"h","")</f>
        <v>83h</v>
      </c>
    </row>
    <row r="316" customFormat="false" ht="15" hidden="false" customHeight="false" outlineLevel="0" collapsed="false">
      <c r="A316" s="50" t="n">
        <f aca="false">'Project Plan'!A319</f>
        <v>315</v>
      </c>
      <c r="B316" s="50" t="str">
        <f aca="false">'Project Plan'!E319</f>
        <v>Module interfaces (13 I-xx links): events and APIs</v>
      </c>
      <c r="C316" s="50" t="n">
        <f aca="false">'Project Plan'!C319</f>
        <v>3</v>
      </c>
      <c r="D316" s="50" t="str">
        <f aca="false">'Project Plan'!J319&amp;"d"</f>
        <v>37d</v>
      </c>
      <c r="E316" s="54" t="n">
        <f aca="false">'Project Plan'!K319</f>
        <v>46647</v>
      </c>
      <c r="F316" s="54" t="n">
        <f aca="false">'Project Plan'!L319</f>
        <v>46699</v>
      </c>
      <c r="G316" s="50" t="str">
        <f aca="false">'Project Plan'!M319&amp;""</f>
        <v>310</v>
      </c>
      <c r="H316" s="50" t="str">
        <f aca="false">'Project Plan'!H319&amp;""</f>
        <v>BE</v>
      </c>
      <c r="I316" s="50" t="str">
        <f aca="false">IF('Project Plan'!C319=3,ROUND('Project Plan'!Z319*Assumptions!$C$6,0)&amp;"h","")</f>
        <v>184h</v>
      </c>
    </row>
    <row r="317" customFormat="false" ht="15" hidden="false" customHeight="false" outlineLevel="0" collapsed="false">
      <c r="A317" s="50" t="n">
        <f aca="false">'Project Plan'!A320</f>
        <v>316</v>
      </c>
      <c r="B317" s="50" t="str">
        <f aca="false">'Project Plan'!E320</f>
        <v>External system adapters (3)</v>
      </c>
      <c r="C317" s="50" t="n">
        <f aca="false">'Project Plan'!C320</f>
        <v>3</v>
      </c>
      <c r="D317" s="50" t="str">
        <f aca="false">'Project Plan'!J320&amp;"d"</f>
        <v>44d</v>
      </c>
      <c r="E317" s="54" t="n">
        <f aca="false">'Project Plan'!K320</f>
        <v>46638</v>
      </c>
      <c r="F317" s="54" t="n">
        <f aca="false">'Project Plan'!L320</f>
        <v>46699</v>
      </c>
      <c r="G317" s="50" t="str">
        <f aca="false">'Project Plan'!M320&amp;""</f>
        <v>308</v>
      </c>
      <c r="H317" s="50" t="str">
        <f aca="false">'Project Plan'!H320&amp;""</f>
        <v>BE</v>
      </c>
      <c r="I317" s="50" t="str">
        <f aca="false">IF('Project Plan'!C320=3,ROUND('Project Plan'!Z320*Assumptions!$C$6,0)&amp;"h","")</f>
        <v>166h</v>
      </c>
    </row>
    <row r="318" customFormat="false" ht="15" hidden="false" customHeight="false" outlineLevel="0" collapsed="false">
      <c r="A318" s="50" t="n">
        <f aca="false">'Project Plan'!A321</f>
        <v>317</v>
      </c>
      <c r="B318" s="50" t="str">
        <f aca="false">'Project Plan'!E321</f>
        <v>Reports, dashboards, notices and templates (all active languages)</v>
      </c>
      <c r="C318" s="50" t="n">
        <f aca="false">'Project Plan'!C321</f>
        <v>3</v>
      </c>
      <c r="D318" s="50" t="str">
        <f aca="false">'Project Plan'!J321&amp;"d"</f>
        <v>26d</v>
      </c>
      <c r="E318" s="54" t="n">
        <f aca="false">'Project Plan'!K321</f>
        <v>46666</v>
      </c>
      <c r="F318" s="54" t="n">
        <f aca="false">'Project Plan'!L321</f>
        <v>46701</v>
      </c>
      <c r="G318" s="50" t="str">
        <f aca="false">'Project Plan'!M321&amp;""</f>
        <v>310</v>
      </c>
      <c r="H318" s="50" t="str">
        <f aca="false">'Project Plan'!H321&amp;""</f>
        <v>BE</v>
      </c>
      <c r="I318" s="50" t="str">
        <f aca="false">IF('Project Plan'!C321=3,ROUND('Project Plan'!Z321*Assumptions!$C$6,0)&amp;"h","")</f>
        <v>92h</v>
      </c>
    </row>
    <row r="319" customFormat="false" ht="15" hidden="false" customHeight="false" outlineLevel="0" collapsed="false">
      <c r="A319" s="50" t="n">
        <f aca="false">'Project Plan'!A322</f>
        <v>318</v>
      </c>
      <c r="B319" s="50" t="str">
        <f aca="false">'Project Plan'!E322</f>
        <v>System integration testing</v>
      </c>
      <c r="C319" s="50" t="n">
        <f aca="false">'Project Plan'!C322</f>
        <v>3</v>
      </c>
      <c r="D319" s="50" t="str">
        <f aca="false">'Project Plan'!J322&amp;"d"</f>
        <v>21d</v>
      </c>
      <c r="E319" s="54" t="n">
        <f aca="false">'Project Plan'!K322</f>
        <v>46688</v>
      </c>
      <c r="F319" s="54" t="n">
        <f aca="false">'Project Plan'!L322</f>
        <v>46716</v>
      </c>
      <c r="G319" s="50" t="str">
        <f aca="false">'Project Plan'!M322&amp;""</f>
        <v>310,312</v>
      </c>
      <c r="H319" s="50" t="str">
        <f aca="false">'Project Plan'!H322&amp;""</f>
        <v>QA</v>
      </c>
      <c r="I319" s="50" t="str">
        <f aca="false">IF('Project Plan'!C322=3,ROUND('Project Plan'!Z322*Assumptions!$C$6,0)&amp;"h","")</f>
        <v>166h</v>
      </c>
    </row>
    <row r="320" customFormat="false" ht="15" hidden="false" customHeight="false" outlineLevel="0" collapsed="false">
      <c r="A320" s="50" t="n">
        <f aca="false">'Project Plan'!A323</f>
        <v>319</v>
      </c>
      <c r="B320" s="50" t="str">
        <f aca="false">'Project Plan'!E323</f>
        <v>Defect fixing and regression</v>
      </c>
      <c r="C320" s="50" t="n">
        <f aca="false">'Project Plan'!C323</f>
        <v>3</v>
      </c>
      <c r="D320" s="50" t="str">
        <f aca="false">'Project Plan'!J323&amp;"d"</f>
        <v>26d</v>
      </c>
      <c r="E320" s="54" t="n">
        <f aca="false">'Project Plan'!K323</f>
        <v>46694</v>
      </c>
      <c r="F320" s="54" t="n">
        <f aca="false">'Project Plan'!L323</f>
        <v>46729</v>
      </c>
      <c r="G320" s="50" t="str">
        <f aca="false">'Project Plan'!M323&amp;""</f>
        <v>318</v>
      </c>
      <c r="H320" s="50" t="str">
        <f aca="false">'Project Plan'!H323&amp;""</f>
        <v>BE</v>
      </c>
      <c r="I320" s="50" t="str">
        <f aca="false">IF('Project Plan'!C323=3,ROUND('Project Plan'!Z323*Assumptions!$C$6,0)&amp;"h","")</f>
        <v>138h</v>
      </c>
    </row>
    <row r="321" customFormat="false" ht="15" hidden="false" customHeight="false" outlineLevel="0" collapsed="false">
      <c r="A321" s="50" t="n">
        <f aca="false">'Project Plan'!A324</f>
        <v>320</v>
      </c>
      <c r="B321" s="50" t="str">
        <f aca="false">'Project Plan'!E324</f>
        <v>UAT support with GWMC department</v>
      </c>
      <c r="C321" s="50" t="n">
        <f aca="false">'Project Plan'!C324</f>
        <v>3</v>
      </c>
      <c r="D321" s="50" t="str">
        <f aca="false">'Project Plan'!J324&amp;"d"</f>
        <v>13d</v>
      </c>
      <c r="E321" s="54" t="n">
        <f aca="false">'Project Plan'!K324</f>
        <v>46717</v>
      </c>
      <c r="F321" s="54" t="n">
        <f aca="false">'Project Plan'!L324</f>
        <v>46735</v>
      </c>
      <c r="G321" s="50" t="str">
        <f aca="false">'Project Plan'!M324&amp;""</f>
        <v>318</v>
      </c>
      <c r="H321" s="50" t="str">
        <f aca="false">'Project Plan'!H324&amp;""</f>
        <v>BA</v>
      </c>
      <c r="I321" s="50" t="str">
        <f aca="false">IF('Project Plan'!C324=3,ROUND('Project Plan'!Z324*Assumptions!$C$6,0)&amp;"h","")</f>
        <v>74h</v>
      </c>
    </row>
    <row r="322" customFormat="false" ht="15" hidden="false" customHeight="false" outlineLevel="0" collapsed="false">
      <c r="A322" s="50" t="n">
        <f aca="false">'Project Plan'!A325</f>
        <v>321</v>
      </c>
      <c r="B322" s="50" t="str">
        <f aca="false">'Project Plan'!E325</f>
        <v>Training material and department training</v>
      </c>
      <c r="C322" s="50" t="n">
        <f aca="false">'Project Plan'!C325</f>
        <v>3</v>
      </c>
      <c r="D322" s="50" t="str">
        <f aca="false">'Project Plan'!J325&amp;"d"</f>
        <v>13d</v>
      </c>
      <c r="E322" s="54" t="n">
        <f aca="false">'Project Plan'!K325</f>
        <v>46722</v>
      </c>
      <c r="F322" s="54" t="n">
        <f aca="false">'Project Plan'!L325</f>
        <v>46738</v>
      </c>
      <c r="G322" s="50" t="str">
        <f aca="false">'Project Plan'!M325&amp;""</f>
        <v>320</v>
      </c>
      <c r="H322" s="50" t="str">
        <f aca="false">'Project Plan'!H325&amp;""</f>
        <v>TRN</v>
      </c>
      <c r="I322" s="50" t="str">
        <f aca="false">IF('Project Plan'!C325=3,ROUND('Project Plan'!Z325*Assumptions!$C$6,0)&amp;"h","")</f>
        <v>64h</v>
      </c>
    </row>
    <row r="323" customFormat="false" ht="15" hidden="false" customHeight="false" outlineLevel="0" collapsed="false">
      <c r="A323" s="50" t="n">
        <f aca="false">'Project Plan'!A326</f>
        <v>322</v>
      </c>
      <c r="B323" s="50" t="str">
        <f aca="false">'Project Plan'!E326</f>
        <v>Module 10: Engineering Project Management System</v>
      </c>
      <c r="C323" s="50" t="n">
        <f aca="false">'Project Plan'!C326</f>
        <v>2</v>
      </c>
      <c r="D323" s="50" t="str">
        <f aca="false">'Project Plan'!J326&amp;"d"</f>
        <v>119d</v>
      </c>
      <c r="E323" s="54" t="n">
        <f aca="false">'Project Plan'!K326</f>
        <v>46574</v>
      </c>
      <c r="F323" s="54" t="n">
        <f aca="false">'Project Plan'!L326</f>
        <v>46738</v>
      </c>
      <c r="G323" s="50" t="str">
        <f aca="false">'Project Plan'!M326&amp;""</f>
        <v/>
      </c>
      <c r="H323" s="50" t="str">
        <f aca="false">'Project Plan'!H326&amp;""</f>
        <v/>
      </c>
      <c r="I323" s="50" t="str">
        <f aca="false">IF('Project Plan'!C326=3,ROUND('Project Plan'!Z326*Assumptions!$C$6,0)&amp;"h","")</f>
        <v/>
      </c>
    </row>
    <row r="324" customFormat="false" ht="15" hidden="false" customHeight="false" outlineLevel="0" collapsed="false">
      <c r="A324" s="50" t="n">
        <f aca="false">'Project Plan'!A327</f>
        <v>323</v>
      </c>
      <c r="B324" s="50" t="str">
        <f aca="false">'Project Plan'!E327</f>
        <v>Process validation workshops and to-be sign-off</v>
      </c>
      <c r="C324" s="50" t="n">
        <f aca="false">'Project Plan'!C327</f>
        <v>3</v>
      </c>
      <c r="D324" s="50" t="str">
        <f aca="false">'Project Plan'!J327&amp;"d"</f>
        <v>16d</v>
      </c>
      <c r="E324" s="54" t="n">
        <f aca="false">'Project Plan'!K327</f>
        <v>46574</v>
      </c>
      <c r="F324" s="54" t="n">
        <f aca="false">'Project Plan'!L327</f>
        <v>46595</v>
      </c>
      <c r="G324" s="50" t="str">
        <f aca="false">'Project Plan'!M327&amp;""</f>
        <v>300</v>
      </c>
      <c r="H324" s="50" t="str">
        <f aca="false">'Project Plan'!H327&amp;""</f>
        <v>BA</v>
      </c>
      <c r="I324" s="50" t="str">
        <f aca="false">IF('Project Plan'!C327=3,ROUND('Project Plan'!Z327*Assumptions!$C$6,0)&amp;"h","")</f>
        <v>101h</v>
      </c>
    </row>
    <row r="325" customFormat="false" ht="15" hidden="false" customHeight="false" outlineLevel="0" collapsed="false">
      <c r="A325" s="50" t="n">
        <f aca="false">'Project Plan'!A328</f>
        <v>324</v>
      </c>
      <c r="B325" s="50" t="str">
        <f aca="false">'Project Plan'!E328</f>
        <v>LLD, data model and API/event contracts</v>
      </c>
      <c r="C325" s="50" t="n">
        <f aca="false">'Project Plan'!C328</f>
        <v>3</v>
      </c>
      <c r="D325" s="50" t="str">
        <f aca="false">'Project Plan'!J328&amp;"d"</f>
        <v>16d</v>
      </c>
      <c r="E325" s="54" t="n">
        <f aca="false">'Project Plan'!K328</f>
        <v>46589</v>
      </c>
      <c r="F325" s="54" t="n">
        <f aca="false">'Project Plan'!L328</f>
        <v>46610</v>
      </c>
      <c r="G325" s="50" t="str">
        <f aca="false">'Project Plan'!M328&amp;""</f>
        <v>323</v>
      </c>
      <c r="H325" s="50" t="str">
        <f aca="false">'Project Plan'!H328&amp;""</f>
        <v>ARC</v>
      </c>
      <c r="I325" s="50" t="str">
        <f aca="false">IF('Project Plan'!C328=3,ROUND('Project Plan'!Z328*Assumptions!$C$6,0)&amp;"h","")</f>
        <v>92h</v>
      </c>
    </row>
    <row r="326" customFormat="false" ht="15" hidden="false" customHeight="false" outlineLevel="0" collapsed="false">
      <c r="A326" s="50" t="n">
        <f aca="false">'Project Plan'!A329</f>
        <v>325</v>
      </c>
      <c r="B326" s="50" t="str">
        <f aca="false">'Project Plan'!E329</f>
        <v>UX wireframes and UI design</v>
      </c>
      <c r="C326" s="50" t="n">
        <f aca="false">'Project Plan'!C329</f>
        <v>3</v>
      </c>
      <c r="D326" s="50" t="str">
        <f aca="false">'Project Plan'!J329&amp;"d"</f>
        <v>16d</v>
      </c>
      <c r="E326" s="54" t="n">
        <f aca="false">'Project Plan'!K329</f>
        <v>46589</v>
      </c>
      <c r="F326" s="54" t="n">
        <f aca="false">'Project Plan'!L329</f>
        <v>46610</v>
      </c>
      <c r="G326" s="50" t="str">
        <f aca="false">'Project Plan'!M329&amp;""</f>
        <v>323</v>
      </c>
      <c r="H326" s="50" t="str">
        <f aca="false">'Project Plan'!H329&amp;""</f>
        <v>FE</v>
      </c>
      <c r="I326" s="50" t="str">
        <f aca="false">IF('Project Plan'!C329=3,ROUND('Project Plan'!Z329*Assumptions!$C$6,0)&amp;"h","")</f>
        <v>74h</v>
      </c>
    </row>
    <row r="327" customFormat="false" ht="15" hidden="false" customHeight="false" outlineLevel="0" collapsed="false">
      <c r="A327" s="50" t="n">
        <f aca="false">'Project Plan'!A330</f>
        <v>326</v>
      </c>
      <c r="B327" s="50" t="str">
        <f aca="false">'Project Plan'!E330</f>
        <v>Database schema, domain logic and APIs</v>
      </c>
      <c r="C327" s="50" t="n">
        <f aca="false">'Project Plan'!C330</f>
        <v>3</v>
      </c>
      <c r="D327" s="50" t="str">
        <f aca="false">'Project Plan'!J330&amp;"d"</f>
        <v>55d</v>
      </c>
      <c r="E327" s="54" t="n">
        <f aca="false">'Project Plan'!K330</f>
        <v>46608</v>
      </c>
      <c r="F327" s="54" t="n">
        <f aca="false">'Project Plan'!L330</f>
        <v>46682</v>
      </c>
      <c r="G327" s="50" t="str">
        <f aca="false">'Project Plan'!M330&amp;""</f>
        <v>324</v>
      </c>
      <c r="H327" s="50" t="str">
        <f aca="false">'Project Plan'!H330&amp;""</f>
        <v>BE</v>
      </c>
      <c r="I327" s="50" t="str">
        <f aca="false">IF('Project Plan'!C330=3,ROUND('Project Plan'!Z330*Assumptions!$C$6,0)&amp;"h","")</f>
        <v>285h</v>
      </c>
    </row>
    <row r="328" customFormat="false" ht="15" hidden="false" customHeight="false" outlineLevel="0" collapsed="false">
      <c r="A328" s="50" t="n">
        <f aca="false">'Project Plan'!A331</f>
        <v>327</v>
      </c>
      <c r="B328" s="50" t="str">
        <f aca="false">'Project Plan'!E331</f>
        <v>Workflows (BPMN) and rules (DMN) configuration</v>
      </c>
      <c r="C328" s="50" t="n">
        <f aca="false">'Project Plan'!C331</f>
        <v>3</v>
      </c>
      <c r="D328" s="50" t="str">
        <f aca="false">'Project Plan'!J331&amp;"d"</f>
        <v>40d</v>
      </c>
      <c r="E328" s="54" t="n">
        <f aca="false">'Project Plan'!K331</f>
        <v>46630</v>
      </c>
      <c r="F328" s="54" t="n">
        <f aca="false">'Project Plan'!L331</f>
        <v>46685</v>
      </c>
      <c r="G328" s="50" t="str">
        <f aca="false">'Project Plan'!M331&amp;""</f>
        <v>324</v>
      </c>
      <c r="H328" s="50" t="str">
        <f aca="false">'Project Plan'!H331&amp;""</f>
        <v>BE</v>
      </c>
      <c r="I328" s="50" t="str">
        <f aca="false">IF('Project Plan'!C331=3,ROUND('Project Plan'!Z331*Assumptions!$C$6,0)&amp;"h","")</f>
        <v>129h</v>
      </c>
    </row>
    <row r="329" customFormat="false" ht="15" hidden="false" customHeight="false" outlineLevel="0" collapsed="false">
      <c r="A329" s="50" t="n">
        <f aca="false">'Project Plan'!A332</f>
        <v>328</v>
      </c>
      <c r="B329" s="50" t="str">
        <f aca="false">'Project Plan'!E332</f>
        <v>Staff console screens</v>
      </c>
      <c r="C329" s="50" t="n">
        <f aca="false">'Project Plan'!C332</f>
        <v>3</v>
      </c>
      <c r="D329" s="50" t="str">
        <f aca="false">'Project Plan'!J332&amp;"d"</f>
        <v>53d</v>
      </c>
      <c r="E329" s="54" t="n">
        <f aca="false">'Project Plan'!K332</f>
        <v>46619</v>
      </c>
      <c r="F329" s="54" t="n">
        <f aca="false">'Project Plan'!L332</f>
        <v>46693</v>
      </c>
      <c r="G329" s="50" t="str">
        <f aca="false">'Project Plan'!M332&amp;""</f>
        <v>325</v>
      </c>
      <c r="H329" s="50" t="str">
        <f aca="false">'Project Plan'!H332&amp;""</f>
        <v>FE</v>
      </c>
      <c r="I329" s="50" t="str">
        <f aca="false">IF('Project Plan'!C332=3,ROUND('Project Plan'!Z332*Assumptions!$C$6,0)&amp;"h","")</f>
        <v>239h</v>
      </c>
    </row>
    <row r="330" customFormat="false" ht="15" hidden="false" customHeight="false" outlineLevel="0" collapsed="false">
      <c r="A330" s="50" t="n">
        <f aca="false">'Project Plan'!A333</f>
        <v>329</v>
      </c>
      <c r="B330" s="50" t="str">
        <f aca="false">'Project Plan'!E333</f>
        <v>Field app tasks (offline)</v>
      </c>
      <c r="C330" s="50" t="n">
        <f aca="false">'Project Plan'!C333</f>
        <v>3</v>
      </c>
      <c r="D330" s="50" t="str">
        <f aca="false">'Project Plan'!J333&amp;"d"</f>
        <v>40d</v>
      </c>
      <c r="E330" s="54" t="n">
        <f aca="false">'Project Plan'!K333</f>
        <v>46638</v>
      </c>
      <c r="F330" s="54" t="n">
        <f aca="false">'Project Plan'!L333</f>
        <v>46693</v>
      </c>
      <c r="G330" s="50" t="str">
        <f aca="false">'Project Plan'!M333&amp;""</f>
        <v>325</v>
      </c>
      <c r="H330" s="50" t="str">
        <f aca="false">'Project Plan'!H333&amp;""</f>
        <v>MOB</v>
      </c>
      <c r="I330" s="50" t="str">
        <f aca="false">IF('Project Plan'!C333=3,ROUND('Project Plan'!Z333*Assumptions!$C$6,0)&amp;"h","")</f>
        <v>110h</v>
      </c>
    </row>
    <row r="331" customFormat="false" ht="15" hidden="false" customHeight="false" outlineLevel="0" collapsed="false">
      <c r="A331" s="50" t="n">
        <f aca="false">'Project Plan'!A334</f>
        <v>330</v>
      </c>
      <c r="B331" s="50" t="str">
        <f aca="false">'Project Plan'!E334</f>
        <v>GIS layers, map views and spatial checks</v>
      </c>
      <c r="C331" s="50" t="n">
        <f aca="false">'Project Plan'!C334</f>
        <v>3</v>
      </c>
      <c r="D331" s="50" t="str">
        <f aca="false">'Project Plan'!J334&amp;"d"</f>
        <v>46d</v>
      </c>
      <c r="E331" s="54" t="n">
        <f aca="false">'Project Plan'!K334</f>
        <v>46619</v>
      </c>
      <c r="F331" s="54" t="n">
        <f aca="false">'Project Plan'!L334</f>
        <v>46682</v>
      </c>
      <c r="G331" s="50" t="str">
        <f aca="false">'Project Plan'!M334&amp;""</f>
        <v>324</v>
      </c>
      <c r="H331" s="50" t="str">
        <f aca="false">'Project Plan'!H334&amp;""</f>
        <v>GIS</v>
      </c>
      <c r="I331" s="50" t="str">
        <f aca="false">IF('Project Plan'!C334=3,ROUND('Project Plan'!Z334*Assumptions!$C$6,0)&amp;"h","")</f>
        <v>92h</v>
      </c>
    </row>
    <row r="332" customFormat="false" ht="15" hidden="false" customHeight="false" outlineLevel="0" collapsed="false">
      <c r="A332" s="50" t="n">
        <f aca="false">'Project Plan'!A335</f>
        <v>331</v>
      </c>
      <c r="B332" s="50" t="str">
        <f aca="false">'Project Plan'!E335</f>
        <v>Module interfaces (9 I-xx links): events and APIs</v>
      </c>
      <c r="C332" s="50" t="n">
        <f aca="false">'Project Plan'!C335</f>
        <v>3</v>
      </c>
      <c r="D332" s="50" t="str">
        <f aca="false">'Project Plan'!J335&amp;"d"</f>
        <v>37d</v>
      </c>
      <c r="E332" s="54" t="n">
        <f aca="false">'Project Plan'!K335</f>
        <v>46647</v>
      </c>
      <c r="F332" s="54" t="n">
        <f aca="false">'Project Plan'!L335</f>
        <v>46699</v>
      </c>
      <c r="G332" s="50" t="str">
        <f aca="false">'Project Plan'!M335&amp;""</f>
        <v>326</v>
      </c>
      <c r="H332" s="50" t="str">
        <f aca="false">'Project Plan'!H335&amp;""</f>
        <v>BE</v>
      </c>
      <c r="I332" s="50" t="str">
        <f aca="false">IF('Project Plan'!C335=3,ROUND('Project Plan'!Z335*Assumptions!$C$6,0)&amp;"h","")</f>
        <v>129h</v>
      </c>
    </row>
    <row r="333" customFormat="false" ht="15" hidden="false" customHeight="false" outlineLevel="0" collapsed="false">
      <c r="A333" s="50" t="n">
        <f aca="false">'Project Plan'!A336</f>
        <v>332</v>
      </c>
      <c r="B333" s="50" t="str">
        <f aca="false">'Project Plan'!E336</f>
        <v>External system adapters (2)</v>
      </c>
      <c r="C333" s="50" t="n">
        <f aca="false">'Project Plan'!C336</f>
        <v>3</v>
      </c>
      <c r="D333" s="50" t="str">
        <f aca="false">'Project Plan'!J336&amp;"d"</f>
        <v>44d</v>
      </c>
      <c r="E333" s="54" t="n">
        <f aca="false">'Project Plan'!K336</f>
        <v>46638</v>
      </c>
      <c r="F333" s="54" t="n">
        <f aca="false">'Project Plan'!L336</f>
        <v>46699</v>
      </c>
      <c r="G333" s="50" t="str">
        <f aca="false">'Project Plan'!M336&amp;""</f>
        <v>324</v>
      </c>
      <c r="H333" s="50" t="str">
        <f aca="false">'Project Plan'!H336&amp;""</f>
        <v>BE</v>
      </c>
      <c r="I333" s="50" t="str">
        <f aca="false">IF('Project Plan'!C336=3,ROUND('Project Plan'!Z336*Assumptions!$C$6,0)&amp;"h","")</f>
        <v>110h</v>
      </c>
    </row>
    <row r="334" customFormat="false" ht="15" hidden="false" customHeight="false" outlineLevel="0" collapsed="false">
      <c r="A334" s="50" t="n">
        <f aca="false">'Project Plan'!A337</f>
        <v>333</v>
      </c>
      <c r="B334" s="50" t="str">
        <f aca="false">'Project Plan'!E337</f>
        <v>Reports, dashboards, notices and templates (all active languages)</v>
      </c>
      <c r="C334" s="50" t="n">
        <f aca="false">'Project Plan'!C337</f>
        <v>3</v>
      </c>
      <c r="D334" s="50" t="str">
        <f aca="false">'Project Plan'!J337&amp;"d"</f>
        <v>26d</v>
      </c>
      <c r="E334" s="54" t="n">
        <f aca="false">'Project Plan'!K337</f>
        <v>46666</v>
      </c>
      <c r="F334" s="54" t="n">
        <f aca="false">'Project Plan'!L337</f>
        <v>46701</v>
      </c>
      <c r="G334" s="50" t="str">
        <f aca="false">'Project Plan'!M337&amp;""</f>
        <v>326</v>
      </c>
      <c r="H334" s="50" t="str">
        <f aca="false">'Project Plan'!H337&amp;""</f>
        <v>BE</v>
      </c>
      <c r="I334" s="50" t="str">
        <f aca="false">IF('Project Plan'!C337=3,ROUND('Project Plan'!Z337*Assumptions!$C$6,0)&amp;"h","")</f>
        <v>92h</v>
      </c>
    </row>
    <row r="335" customFormat="false" ht="15" hidden="false" customHeight="false" outlineLevel="0" collapsed="false">
      <c r="A335" s="50" t="n">
        <f aca="false">'Project Plan'!A338</f>
        <v>334</v>
      </c>
      <c r="B335" s="50" t="str">
        <f aca="false">'Project Plan'!E338</f>
        <v>System integration testing</v>
      </c>
      <c r="C335" s="50" t="n">
        <f aca="false">'Project Plan'!C338</f>
        <v>3</v>
      </c>
      <c r="D335" s="50" t="str">
        <f aca="false">'Project Plan'!J338&amp;"d"</f>
        <v>21d</v>
      </c>
      <c r="E335" s="54" t="n">
        <f aca="false">'Project Plan'!K338</f>
        <v>46688</v>
      </c>
      <c r="F335" s="54" t="n">
        <f aca="false">'Project Plan'!L338</f>
        <v>46716</v>
      </c>
      <c r="G335" s="50" t="str">
        <f aca="false">'Project Plan'!M338&amp;""</f>
        <v>326,328</v>
      </c>
      <c r="H335" s="50" t="str">
        <f aca="false">'Project Plan'!H338&amp;""</f>
        <v>QA</v>
      </c>
      <c r="I335" s="50" t="str">
        <f aca="false">IF('Project Plan'!C338=3,ROUND('Project Plan'!Z338*Assumptions!$C$6,0)&amp;"h","")</f>
        <v>184h</v>
      </c>
    </row>
    <row r="336" customFormat="false" ht="15" hidden="false" customHeight="false" outlineLevel="0" collapsed="false">
      <c r="A336" s="50" t="n">
        <f aca="false">'Project Plan'!A339</f>
        <v>335</v>
      </c>
      <c r="B336" s="50" t="str">
        <f aca="false">'Project Plan'!E339</f>
        <v>Defect fixing and regression</v>
      </c>
      <c r="C336" s="50" t="n">
        <f aca="false">'Project Plan'!C339</f>
        <v>3</v>
      </c>
      <c r="D336" s="50" t="str">
        <f aca="false">'Project Plan'!J339&amp;"d"</f>
        <v>26d</v>
      </c>
      <c r="E336" s="54" t="n">
        <f aca="false">'Project Plan'!K339</f>
        <v>46694</v>
      </c>
      <c r="F336" s="54" t="n">
        <f aca="false">'Project Plan'!L339</f>
        <v>46729</v>
      </c>
      <c r="G336" s="50" t="str">
        <f aca="false">'Project Plan'!M339&amp;""</f>
        <v>334</v>
      </c>
      <c r="H336" s="50" t="str">
        <f aca="false">'Project Plan'!H339&amp;""</f>
        <v>BE</v>
      </c>
      <c r="I336" s="50" t="str">
        <f aca="false">IF('Project Plan'!C339=3,ROUND('Project Plan'!Z339*Assumptions!$C$6,0)&amp;"h","")</f>
        <v>156h</v>
      </c>
    </row>
    <row r="337" customFormat="false" ht="15" hidden="false" customHeight="false" outlineLevel="0" collapsed="false">
      <c r="A337" s="50" t="n">
        <f aca="false">'Project Plan'!A340</f>
        <v>336</v>
      </c>
      <c r="B337" s="50" t="str">
        <f aca="false">'Project Plan'!E340</f>
        <v>UAT support with GWMC department</v>
      </c>
      <c r="C337" s="50" t="n">
        <f aca="false">'Project Plan'!C340</f>
        <v>3</v>
      </c>
      <c r="D337" s="50" t="str">
        <f aca="false">'Project Plan'!J340&amp;"d"</f>
        <v>13d</v>
      </c>
      <c r="E337" s="54" t="n">
        <f aca="false">'Project Plan'!K340</f>
        <v>46717</v>
      </c>
      <c r="F337" s="54" t="n">
        <f aca="false">'Project Plan'!L340</f>
        <v>46735</v>
      </c>
      <c r="G337" s="50" t="str">
        <f aca="false">'Project Plan'!M340&amp;""</f>
        <v>334</v>
      </c>
      <c r="H337" s="50" t="str">
        <f aca="false">'Project Plan'!H340&amp;""</f>
        <v>BA</v>
      </c>
      <c r="I337" s="50" t="str">
        <f aca="false">IF('Project Plan'!C340=3,ROUND('Project Plan'!Z340*Assumptions!$C$6,0)&amp;"h","")</f>
        <v>92h</v>
      </c>
    </row>
    <row r="338" customFormat="false" ht="15" hidden="false" customHeight="false" outlineLevel="0" collapsed="false">
      <c r="A338" s="50" t="n">
        <f aca="false">'Project Plan'!A341</f>
        <v>337</v>
      </c>
      <c r="B338" s="50" t="str">
        <f aca="false">'Project Plan'!E341</f>
        <v>Training material and department training</v>
      </c>
      <c r="C338" s="50" t="n">
        <f aca="false">'Project Plan'!C341</f>
        <v>3</v>
      </c>
      <c r="D338" s="50" t="str">
        <f aca="false">'Project Plan'!J341&amp;"d"</f>
        <v>13d</v>
      </c>
      <c r="E338" s="54" t="n">
        <f aca="false">'Project Plan'!K341</f>
        <v>46722</v>
      </c>
      <c r="F338" s="54" t="n">
        <f aca="false">'Project Plan'!L341</f>
        <v>46738</v>
      </c>
      <c r="G338" s="50" t="str">
        <f aca="false">'Project Plan'!M341&amp;""</f>
        <v>336</v>
      </c>
      <c r="H338" s="50" t="str">
        <f aca="false">'Project Plan'!H341&amp;""</f>
        <v>TRN</v>
      </c>
      <c r="I338" s="50" t="str">
        <f aca="false">IF('Project Plan'!C341=3,ROUND('Project Plan'!Z341*Assumptions!$C$6,0)&amp;"h","")</f>
        <v>74h</v>
      </c>
    </row>
    <row r="339" customFormat="false" ht="15" hidden="false" customHeight="false" outlineLevel="0" collapsed="false">
      <c r="A339" s="50" t="n">
        <f aca="false">'Project Plan'!A342</f>
        <v>338</v>
      </c>
      <c r="B339" s="50" t="str">
        <f aca="false">'Project Plan'!E342</f>
        <v>Module 12: Street Light Management</v>
      </c>
      <c r="C339" s="50" t="n">
        <f aca="false">'Project Plan'!C342</f>
        <v>2</v>
      </c>
      <c r="D339" s="50" t="str">
        <f aca="false">'Project Plan'!J342&amp;"d"</f>
        <v>119d</v>
      </c>
      <c r="E339" s="54" t="n">
        <f aca="false">'Project Plan'!K342</f>
        <v>46574</v>
      </c>
      <c r="F339" s="54" t="n">
        <f aca="false">'Project Plan'!L342</f>
        <v>46738</v>
      </c>
      <c r="G339" s="50" t="str">
        <f aca="false">'Project Plan'!M342&amp;""</f>
        <v/>
      </c>
      <c r="H339" s="50" t="str">
        <f aca="false">'Project Plan'!H342&amp;""</f>
        <v/>
      </c>
      <c r="I339" s="50" t="str">
        <f aca="false">IF('Project Plan'!C342=3,ROUND('Project Plan'!Z342*Assumptions!$C$6,0)&amp;"h","")</f>
        <v/>
      </c>
    </row>
    <row r="340" customFormat="false" ht="15" hidden="false" customHeight="false" outlineLevel="0" collapsed="false">
      <c r="A340" s="50" t="n">
        <f aca="false">'Project Plan'!A343</f>
        <v>339</v>
      </c>
      <c r="B340" s="50" t="str">
        <f aca="false">'Project Plan'!E343</f>
        <v>Process validation workshops and to-be sign-off</v>
      </c>
      <c r="C340" s="50" t="n">
        <f aca="false">'Project Plan'!C343</f>
        <v>3</v>
      </c>
      <c r="D340" s="50" t="str">
        <f aca="false">'Project Plan'!J343&amp;"d"</f>
        <v>16d</v>
      </c>
      <c r="E340" s="54" t="n">
        <f aca="false">'Project Plan'!K343</f>
        <v>46574</v>
      </c>
      <c r="F340" s="54" t="n">
        <f aca="false">'Project Plan'!L343</f>
        <v>46595</v>
      </c>
      <c r="G340" s="50" t="str">
        <f aca="false">'Project Plan'!M343&amp;""</f>
        <v>300</v>
      </c>
      <c r="H340" s="50" t="str">
        <f aca="false">'Project Plan'!H343&amp;""</f>
        <v>BA</v>
      </c>
      <c r="I340" s="50" t="str">
        <f aca="false">IF('Project Plan'!C343=3,ROUND('Project Plan'!Z343*Assumptions!$C$6,0)&amp;"h","")</f>
        <v>64h</v>
      </c>
    </row>
    <row r="341" customFormat="false" ht="15" hidden="false" customHeight="false" outlineLevel="0" collapsed="false">
      <c r="A341" s="50" t="n">
        <f aca="false">'Project Plan'!A344</f>
        <v>340</v>
      </c>
      <c r="B341" s="50" t="str">
        <f aca="false">'Project Plan'!E344</f>
        <v>LLD, data model and API/event contracts</v>
      </c>
      <c r="C341" s="50" t="n">
        <f aca="false">'Project Plan'!C344</f>
        <v>3</v>
      </c>
      <c r="D341" s="50" t="str">
        <f aca="false">'Project Plan'!J344&amp;"d"</f>
        <v>16d</v>
      </c>
      <c r="E341" s="54" t="n">
        <f aca="false">'Project Plan'!K344</f>
        <v>46589</v>
      </c>
      <c r="F341" s="54" t="n">
        <f aca="false">'Project Plan'!L344</f>
        <v>46610</v>
      </c>
      <c r="G341" s="50" t="str">
        <f aca="false">'Project Plan'!M344&amp;""</f>
        <v>339</v>
      </c>
      <c r="H341" s="50" t="str">
        <f aca="false">'Project Plan'!H344&amp;""</f>
        <v>ARC</v>
      </c>
      <c r="I341" s="50" t="str">
        <f aca="false">IF('Project Plan'!C344=3,ROUND('Project Plan'!Z344*Assumptions!$C$6,0)&amp;"h","")</f>
        <v>55h</v>
      </c>
    </row>
    <row r="342" customFormat="false" ht="15" hidden="false" customHeight="false" outlineLevel="0" collapsed="false">
      <c r="A342" s="50" t="n">
        <f aca="false">'Project Plan'!A345</f>
        <v>341</v>
      </c>
      <c r="B342" s="50" t="str">
        <f aca="false">'Project Plan'!E345</f>
        <v>UX wireframes and UI design</v>
      </c>
      <c r="C342" s="50" t="n">
        <f aca="false">'Project Plan'!C345</f>
        <v>3</v>
      </c>
      <c r="D342" s="50" t="str">
        <f aca="false">'Project Plan'!J345&amp;"d"</f>
        <v>16d</v>
      </c>
      <c r="E342" s="54" t="n">
        <f aca="false">'Project Plan'!K345</f>
        <v>46589</v>
      </c>
      <c r="F342" s="54" t="n">
        <f aca="false">'Project Plan'!L345</f>
        <v>46610</v>
      </c>
      <c r="G342" s="50" t="str">
        <f aca="false">'Project Plan'!M345&amp;""</f>
        <v>339</v>
      </c>
      <c r="H342" s="50" t="str">
        <f aca="false">'Project Plan'!H345&amp;""</f>
        <v>FE</v>
      </c>
      <c r="I342" s="50" t="str">
        <f aca="false">IF('Project Plan'!C345=3,ROUND('Project Plan'!Z345*Assumptions!$C$6,0)&amp;"h","")</f>
        <v>46h</v>
      </c>
    </row>
    <row r="343" customFormat="false" ht="15" hidden="false" customHeight="false" outlineLevel="0" collapsed="false">
      <c r="A343" s="50" t="n">
        <f aca="false">'Project Plan'!A346</f>
        <v>342</v>
      </c>
      <c r="B343" s="50" t="str">
        <f aca="false">'Project Plan'!E346</f>
        <v>Database schema, domain logic and APIs</v>
      </c>
      <c r="C343" s="50" t="n">
        <f aca="false">'Project Plan'!C346</f>
        <v>3</v>
      </c>
      <c r="D343" s="50" t="str">
        <f aca="false">'Project Plan'!J346&amp;"d"</f>
        <v>55d</v>
      </c>
      <c r="E343" s="54" t="n">
        <f aca="false">'Project Plan'!K346</f>
        <v>46608</v>
      </c>
      <c r="F343" s="54" t="n">
        <f aca="false">'Project Plan'!L346</f>
        <v>46682</v>
      </c>
      <c r="G343" s="50" t="str">
        <f aca="false">'Project Plan'!M346&amp;""</f>
        <v>340</v>
      </c>
      <c r="H343" s="50" t="str">
        <f aca="false">'Project Plan'!H346&amp;""</f>
        <v>BE</v>
      </c>
      <c r="I343" s="50" t="str">
        <f aca="false">IF('Project Plan'!C346=3,ROUND('Project Plan'!Z346*Assumptions!$C$6,0)&amp;"h","")</f>
        <v>175h</v>
      </c>
    </row>
    <row r="344" customFormat="false" ht="15" hidden="false" customHeight="false" outlineLevel="0" collapsed="false">
      <c r="A344" s="50" t="n">
        <f aca="false">'Project Plan'!A347</f>
        <v>343</v>
      </c>
      <c r="B344" s="50" t="str">
        <f aca="false">'Project Plan'!E347</f>
        <v>Workflows (BPMN) and rules (DMN) configuration</v>
      </c>
      <c r="C344" s="50" t="n">
        <f aca="false">'Project Plan'!C347</f>
        <v>3</v>
      </c>
      <c r="D344" s="50" t="str">
        <f aca="false">'Project Plan'!J347&amp;"d"</f>
        <v>40d</v>
      </c>
      <c r="E344" s="54" t="n">
        <f aca="false">'Project Plan'!K347</f>
        <v>46630</v>
      </c>
      <c r="F344" s="54" t="n">
        <f aca="false">'Project Plan'!L347</f>
        <v>46685</v>
      </c>
      <c r="G344" s="50" t="str">
        <f aca="false">'Project Plan'!M347&amp;""</f>
        <v>340</v>
      </c>
      <c r="H344" s="50" t="str">
        <f aca="false">'Project Plan'!H347&amp;""</f>
        <v>BE</v>
      </c>
      <c r="I344" s="50" t="str">
        <f aca="false">IF('Project Plan'!C347=3,ROUND('Project Plan'!Z347*Assumptions!$C$6,0)&amp;"h","")</f>
        <v>74h</v>
      </c>
    </row>
    <row r="345" customFormat="false" ht="15" hidden="false" customHeight="false" outlineLevel="0" collapsed="false">
      <c r="A345" s="50" t="n">
        <f aca="false">'Project Plan'!A348</f>
        <v>344</v>
      </c>
      <c r="B345" s="50" t="str">
        <f aca="false">'Project Plan'!E348</f>
        <v>Staff console screens</v>
      </c>
      <c r="C345" s="50" t="n">
        <f aca="false">'Project Plan'!C348</f>
        <v>3</v>
      </c>
      <c r="D345" s="50" t="str">
        <f aca="false">'Project Plan'!J348&amp;"d"</f>
        <v>53d</v>
      </c>
      <c r="E345" s="54" t="n">
        <f aca="false">'Project Plan'!K348</f>
        <v>46619</v>
      </c>
      <c r="F345" s="54" t="n">
        <f aca="false">'Project Plan'!L348</f>
        <v>46693</v>
      </c>
      <c r="G345" s="50" t="str">
        <f aca="false">'Project Plan'!M348&amp;""</f>
        <v>341</v>
      </c>
      <c r="H345" s="50" t="str">
        <f aca="false">'Project Plan'!H348&amp;""</f>
        <v>FE</v>
      </c>
      <c r="I345" s="50" t="str">
        <f aca="false">IF('Project Plan'!C348=3,ROUND('Project Plan'!Z348*Assumptions!$C$6,0)&amp;"h","")</f>
        <v>147h</v>
      </c>
    </row>
    <row r="346" customFormat="false" ht="15" hidden="false" customHeight="false" outlineLevel="0" collapsed="false">
      <c r="A346" s="50" t="n">
        <f aca="false">'Project Plan'!A349</f>
        <v>345</v>
      </c>
      <c r="B346" s="50" t="str">
        <f aca="false">'Project Plan'!E349</f>
        <v>Field app tasks (offline)</v>
      </c>
      <c r="C346" s="50" t="n">
        <f aca="false">'Project Plan'!C349</f>
        <v>3</v>
      </c>
      <c r="D346" s="50" t="str">
        <f aca="false">'Project Plan'!J349&amp;"d"</f>
        <v>40d</v>
      </c>
      <c r="E346" s="54" t="n">
        <f aca="false">'Project Plan'!K349</f>
        <v>46638</v>
      </c>
      <c r="F346" s="54" t="n">
        <f aca="false">'Project Plan'!L349</f>
        <v>46693</v>
      </c>
      <c r="G346" s="50" t="str">
        <f aca="false">'Project Plan'!M349&amp;""</f>
        <v>341</v>
      </c>
      <c r="H346" s="50" t="str">
        <f aca="false">'Project Plan'!H349&amp;""</f>
        <v>MOB</v>
      </c>
      <c r="I346" s="50" t="str">
        <f aca="false">IF('Project Plan'!C349=3,ROUND('Project Plan'!Z349*Assumptions!$C$6,0)&amp;"h","")</f>
        <v>74h</v>
      </c>
    </row>
    <row r="347" customFormat="false" ht="15" hidden="false" customHeight="false" outlineLevel="0" collapsed="false">
      <c r="A347" s="50" t="n">
        <f aca="false">'Project Plan'!A350</f>
        <v>346</v>
      </c>
      <c r="B347" s="50" t="str">
        <f aca="false">'Project Plan'!E350</f>
        <v>GIS layers, map views and spatial checks</v>
      </c>
      <c r="C347" s="50" t="n">
        <f aca="false">'Project Plan'!C350</f>
        <v>3</v>
      </c>
      <c r="D347" s="50" t="str">
        <f aca="false">'Project Plan'!J350&amp;"d"</f>
        <v>46d</v>
      </c>
      <c r="E347" s="54" t="n">
        <f aca="false">'Project Plan'!K350</f>
        <v>46619</v>
      </c>
      <c r="F347" s="54" t="n">
        <f aca="false">'Project Plan'!L350</f>
        <v>46682</v>
      </c>
      <c r="G347" s="50" t="str">
        <f aca="false">'Project Plan'!M350&amp;""</f>
        <v>340</v>
      </c>
      <c r="H347" s="50" t="str">
        <f aca="false">'Project Plan'!H350&amp;""</f>
        <v>GIS</v>
      </c>
      <c r="I347" s="50" t="str">
        <f aca="false">IF('Project Plan'!C350=3,ROUND('Project Plan'!Z350*Assumptions!$C$6,0)&amp;"h","")</f>
        <v>55h</v>
      </c>
    </row>
    <row r="348" customFormat="false" ht="15" hidden="false" customHeight="false" outlineLevel="0" collapsed="false">
      <c r="A348" s="50" t="n">
        <f aca="false">'Project Plan'!A351</f>
        <v>347</v>
      </c>
      <c r="B348" s="50" t="str">
        <f aca="false">'Project Plan'!E351</f>
        <v>Module interfaces (8 I-xx links): events and APIs</v>
      </c>
      <c r="C348" s="50" t="n">
        <f aca="false">'Project Plan'!C351</f>
        <v>3</v>
      </c>
      <c r="D348" s="50" t="str">
        <f aca="false">'Project Plan'!J351&amp;"d"</f>
        <v>37d</v>
      </c>
      <c r="E348" s="54" t="n">
        <f aca="false">'Project Plan'!K351</f>
        <v>46647</v>
      </c>
      <c r="F348" s="54" t="n">
        <f aca="false">'Project Plan'!L351</f>
        <v>46699</v>
      </c>
      <c r="G348" s="50" t="str">
        <f aca="false">'Project Plan'!M351&amp;""</f>
        <v>342</v>
      </c>
      <c r="H348" s="50" t="str">
        <f aca="false">'Project Plan'!H351&amp;""</f>
        <v>BE</v>
      </c>
      <c r="I348" s="50" t="str">
        <f aca="false">IF('Project Plan'!C351=3,ROUND('Project Plan'!Z351*Assumptions!$C$6,0)&amp;"h","")</f>
        <v>110h</v>
      </c>
    </row>
    <row r="349" customFormat="false" ht="15" hidden="false" customHeight="false" outlineLevel="0" collapsed="false">
      <c r="A349" s="50" t="n">
        <f aca="false">'Project Plan'!A352</f>
        <v>348</v>
      </c>
      <c r="B349" s="50" t="str">
        <f aca="false">'Project Plan'!E352</f>
        <v>External system adapters (2)</v>
      </c>
      <c r="C349" s="50" t="n">
        <f aca="false">'Project Plan'!C352</f>
        <v>3</v>
      </c>
      <c r="D349" s="50" t="str">
        <f aca="false">'Project Plan'!J352&amp;"d"</f>
        <v>44d</v>
      </c>
      <c r="E349" s="54" t="n">
        <f aca="false">'Project Plan'!K352</f>
        <v>46638</v>
      </c>
      <c r="F349" s="54" t="n">
        <f aca="false">'Project Plan'!L352</f>
        <v>46699</v>
      </c>
      <c r="G349" s="50" t="str">
        <f aca="false">'Project Plan'!M352&amp;""</f>
        <v>340</v>
      </c>
      <c r="H349" s="50" t="str">
        <f aca="false">'Project Plan'!H352&amp;""</f>
        <v>BE</v>
      </c>
      <c r="I349" s="50" t="str">
        <f aca="false">IF('Project Plan'!C352=3,ROUND('Project Plan'!Z352*Assumptions!$C$6,0)&amp;"h","")</f>
        <v>110h</v>
      </c>
    </row>
    <row r="350" customFormat="false" ht="15" hidden="false" customHeight="false" outlineLevel="0" collapsed="false">
      <c r="A350" s="50" t="n">
        <f aca="false">'Project Plan'!A353</f>
        <v>349</v>
      </c>
      <c r="B350" s="50" t="str">
        <f aca="false">'Project Plan'!E353</f>
        <v>Reports, dashboards, notices and templates (all active languages)</v>
      </c>
      <c r="C350" s="50" t="n">
        <f aca="false">'Project Plan'!C353</f>
        <v>3</v>
      </c>
      <c r="D350" s="50" t="str">
        <f aca="false">'Project Plan'!J353&amp;"d"</f>
        <v>26d</v>
      </c>
      <c r="E350" s="54" t="n">
        <f aca="false">'Project Plan'!K353</f>
        <v>46666</v>
      </c>
      <c r="F350" s="54" t="n">
        <f aca="false">'Project Plan'!L353</f>
        <v>46701</v>
      </c>
      <c r="G350" s="50" t="str">
        <f aca="false">'Project Plan'!M353&amp;""</f>
        <v>342</v>
      </c>
      <c r="H350" s="50" t="str">
        <f aca="false">'Project Plan'!H353&amp;""</f>
        <v>BE</v>
      </c>
      <c r="I350" s="50" t="str">
        <f aca="false">IF('Project Plan'!C353=3,ROUND('Project Plan'!Z353*Assumptions!$C$6,0)&amp;"h","")</f>
        <v>46h</v>
      </c>
    </row>
    <row r="351" customFormat="false" ht="15" hidden="false" customHeight="false" outlineLevel="0" collapsed="false">
      <c r="A351" s="50" t="n">
        <f aca="false">'Project Plan'!A354</f>
        <v>350</v>
      </c>
      <c r="B351" s="50" t="str">
        <f aca="false">'Project Plan'!E354</f>
        <v>System integration testing</v>
      </c>
      <c r="C351" s="50" t="n">
        <f aca="false">'Project Plan'!C354</f>
        <v>3</v>
      </c>
      <c r="D351" s="50" t="str">
        <f aca="false">'Project Plan'!J354&amp;"d"</f>
        <v>21d</v>
      </c>
      <c r="E351" s="54" t="n">
        <f aca="false">'Project Plan'!K354</f>
        <v>46688</v>
      </c>
      <c r="F351" s="54" t="n">
        <f aca="false">'Project Plan'!L354</f>
        <v>46716</v>
      </c>
      <c r="G351" s="50" t="str">
        <f aca="false">'Project Plan'!M354&amp;""</f>
        <v>342,344</v>
      </c>
      <c r="H351" s="50" t="str">
        <f aca="false">'Project Plan'!H354&amp;""</f>
        <v>QA</v>
      </c>
      <c r="I351" s="50" t="str">
        <f aca="false">IF('Project Plan'!C354=3,ROUND('Project Plan'!Z354*Assumptions!$C$6,0)&amp;"h","")</f>
        <v>110h</v>
      </c>
    </row>
    <row r="352" customFormat="false" ht="15" hidden="false" customHeight="false" outlineLevel="0" collapsed="false">
      <c r="A352" s="50" t="n">
        <f aca="false">'Project Plan'!A355</f>
        <v>351</v>
      </c>
      <c r="B352" s="50" t="str">
        <f aca="false">'Project Plan'!E355</f>
        <v>Defect fixing and regression</v>
      </c>
      <c r="C352" s="50" t="n">
        <f aca="false">'Project Plan'!C355</f>
        <v>3</v>
      </c>
      <c r="D352" s="50" t="str">
        <f aca="false">'Project Plan'!J355&amp;"d"</f>
        <v>26d</v>
      </c>
      <c r="E352" s="54" t="n">
        <f aca="false">'Project Plan'!K355</f>
        <v>46694</v>
      </c>
      <c r="F352" s="54" t="n">
        <f aca="false">'Project Plan'!L355</f>
        <v>46729</v>
      </c>
      <c r="G352" s="50" t="str">
        <f aca="false">'Project Plan'!M355&amp;""</f>
        <v>350</v>
      </c>
      <c r="H352" s="50" t="str">
        <f aca="false">'Project Plan'!H355&amp;""</f>
        <v>BE</v>
      </c>
      <c r="I352" s="50" t="str">
        <f aca="false">IF('Project Plan'!C355=3,ROUND('Project Plan'!Z355*Assumptions!$C$6,0)&amp;"h","")</f>
        <v>92h</v>
      </c>
    </row>
    <row r="353" customFormat="false" ht="15" hidden="false" customHeight="false" outlineLevel="0" collapsed="false">
      <c r="A353" s="50" t="n">
        <f aca="false">'Project Plan'!A356</f>
        <v>352</v>
      </c>
      <c r="B353" s="50" t="str">
        <f aca="false">'Project Plan'!E356</f>
        <v>UAT support with GWMC department</v>
      </c>
      <c r="C353" s="50" t="n">
        <f aca="false">'Project Plan'!C356</f>
        <v>3</v>
      </c>
      <c r="D353" s="50" t="str">
        <f aca="false">'Project Plan'!J356&amp;"d"</f>
        <v>13d</v>
      </c>
      <c r="E353" s="54" t="n">
        <f aca="false">'Project Plan'!K356</f>
        <v>46717</v>
      </c>
      <c r="F353" s="54" t="n">
        <f aca="false">'Project Plan'!L356</f>
        <v>46735</v>
      </c>
      <c r="G353" s="50" t="str">
        <f aca="false">'Project Plan'!M356&amp;""</f>
        <v>350</v>
      </c>
      <c r="H353" s="50" t="str">
        <f aca="false">'Project Plan'!H356&amp;""</f>
        <v>BA</v>
      </c>
      <c r="I353" s="50" t="str">
        <f aca="false">IF('Project Plan'!C356=3,ROUND('Project Plan'!Z356*Assumptions!$C$6,0)&amp;"h","")</f>
        <v>55h</v>
      </c>
    </row>
    <row r="354" customFormat="false" ht="15" hidden="false" customHeight="false" outlineLevel="0" collapsed="false">
      <c r="A354" s="50" t="n">
        <f aca="false">'Project Plan'!A357</f>
        <v>353</v>
      </c>
      <c r="B354" s="50" t="str">
        <f aca="false">'Project Plan'!E357</f>
        <v>Training material and department training</v>
      </c>
      <c r="C354" s="50" t="n">
        <f aca="false">'Project Plan'!C357</f>
        <v>3</v>
      </c>
      <c r="D354" s="50" t="str">
        <f aca="false">'Project Plan'!J357&amp;"d"</f>
        <v>13d</v>
      </c>
      <c r="E354" s="54" t="n">
        <f aca="false">'Project Plan'!K357</f>
        <v>46722</v>
      </c>
      <c r="F354" s="54" t="n">
        <f aca="false">'Project Plan'!L357</f>
        <v>46738</v>
      </c>
      <c r="G354" s="50" t="str">
        <f aca="false">'Project Plan'!M357&amp;""</f>
        <v>352</v>
      </c>
      <c r="H354" s="50" t="str">
        <f aca="false">'Project Plan'!H357&amp;""</f>
        <v>TRN</v>
      </c>
      <c r="I354" s="50" t="str">
        <f aca="false">IF('Project Plan'!C357=3,ROUND('Project Plan'!Z357*Assumptions!$C$6,0)&amp;"h","")</f>
        <v>46h</v>
      </c>
    </row>
    <row r="355" customFormat="false" ht="15" hidden="false" customHeight="false" outlineLevel="0" collapsed="false">
      <c r="A355" s="50" t="n">
        <f aca="false">'Project Plan'!A358</f>
        <v>354</v>
      </c>
      <c r="B355" s="50" t="str">
        <f aca="false">'Project Plan'!E358</f>
        <v>Module 14: Parks &amp; Horticulture Management</v>
      </c>
      <c r="C355" s="50" t="n">
        <f aca="false">'Project Plan'!C358</f>
        <v>2</v>
      </c>
      <c r="D355" s="50" t="str">
        <f aca="false">'Project Plan'!J358&amp;"d"</f>
        <v>119d</v>
      </c>
      <c r="E355" s="54" t="n">
        <f aca="false">'Project Plan'!K358</f>
        <v>46574</v>
      </c>
      <c r="F355" s="54" t="n">
        <f aca="false">'Project Plan'!L358</f>
        <v>46738</v>
      </c>
      <c r="G355" s="50" t="str">
        <f aca="false">'Project Plan'!M358&amp;""</f>
        <v/>
      </c>
      <c r="H355" s="50" t="str">
        <f aca="false">'Project Plan'!H358&amp;""</f>
        <v/>
      </c>
      <c r="I355" s="50" t="str">
        <f aca="false">IF('Project Plan'!C358=3,ROUND('Project Plan'!Z358*Assumptions!$C$6,0)&amp;"h","")</f>
        <v/>
      </c>
    </row>
    <row r="356" customFormat="false" ht="15" hidden="false" customHeight="false" outlineLevel="0" collapsed="false">
      <c r="A356" s="50" t="n">
        <f aca="false">'Project Plan'!A359</f>
        <v>355</v>
      </c>
      <c r="B356" s="50" t="str">
        <f aca="false">'Project Plan'!E359</f>
        <v>Process validation workshops and to-be sign-off</v>
      </c>
      <c r="C356" s="50" t="n">
        <f aca="false">'Project Plan'!C359</f>
        <v>3</v>
      </c>
      <c r="D356" s="50" t="str">
        <f aca="false">'Project Plan'!J359&amp;"d"</f>
        <v>16d</v>
      </c>
      <c r="E356" s="54" t="n">
        <f aca="false">'Project Plan'!K359</f>
        <v>46574</v>
      </c>
      <c r="F356" s="54" t="n">
        <f aca="false">'Project Plan'!L359</f>
        <v>46595</v>
      </c>
      <c r="G356" s="50" t="str">
        <f aca="false">'Project Plan'!M359&amp;""</f>
        <v>300</v>
      </c>
      <c r="H356" s="50" t="str">
        <f aca="false">'Project Plan'!H359&amp;""</f>
        <v>BA</v>
      </c>
      <c r="I356" s="50" t="str">
        <f aca="false">IF('Project Plan'!C359=3,ROUND('Project Plan'!Z359*Assumptions!$C$6,0)&amp;"h","")</f>
        <v>92h</v>
      </c>
    </row>
    <row r="357" customFormat="false" ht="15" hidden="false" customHeight="false" outlineLevel="0" collapsed="false">
      <c r="A357" s="50" t="n">
        <f aca="false">'Project Plan'!A360</f>
        <v>356</v>
      </c>
      <c r="B357" s="50" t="str">
        <f aca="false">'Project Plan'!E360</f>
        <v>LLD, data model and API/event contracts</v>
      </c>
      <c r="C357" s="50" t="n">
        <f aca="false">'Project Plan'!C360</f>
        <v>3</v>
      </c>
      <c r="D357" s="50" t="str">
        <f aca="false">'Project Plan'!J360&amp;"d"</f>
        <v>16d</v>
      </c>
      <c r="E357" s="54" t="n">
        <f aca="false">'Project Plan'!K360</f>
        <v>46589</v>
      </c>
      <c r="F357" s="54" t="n">
        <f aca="false">'Project Plan'!L360</f>
        <v>46610</v>
      </c>
      <c r="G357" s="50" t="str">
        <f aca="false">'Project Plan'!M360&amp;""</f>
        <v>355</v>
      </c>
      <c r="H357" s="50" t="str">
        <f aca="false">'Project Plan'!H360&amp;""</f>
        <v>ARC</v>
      </c>
      <c r="I357" s="50" t="str">
        <f aca="false">IF('Project Plan'!C360=3,ROUND('Project Plan'!Z360*Assumptions!$C$6,0)&amp;"h","")</f>
        <v>74h</v>
      </c>
    </row>
    <row r="358" customFormat="false" ht="15" hidden="false" customHeight="false" outlineLevel="0" collapsed="false">
      <c r="A358" s="50" t="n">
        <f aca="false">'Project Plan'!A361</f>
        <v>357</v>
      </c>
      <c r="B358" s="50" t="str">
        <f aca="false">'Project Plan'!E361</f>
        <v>UX wireframes and UI design</v>
      </c>
      <c r="C358" s="50" t="n">
        <f aca="false">'Project Plan'!C361</f>
        <v>3</v>
      </c>
      <c r="D358" s="50" t="str">
        <f aca="false">'Project Plan'!J361&amp;"d"</f>
        <v>16d</v>
      </c>
      <c r="E358" s="54" t="n">
        <f aca="false">'Project Plan'!K361</f>
        <v>46589</v>
      </c>
      <c r="F358" s="54" t="n">
        <f aca="false">'Project Plan'!L361</f>
        <v>46610</v>
      </c>
      <c r="G358" s="50" t="str">
        <f aca="false">'Project Plan'!M361&amp;""</f>
        <v>355</v>
      </c>
      <c r="H358" s="50" t="str">
        <f aca="false">'Project Plan'!H361&amp;""</f>
        <v>FE</v>
      </c>
      <c r="I358" s="50" t="str">
        <f aca="false">IF('Project Plan'!C361=3,ROUND('Project Plan'!Z361*Assumptions!$C$6,0)&amp;"h","")</f>
        <v>64h</v>
      </c>
    </row>
    <row r="359" customFormat="false" ht="15" hidden="false" customHeight="false" outlineLevel="0" collapsed="false">
      <c r="A359" s="50" t="n">
        <f aca="false">'Project Plan'!A362</f>
        <v>358</v>
      </c>
      <c r="B359" s="50" t="str">
        <f aca="false">'Project Plan'!E362</f>
        <v>Database schema, domain logic and APIs</v>
      </c>
      <c r="C359" s="50" t="n">
        <f aca="false">'Project Plan'!C362</f>
        <v>3</v>
      </c>
      <c r="D359" s="50" t="str">
        <f aca="false">'Project Plan'!J362&amp;"d"</f>
        <v>55d</v>
      </c>
      <c r="E359" s="54" t="n">
        <f aca="false">'Project Plan'!K362</f>
        <v>46608</v>
      </c>
      <c r="F359" s="54" t="n">
        <f aca="false">'Project Plan'!L362</f>
        <v>46682</v>
      </c>
      <c r="G359" s="50" t="str">
        <f aca="false">'Project Plan'!M362&amp;""</f>
        <v>356</v>
      </c>
      <c r="H359" s="50" t="str">
        <f aca="false">'Project Plan'!H362&amp;""</f>
        <v>BE</v>
      </c>
      <c r="I359" s="50" t="str">
        <f aca="false">IF('Project Plan'!C362=3,ROUND('Project Plan'!Z362*Assumptions!$C$6,0)&amp;"h","")</f>
        <v>248h</v>
      </c>
    </row>
    <row r="360" customFormat="false" ht="15" hidden="false" customHeight="false" outlineLevel="0" collapsed="false">
      <c r="A360" s="50" t="n">
        <f aca="false">'Project Plan'!A363</f>
        <v>359</v>
      </c>
      <c r="B360" s="50" t="str">
        <f aca="false">'Project Plan'!E363</f>
        <v>Workflows (BPMN) and rules (DMN) configuration</v>
      </c>
      <c r="C360" s="50" t="n">
        <f aca="false">'Project Plan'!C363</f>
        <v>3</v>
      </c>
      <c r="D360" s="50" t="str">
        <f aca="false">'Project Plan'!J363&amp;"d"</f>
        <v>40d</v>
      </c>
      <c r="E360" s="54" t="n">
        <f aca="false">'Project Plan'!K363</f>
        <v>46630</v>
      </c>
      <c r="F360" s="54" t="n">
        <f aca="false">'Project Plan'!L363</f>
        <v>46685</v>
      </c>
      <c r="G360" s="50" t="str">
        <f aca="false">'Project Plan'!M363&amp;""</f>
        <v>356</v>
      </c>
      <c r="H360" s="50" t="str">
        <f aca="false">'Project Plan'!H363&amp;""</f>
        <v>BE</v>
      </c>
      <c r="I360" s="50" t="str">
        <f aca="false">IF('Project Plan'!C363=3,ROUND('Project Plan'!Z363*Assumptions!$C$6,0)&amp;"h","")</f>
        <v>120h</v>
      </c>
    </row>
    <row r="361" customFormat="false" ht="15" hidden="false" customHeight="false" outlineLevel="0" collapsed="false">
      <c r="A361" s="50" t="n">
        <f aca="false">'Project Plan'!A364</f>
        <v>360</v>
      </c>
      <c r="B361" s="50" t="str">
        <f aca="false">'Project Plan'!E364</f>
        <v>Staff console screens</v>
      </c>
      <c r="C361" s="50" t="n">
        <f aca="false">'Project Plan'!C364</f>
        <v>3</v>
      </c>
      <c r="D361" s="50" t="str">
        <f aca="false">'Project Plan'!J364&amp;"d"</f>
        <v>53d</v>
      </c>
      <c r="E361" s="54" t="n">
        <f aca="false">'Project Plan'!K364</f>
        <v>46619</v>
      </c>
      <c r="F361" s="54" t="n">
        <f aca="false">'Project Plan'!L364</f>
        <v>46693</v>
      </c>
      <c r="G361" s="50" t="str">
        <f aca="false">'Project Plan'!M364&amp;""</f>
        <v>357</v>
      </c>
      <c r="H361" s="50" t="str">
        <f aca="false">'Project Plan'!H364&amp;""</f>
        <v>FE</v>
      </c>
      <c r="I361" s="50" t="str">
        <f aca="false">IF('Project Plan'!C364=3,ROUND('Project Plan'!Z364*Assumptions!$C$6,0)&amp;"h","")</f>
        <v>202h</v>
      </c>
    </row>
    <row r="362" customFormat="false" ht="15" hidden="false" customHeight="false" outlineLevel="0" collapsed="false">
      <c r="A362" s="50" t="n">
        <f aca="false">'Project Plan'!A365</f>
        <v>361</v>
      </c>
      <c r="B362" s="50" t="str">
        <f aca="false">'Project Plan'!E365</f>
        <v>Citizen portal and app services</v>
      </c>
      <c r="C362" s="50" t="n">
        <f aca="false">'Project Plan'!C365</f>
        <v>3</v>
      </c>
      <c r="D362" s="50" t="str">
        <f aca="false">'Project Plan'!J365&amp;"d"</f>
        <v>40d</v>
      </c>
      <c r="E362" s="54" t="n">
        <f aca="false">'Project Plan'!K365</f>
        <v>46638</v>
      </c>
      <c r="F362" s="54" t="n">
        <f aca="false">'Project Plan'!L365</f>
        <v>46693</v>
      </c>
      <c r="G362" s="50" t="str">
        <f aca="false">'Project Plan'!M365&amp;""</f>
        <v>357</v>
      </c>
      <c r="H362" s="50" t="str">
        <f aca="false">'Project Plan'!H365&amp;""</f>
        <v>FE</v>
      </c>
      <c r="I362" s="50" t="str">
        <f aca="false">IF('Project Plan'!C365=3,ROUND('Project Plan'!Z365*Assumptions!$C$6,0)&amp;"h","")</f>
        <v>147h</v>
      </c>
    </row>
    <row r="363" customFormat="false" ht="15" hidden="false" customHeight="false" outlineLevel="0" collapsed="false">
      <c r="A363" s="50" t="n">
        <f aca="false">'Project Plan'!A366</f>
        <v>362</v>
      </c>
      <c r="B363" s="50" t="str">
        <f aca="false">'Project Plan'!E366</f>
        <v>Field app tasks (offline)</v>
      </c>
      <c r="C363" s="50" t="n">
        <f aca="false">'Project Plan'!C366</f>
        <v>3</v>
      </c>
      <c r="D363" s="50" t="str">
        <f aca="false">'Project Plan'!J366&amp;"d"</f>
        <v>40d</v>
      </c>
      <c r="E363" s="54" t="n">
        <f aca="false">'Project Plan'!K366</f>
        <v>46638</v>
      </c>
      <c r="F363" s="54" t="n">
        <f aca="false">'Project Plan'!L366</f>
        <v>46693</v>
      </c>
      <c r="G363" s="50" t="str">
        <f aca="false">'Project Plan'!M366&amp;""</f>
        <v>357</v>
      </c>
      <c r="H363" s="50" t="str">
        <f aca="false">'Project Plan'!H366&amp;""</f>
        <v>MOB</v>
      </c>
      <c r="I363" s="50" t="str">
        <f aca="false">IF('Project Plan'!C366=3,ROUND('Project Plan'!Z366*Assumptions!$C$6,0)&amp;"h","")</f>
        <v>101h</v>
      </c>
    </row>
    <row r="364" customFormat="false" ht="15" hidden="false" customHeight="false" outlineLevel="0" collapsed="false">
      <c r="A364" s="50" t="n">
        <f aca="false">'Project Plan'!A367</f>
        <v>363</v>
      </c>
      <c r="B364" s="50" t="str">
        <f aca="false">'Project Plan'!E367</f>
        <v>GIS layers, map views and spatial checks</v>
      </c>
      <c r="C364" s="50" t="n">
        <f aca="false">'Project Plan'!C367</f>
        <v>3</v>
      </c>
      <c r="D364" s="50" t="str">
        <f aca="false">'Project Plan'!J367&amp;"d"</f>
        <v>46d</v>
      </c>
      <c r="E364" s="54" t="n">
        <f aca="false">'Project Plan'!K367</f>
        <v>46619</v>
      </c>
      <c r="F364" s="54" t="n">
        <f aca="false">'Project Plan'!L367</f>
        <v>46682</v>
      </c>
      <c r="G364" s="50" t="str">
        <f aca="false">'Project Plan'!M367&amp;""</f>
        <v>356</v>
      </c>
      <c r="H364" s="50" t="str">
        <f aca="false">'Project Plan'!H367&amp;""</f>
        <v>GIS</v>
      </c>
      <c r="I364" s="50" t="str">
        <f aca="false">IF('Project Plan'!C367=3,ROUND('Project Plan'!Z367*Assumptions!$C$6,0)&amp;"h","")</f>
        <v>83h</v>
      </c>
    </row>
    <row r="365" customFormat="false" ht="15" hidden="false" customHeight="false" outlineLevel="0" collapsed="false">
      <c r="A365" s="50" t="n">
        <f aca="false">'Project Plan'!A368</f>
        <v>364</v>
      </c>
      <c r="B365" s="50" t="str">
        <f aca="false">'Project Plan'!E368</f>
        <v>Module interfaces (6 I-xx links): events and APIs</v>
      </c>
      <c r="C365" s="50" t="n">
        <f aca="false">'Project Plan'!C368</f>
        <v>3</v>
      </c>
      <c r="D365" s="50" t="str">
        <f aca="false">'Project Plan'!J368&amp;"d"</f>
        <v>37d</v>
      </c>
      <c r="E365" s="54" t="n">
        <f aca="false">'Project Plan'!K368</f>
        <v>46647</v>
      </c>
      <c r="F365" s="54" t="n">
        <f aca="false">'Project Plan'!L368</f>
        <v>46699</v>
      </c>
      <c r="G365" s="50" t="str">
        <f aca="false">'Project Plan'!M368&amp;""</f>
        <v>358</v>
      </c>
      <c r="H365" s="50" t="str">
        <f aca="false">'Project Plan'!H368&amp;""</f>
        <v>BE</v>
      </c>
      <c r="I365" s="50" t="str">
        <f aca="false">IF('Project Plan'!C368=3,ROUND('Project Plan'!Z368*Assumptions!$C$6,0)&amp;"h","")</f>
        <v>83h</v>
      </c>
    </row>
    <row r="366" customFormat="false" ht="15" hidden="false" customHeight="false" outlineLevel="0" collapsed="false">
      <c r="A366" s="50" t="n">
        <f aca="false">'Project Plan'!A369</f>
        <v>365</v>
      </c>
      <c r="B366" s="50" t="str">
        <f aca="false">'Project Plan'!E369</f>
        <v>Reports, dashboards, notices and templates (all active languages)</v>
      </c>
      <c r="C366" s="50" t="n">
        <f aca="false">'Project Plan'!C369</f>
        <v>3</v>
      </c>
      <c r="D366" s="50" t="str">
        <f aca="false">'Project Plan'!J369&amp;"d"</f>
        <v>26d</v>
      </c>
      <c r="E366" s="54" t="n">
        <f aca="false">'Project Plan'!K369</f>
        <v>46666</v>
      </c>
      <c r="F366" s="54" t="n">
        <f aca="false">'Project Plan'!L369</f>
        <v>46701</v>
      </c>
      <c r="G366" s="50" t="str">
        <f aca="false">'Project Plan'!M369&amp;""</f>
        <v>358</v>
      </c>
      <c r="H366" s="50" t="str">
        <f aca="false">'Project Plan'!H369&amp;""</f>
        <v>BE</v>
      </c>
      <c r="I366" s="50" t="str">
        <f aca="false">IF('Project Plan'!C369=3,ROUND('Project Plan'!Z369*Assumptions!$C$6,0)&amp;"h","")</f>
        <v>92h</v>
      </c>
    </row>
    <row r="367" customFormat="false" ht="15" hidden="false" customHeight="false" outlineLevel="0" collapsed="false">
      <c r="A367" s="50" t="n">
        <f aca="false">'Project Plan'!A370</f>
        <v>366</v>
      </c>
      <c r="B367" s="50" t="str">
        <f aca="false">'Project Plan'!E370</f>
        <v>System integration testing</v>
      </c>
      <c r="C367" s="50" t="n">
        <f aca="false">'Project Plan'!C370</f>
        <v>3</v>
      </c>
      <c r="D367" s="50" t="str">
        <f aca="false">'Project Plan'!J370&amp;"d"</f>
        <v>21d</v>
      </c>
      <c r="E367" s="54" t="n">
        <f aca="false">'Project Plan'!K370</f>
        <v>46688</v>
      </c>
      <c r="F367" s="54" t="n">
        <f aca="false">'Project Plan'!L370</f>
        <v>46716</v>
      </c>
      <c r="G367" s="50" t="str">
        <f aca="false">'Project Plan'!M370&amp;""</f>
        <v>358,360</v>
      </c>
      <c r="H367" s="50" t="str">
        <f aca="false">'Project Plan'!H370&amp;""</f>
        <v>QA</v>
      </c>
      <c r="I367" s="50" t="str">
        <f aca="false">IF('Project Plan'!C370=3,ROUND('Project Plan'!Z370*Assumptions!$C$6,0)&amp;"h","")</f>
        <v>166h</v>
      </c>
    </row>
    <row r="368" customFormat="false" ht="15" hidden="false" customHeight="false" outlineLevel="0" collapsed="false">
      <c r="A368" s="50" t="n">
        <f aca="false">'Project Plan'!A371</f>
        <v>367</v>
      </c>
      <c r="B368" s="50" t="str">
        <f aca="false">'Project Plan'!E371</f>
        <v>Defect fixing and regression</v>
      </c>
      <c r="C368" s="50" t="n">
        <f aca="false">'Project Plan'!C371</f>
        <v>3</v>
      </c>
      <c r="D368" s="50" t="str">
        <f aca="false">'Project Plan'!J371&amp;"d"</f>
        <v>26d</v>
      </c>
      <c r="E368" s="54" t="n">
        <f aca="false">'Project Plan'!K371</f>
        <v>46694</v>
      </c>
      <c r="F368" s="54" t="n">
        <f aca="false">'Project Plan'!L371</f>
        <v>46729</v>
      </c>
      <c r="G368" s="50" t="str">
        <f aca="false">'Project Plan'!M371&amp;""</f>
        <v>366</v>
      </c>
      <c r="H368" s="50" t="str">
        <f aca="false">'Project Plan'!H371&amp;""</f>
        <v>BE</v>
      </c>
      <c r="I368" s="50" t="str">
        <f aca="false">IF('Project Plan'!C371=3,ROUND('Project Plan'!Z371*Assumptions!$C$6,0)&amp;"h","")</f>
        <v>138h</v>
      </c>
    </row>
    <row r="369" customFormat="false" ht="15" hidden="false" customHeight="false" outlineLevel="0" collapsed="false">
      <c r="A369" s="50" t="n">
        <f aca="false">'Project Plan'!A372</f>
        <v>368</v>
      </c>
      <c r="B369" s="50" t="str">
        <f aca="false">'Project Plan'!E372</f>
        <v>UAT support with GWMC department</v>
      </c>
      <c r="C369" s="50" t="n">
        <f aca="false">'Project Plan'!C372</f>
        <v>3</v>
      </c>
      <c r="D369" s="50" t="str">
        <f aca="false">'Project Plan'!J372&amp;"d"</f>
        <v>13d</v>
      </c>
      <c r="E369" s="54" t="n">
        <f aca="false">'Project Plan'!K372</f>
        <v>46717</v>
      </c>
      <c r="F369" s="54" t="n">
        <f aca="false">'Project Plan'!L372</f>
        <v>46735</v>
      </c>
      <c r="G369" s="50" t="str">
        <f aca="false">'Project Plan'!M372&amp;""</f>
        <v>366</v>
      </c>
      <c r="H369" s="50" t="str">
        <f aca="false">'Project Plan'!H372&amp;""</f>
        <v>BA</v>
      </c>
      <c r="I369" s="50" t="str">
        <f aca="false">IF('Project Plan'!C372=3,ROUND('Project Plan'!Z372*Assumptions!$C$6,0)&amp;"h","")</f>
        <v>74h</v>
      </c>
    </row>
    <row r="370" customFormat="false" ht="15" hidden="false" customHeight="false" outlineLevel="0" collapsed="false">
      <c r="A370" s="50" t="n">
        <f aca="false">'Project Plan'!A373</f>
        <v>369</v>
      </c>
      <c r="B370" s="50" t="str">
        <f aca="false">'Project Plan'!E373</f>
        <v>Training material and department training</v>
      </c>
      <c r="C370" s="50" t="n">
        <f aca="false">'Project Plan'!C373</f>
        <v>3</v>
      </c>
      <c r="D370" s="50" t="str">
        <f aca="false">'Project Plan'!J373&amp;"d"</f>
        <v>13d</v>
      </c>
      <c r="E370" s="54" t="n">
        <f aca="false">'Project Plan'!K373</f>
        <v>46722</v>
      </c>
      <c r="F370" s="54" t="n">
        <f aca="false">'Project Plan'!L373</f>
        <v>46738</v>
      </c>
      <c r="G370" s="50" t="str">
        <f aca="false">'Project Plan'!M373&amp;""</f>
        <v>368</v>
      </c>
      <c r="H370" s="50" t="str">
        <f aca="false">'Project Plan'!H373&amp;""</f>
        <v>TRN</v>
      </c>
      <c r="I370" s="50" t="str">
        <f aca="false">IF('Project Plan'!C373=3,ROUND('Project Plan'!Z373*Assumptions!$C$6,0)&amp;"h","")</f>
        <v>64h</v>
      </c>
    </row>
    <row r="371" customFormat="false" ht="15" hidden="false" customHeight="false" outlineLevel="0" collapsed="false">
      <c r="A371" s="50" t="n">
        <f aca="false">'Project Plan'!A374</f>
        <v>370</v>
      </c>
      <c r="B371" s="50" t="str">
        <f aca="false">'Project Plan'!E374</f>
        <v>Module 17: Inventory &amp; Stores Management</v>
      </c>
      <c r="C371" s="50" t="n">
        <f aca="false">'Project Plan'!C374</f>
        <v>2</v>
      </c>
      <c r="D371" s="50" t="str">
        <f aca="false">'Project Plan'!J374&amp;"d"</f>
        <v>119d</v>
      </c>
      <c r="E371" s="54" t="n">
        <f aca="false">'Project Plan'!K374</f>
        <v>46574</v>
      </c>
      <c r="F371" s="54" t="n">
        <f aca="false">'Project Plan'!L374</f>
        <v>46738</v>
      </c>
      <c r="G371" s="50" t="str">
        <f aca="false">'Project Plan'!M374&amp;""</f>
        <v/>
      </c>
      <c r="H371" s="50" t="str">
        <f aca="false">'Project Plan'!H374&amp;""</f>
        <v/>
      </c>
      <c r="I371" s="50" t="str">
        <f aca="false">IF('Project Plan'!C374=3,ROUND('Project Plan'!Z374*Assumptions!$C$6,0)&amp;"h","")</f>
        <v/>
      </c>
    </row>
    <row r="372" customFormat="false" ht="15" hidden="false" customHeight="false" outlineLevel="0" collapsed="false">
      <c r="A372" s="50" t="n">
        <f aca="false">'Project Plan'!A375</f>
        <v>371</v>
      </c>
      <c r="B372" s="50" t="str">
        <f aca="false">'Project Plan'!E375</f>
        <v>Process validation workshops and to-be sign-off</v>
      </c>
      <c r="C372" s="50" t="n">
        <f aca="false">'Project Plan'!C375</f>
        <v>3</v>
      </c>
      <c r="D372" s="50" t="str">
        <f aca="false">'Project Plan'!J375&amp;"d"</f>
        <v>16d</v>
      </c>
      <c r="E372" s="54" t="n">
        <f aca="false">'Project Plan'!K375</f>
        <v>46574</v>
      </c>
      <c r="F372" s="54" t="n">
        <f aca="false">'Project Plan'!L375</f>
        <v>46595</v>
      </c>
      <c r="G372" s="50" t="str">
        <f aca="false">'Project Plan'!M375&amp;""</f>
        <v>300</v>
      </c>
      <c r="H372" s="50" t="str">
        <f aca="false">'Project Plan'!H375&amp;""</f>
        <v>BA</v>
      </c>
      <c r="I372" s="50" t="str">
        <f aca="false">IF('Project Plan'!C375=3,ROUND('Project Plan'!Z375*Assumptions!$C$6,0)&amp;"h","")</f>
        <v>92h</v>
      </c>
    </row>
    <row r="373" customFormat="false" ht="15" hidden="false" customHeight="false" outlineLevel="0" collapsed="false">
      <c r="A373" s="50" t="n">
        <f aca="false">'Project Plan'!A376</f>
        <v>372</v>
      </c>
      <c r="B373" s="50" t="str">
        <f aca="false">'Project Plan'!E376</f>
        <v>LLD, data model and API/event contracts</v>
      </c>
      <c r="C373" s="50" t="n">
        <f aca="false">'Project Plan'!C376</f>
        <v>3</v>
      </c>
      <c r="D373" s="50" t="str">
        <f aca="false">'Project Plan'!J376&amp;"d"</f>
        <v>16d</v>
      </c>
      <c r="E373" s="54" t="n">
        <f aca="false">'Project Plan'!K376</f>
        <v>46589</v>
      </c>
      <c r="F373" s="54" t="n">
        <f aca="false">'Project Plan'!L376</f>
        <v>46610</v>
      </c>
      <c r="G373" s="50" t="str">
        <f aca="false">'Project Plan'!M376&amp;""</f>
        <v>371</v>
      </c>
      <c r="H373" s="50" t="str">
        <f aca="false">'Project Plan'!H376&amp;""</f>
        <v>ARC</v>
      </c>
      <c r="I373" s="50" t="str">
        <f aca="false">IF('Project Plan'!C376=3,ROUND('Project Plan'!Z376*Assumptions!$C$6,0)&amp;"h","")</f>
        <v>74h</v>
      </c>
    </row>
    <row r="374" customFormat="false" ht="15" hidden="false" customHeight="false" outlineLevel="0" collapsed="false">
      <c r="A374" s="50" t="n">
        <f aca="false">'Project Plan'!A377</f>
        <v>373</v>
      </c>
      <c r="B374" s="50" t="str">
        <f aca="false">'Project Plan'!E377</f>
        <v>UX wireframes and UI design</v>
      </c>
      <c r="C374" s="50" t="n">
        <f aca="false">'Project Plan'!C377</f>
        <v>3</v>
      </c>
      <c r="D374" s="50" t="str">
        <f aca="false">'Project Plan'!J377&amp;"d"</f>
        <v>16d</v>
      </c>
      <c r="E374" s="54" t="n">
        <f aca="false">'Project Plan'!K377</f>
        <v>46589</v>
      </c>
      <c r="F374" s="54" t="n">
        <f aca="false">'Project Plan'!L377</f>
        <v>46610</v>
      </c>
      <c r="G374" s="50" t="str">
        <f aca="false">'Project Plan'!M377&amp;""</f>
        <v>371</v>
      </c>
      <c r="H374" s="50" t="str">
        <f aca="false">'Project Plan'!H377&amp;""</f>
        <v>FE</v>
      </c>
      <c r="I374" s="50" t="str">
        <f aca="false">IF('Project Plan'!C377=3,ROUND('Project Plan'!Z377*Assumptions!$C$6,0)&amp;"h","")</f>
        <v>64h</v>
      </c>
    </row>
    <row r="375" customFormat="false" ht="15" hidden="false" customHeight="false" outlineLevel="0" collapsed="false">
      <c r="A375" s="50" t="n">
        <f aca="false">'Project Plan'!A378</f>
        <v>374</v>
      </c>
      <c r="B375" s="50" t="str">
        <f aca="false">'Project Plan'!E378</f>
        <v>Database schema, domain logic and APIs</v>
      </c>
      <c r="C375" s="50" t="n">
        <f aca="false">'Project Plan'!C378</f>
        <v>3</v>
      </c>
      <c r="D375" s="50" t="str">
        <f aca="false">'Project Plan'!J378&amp;"d"</f>
        <v>55d</v>
      </c>
      <c r="E375" s="54" t="n">
        <f aca="false">'Project Plan'!K378</f>
        <v>46608</v>
      </c>
      <c r="F375" s="54" t="n">
        <f aca="false">'Project Plan'!L378</f>
        <v>46682</v>
      </c>
      <c r="G375" s="50" t="str">
        <f aca="false">'Project Plan'!M378&amp;""</f>
        <v>372</v>
      </c>
      <c r="H375" s="50" t="str">
        <f aca="false">'Project Plan'!H378&amp;""</f>
        <v>BE</v>
      </c>
      <c r="I375" s="50" t="str">
        <f aca="false">IF('Project Plan'!C378=3,ROUND('Project Plan'!Z378*Assumptions!$C$6,0)&amp;"h","")</f>
        <v>239h</v>
      </c>
    </row>
    <row r="376" customFormat="false" ht="15" hidden="false" customHeight="false" outlineLevel="0" collapsed="false">
      <c r="A376" s="50" t="n">
        <f aca="false">'Project Plan'!A379</f>
        <v>375</v>
      </c>
      <c r="B376" s="50" t="str">
        <f aca="false">'Project Plan'!E379</f>
        <v>Workflows (BPMN) and rules (DMN) configuration</v>
      </c>
      <c r="C376" s="50" t="n">
        <f aca="false">'Project Plan'!C379</f>
        <v>3</v>
      </c>
      <c r="D376" s="50" t="str">
        <f aca="false">'Project Plan'!J379&amp;"d"</f>
        <v>40d</v>
      </c>
      <c r="E376" s="54" t="n">
        <f aca="false">'Project Plan'!K379</f>
        <v>46630</v>
      </c>
      <c r="F376" s="54" t="n">
        <f aca="false">'Project Plan'!L379</f>
        <v>46685</v>
      </c>
      <c r="G376" s="50" t="str">
        <f aca="false">'Project Plan'!M379&amp;""</f>
        <v>372</v>
      </c>
      <c r="H376" s="50" t="str">
        <f aca="false">'Project Plan'!H379&amp;""</f>
        <v>BE</v>
      </c>
      <c r="I376" s="50" t="str">
        <f aca="false">IF('Project Plan'!C379=3,ROUND('Project Plan'!Z379*Assumptions!$C$6,0)&amp;"h","")</f>
        <v>101h</v>
      </c>
    </row>
    <row r="377" customFormat="false" ht="15" hidden="false" customHeight="false" outlineLevel="0" collapsed="false">
      <c r="A377" s="50" t="n">
        <f aca="false">'Project Plan'!A380</f>
        <v>376</v>
      </c>
      <c r="B377" s="50" t="str">
        <f aca="false">'Project Plan'!E380</f>
        <v>Staff console screens</v>
      </c>
      <c r="C377" s="50" t="n">
        <f aca="false">'Project Plan'!C380</f>
        <v>3</v>
      </c>
      <c r="D377" s="50" t="str">
        <f aca="false">'Project Plan'!J380&amp;"d"</f>
        <v>53d</v>
      </c>
      <c r="E377" s="54" t="n">
        <f aca="false">'Project Plan'!K380</f>
        <v>46619</v>
      </c>
      <c r="F377" s="54" t="n">
        <f aca="false">'Project Plan'!L380</f>
        <v>46693</v>
      </c>
      <c r="G377" s="50" t="str">
        <f aca="false">'Project Plan'!M380&amp;""</f>
        <v>373</v>
      </c>
      <c r="H377" s="50" t="str">
        <f aca="false">'Project Plan'!H380&amp;""</f>
        <v>FE</v>
      </c>
      <c r="I377" s="50" t="str">
        <f aca="false">IF('Project Plan'!C380=3,ROUND('Project Plan'!Z380*Assumptions!$C$6,0)&amp;"h","")</f>
        <v>193h</v>
      </c>
    </row>
    <row r="378" customFormat="false" ht="15" hidden="false" customHeight="false" outlineLevel="0" collapsed="false">
      <c r="A378" s="50" t="n">
        <f aca="false">'Project Plan'!A381</f>
        <v>377</v>
      </c>
      <c r="B378" s="50" t="str">
        <f aca="false">'Project Plan'!E381</f>
        <v>Module interfaces (3 I-xx links): events and APIs</v>
      </c>
      <c r="C378" s="50" t="n">
        <f aca="false">'Project Plan'!C381</f>
        <v>3</v>
      </c>
      <c r="D378" s="50" t="str">
        <f aca="false">'Project Plan'!J381&amp;"d"</f>
        <v>37d</v>
      </c>
      <c r="E378" s="54" t="n">
        <f aca="false">'Project Plan'!K381</f>
        <v>46647</v>
      </c>
      <c r="F378" s="54" t="n">
        <f aca="false">'Project Plan'!L381</f>
        <v>46699</v>
      </c>
      <c r="G378" s="50" t="str">
        <f aca="false">'Project Plan'!M381&amp;""</f>
        <v>374</v>
      </c>
      <c r="H378" s="50" t="str">
        <f aca="false">'Project Plan'!H381&amp;""</f>
        <v>BE</v>
      </c>
      <c r="I378" s="50" t="str">
        <f aca="false">IF('Project Plan'!C381=3,ROUND('Project Plan'!Z381*Assumptions!$C$6,0)&amp;"h","")</f>
        <v>37h</v>
      </c>
    </row>
    <row r="379" customFormat="false" ht="15" hidden="false" customHeight="false" outlineLevel="0" collapsed="false">
      <c r="A379" s="50" t="n">
        <f aca="false">'Project Plan'!A382</f>
        <v>378</v>
      </c>
      <c r="B379" s="50" t="str">
        <f aca="false">'Project Plan'!E382</f>
        <v>External system adapters (1)</v>
      </c>
      <c r="C379" s="50" t="n">
        <f aca="false">'Project Plan'!C382</f>
        <v>3</v>
      </c>
      <c r="D379" s="50" t="str">
        <f aca="false">'Project Plan'!J382&amp;"d"</f>
        <v>44d</v>
      </c>
      <c r="E379" s="54" t="n">
        <f aca="false">'Project Plan'!K382</f>
        <v>46638</v>
      </c>
      <c r="F379" s="54" t="n">
        <f aca="false">'Project Plan'!L382</f>
        <v>46699</v>
      </c>
      <c r="G379" s="50" t="str">
        <f aca="false">'Project Plan'!M382&amp;""</f>
        <v>372</v>
      </c>
      <c r="H379" s="50" t="str">
        <f aca="false">'Project Plan'!H382&amp;""</f>
        <v>BE</v>
      </c>
      <c r="I379" s="50" t="str">
        <f aca="false">IF('Project Plan'!C382=3,ROUND('Project Plan'!Z382*Assumptions!$C$6,0)&amp;"h","")</f>
        <v>55h</v>
      </c>
    </row>
    <row r="380" customFormat="false" ht="15" hidden="false" customHeight="false" outlineLevel="0" collapsed="false">
      <c r="A380" s="50" t="n">
        <f aca="false">'Project Plan'!A383</f>
        <v>379</v>
      </c>
      <c r="B380" s="50" t="str">
        <f aca="false">'Project Plan'!E383</f>
        <v>Reports, dashboards, notices and templates (all active languages)</v>
      </c>
      <c r="C380" s="50" t="n">
        <f aca="false">'Project Plan'!C383</f>
        <v>3</v>
      </c>
      <c r="D380" s="50" t="str">
        <f aca="false">'Project Plan'!J383&amp;"d"</f>
        <v>26d</v>
      </c>
      <c r="E380" s="54" t="n">
        <f aca="false">'Project Plan'!K383</f>
        <v>46666</v>
      </c>
      <c r="F380" s="54" t="n">
        <f aca="false">'Project Plan'!L383</f>
        <v>46701</v>
      </c>
      <c r="G380" s="50" t="str">
        <f aca="false">'Project Plan'!M383&amp;""</f>
        <v>374</v>
      </c>
      <c r="H380" s="50" t="str">
        <f aca="false">'Project Plan'!H383&amp;""</f>
        <v>BE</v>
      </c>
      <c r="I380" s="50" t="str">
        <f aca="false">IF('Project Plan'!C383=3,ROUND('Project Plan'!Z383*Assumptions!$C$6,0)&amp;"h","")</f>
        <v>74h</v>
      </c>
    </row>
    <row r="381" customFormat="false" ht="15" hidden="false" customHeight="false" outlineLevel="0" collapsed="false">
      <c r="A381" s="50" t="n">
        <f aca="false">'Project Plan'!A384</f>
        <v>380</v>
      </c>
      <c r="B381" s="50" t="str">
        <f aca="false">'Project Plan'!E384</f>
        <v>System integration testing</v>
      </c>
      <c r="C381" s="50" t="n">
        <f aca="false">'Project Plan'!C384</f>
        <v>3</v>
      </c>
      <c r="D381" s="50" t="str">
        <f aca="false">'Project Plan'!J384&amp;"d"</f>
        <v>21d</v>
      </c>
      <c r="E381" s="54" t="n">
        <f aca="false">'Project Plan'!K384</f>
        <v>46688</v>
      </c>
      <c r="F381" s="54" t="n">
        <f aca="false">'Project Plan'!L384</f>
        <v>46716</v>
      </c>
      <c r="G381" s="50" t="str">
        <f aca="false">'Project Plan'!M384&amp;""</f>
        <v>374,376</v>
      </c>
      <c r="H381" s="50" t="str">
        <f aca="false">'Project Plan'!H384&amp;""</f>
        <v>QA</v>
      </c>
      <c r="I381" s="50" t="str">
        <f aca="false">IF('Project Plan'!C384=3,ROUND('Project Plan'!Z384*Assumptions!$C$6,0)&amp;"h","")</f>
        <v>156h</v>
      </c>
    </row>
    <row r="382" customFormat="false" ht="15" hidden="false" customHeight="false" outlineLevel="0" collapsed="false">
      <c r="A382" s="50" t="n">
        <f aca="false">'Project Plan'!A385</f>
        <v>381</v>
      </c>
      <c r="B382" s="50" t="str">
        <f aca="false">'Project Plan'!E385</f>
        <v>Defect fixing and regression</v>
      </c>
      <c r="C382" s="50" t="n">
        <f aca="false">'Project Plan'!C385</f>
        <v>3</v>
      </c>
      <c r="D382" s="50" t="str">
        <f aca="false">'Project Plan'!J385&amp;"d"</f>
        <v>26d</v>
      </c>
      <c r="E382" s="54" t="n">
        <f aca="false">'Project Plan'!K385</f>
        <v>46694</v>
      </c>
      <c r="F382" s="54" t="n">
        <f aca="false">'Project Plan'!L385</f>
        <v>46729</v>
      </c>
      <c r="G382" s="50" t="str">
        <f aca="false">'Project Plan'!M385&amp;""</f>
        <v>380</v>
      </c>
      <c r="H382" s="50" t="str">
        <f aca="false">'Project Plan'!H385&amp;""</f>
        <v>BE</v>
      </c>
      <c r="I382" s="50" t="str">
        <f aca="false">IF('Project Plan'!C385=3,ROUND('Project Plan'!Z385*Assumptions!$C$6,0)&amp;"h","")</f>
        <v>129h</v>
      </c>
    </row>
    <row r="383" customFormat="false" ht="15" hidden="false" customHeight="false" outlineLevel="0" collapsed="false">
      <c r="A383" s="50" t="n">
        <f aca="false">'Project Plan'!A386</f>
        <v>382</v>
      </c>
      <c r="B383" s="50" t="str">
        <f aca="false">'Project Plan'!E386</f>
        <v>UAT support with GWMC department</v>
      </c>
      <c r="C383" s="50" t="n">
        <f aca="false">'Project Plan'!C386</f>
        <v>3</v>
      </c>
      <c r="D383" s="50" t="str">
        <f aca="false">'Project Plan'!J386&amp;"d"</f>
        <v>13d</v>
      </c>
      <c r="E383" s="54" t="n">
        <f aca="false">'Project Plan'!K386</f>
        <v>46717</v>
      </c>
      <c r="F383" s="54" t="n">
        <f aca="false">'Project Plan'!L386</f>
        <v>46735</v>
      </c>
      <c r="G383" s="50" t="str">
        <f aca="false">'Project Plan'!M386&amp;""</f>
        <v>380</v>
      </c>
      <c r="H383" s="50" t="str">
        <f aca="false">'Project Plan'!H386&amp;""</f>
        <v>BA</v>
      </c>
      <c r="I383" s="50" t="str">
        <f aca="false">IF('Project Plan'!C386=3,ROUND('Project Plan'!Z386*Assumptions!$C$6,0)&amp;"h","")</f>
        <v>74h</v>
      </c>
    </row>
    <row r="384" customFormat="false" ht="15" hidden="false" customHeight="false" outlineLevel="0" collapsed="false">
      <c r="A384" s="50" t="n">
        <f aca="false">'Project Plan'!A387</f>
        <v>383</v>
      </c>
      <c r="B384" s="50" t="str">
        <f aca="false">'Project Plan'!E387</f>
        <v>Training material and department training</v>
      </c>
      <c r="C384" s="50" t="n">
        <f aca="false">'Project Plan'!C387</f>
        <v>3</v>
      </c>
      <c r="D384" s="50" t="str">
        <f aca="false">'Project Plan'!J387&amp;"d"</f>
        <v>13d</v>
      </c>
      <c r="E384" s="54" t="n">
        <f aca="false">'Project Plan'!K387</f>
        <v>46722</v>
      </c>
      <c r="F384" s="54" t="n">
        <f aca="false">'Project Plan'!L387</f>
        <v>46738</v>
      </c>
      <c r="G384" s="50" t="str">
        <f aca="false">'Project Plan'!M387&amp;""</f>
        <v>382</v>
      </c>
      <c r="H384" s="50" t="str">
        <f aca="false">'Project Plan'!H387&amp;""</f>
        <v>TRN</v>
      </c>
      <c r="I384" s="50" t="str">
        <f aca="false">IF('Project Plan'!C387=3,ROUND('Project Plan'!Z387*Assumptions!$C$6,0)&amp;"h","")</f>
        <v>64h</v>
      </c>
    </row>
    <row r="385" customFormat="false" ht="15" hidden="false" customHeight="false" outlineLevel="0" collapsed="false">
      <c r="A385" s="50" t="n">
        <f aca="false">'Project Plan'!A388</f>
        <v>384</v>
      </c>
      <c r="B385" s="50" t="str">
        <f aca="false">'Project Plan'!E388</f>
        <v>Phase 3 release, testing and go-live</v>
      </c>
      <c r="C385" s="50" t="n">
        <f aca="false">'Project Plan'!C388</f>
        <v>2</v>
      </c>
      <c r="D385" s="50" t="str">
        <f aca="false">'Project Plan'!J388&amp;"d"</f>
        <v>27d</v>
      </c>
      <c r="E385" s="54" t="n">
        <f aca="false">'Project Plan'!K388</f>
        <v>46707</v>
      </c>
      <c r="F385" s="54" t="n">
        <f aca="false">'Project Plan'!L388</f>
        <v>46743</v>
      </c>
      <c r="G385" s="50" t="str">
        <f aca="false">'Project Plan'!M388&amp;""</f>
        <v/>
      </c>
      <c r="H385" s="50" t="str">
        <f aca="false">'Project Plan'!H388&amp;""</f>
        <v/>
      </c>
      <c r="I385" s="50" t="str">
        <f aca="false">IF('Project Plan'!C388=3,ROUND('Project Plan'!Z388*Assumptions!$C$6,0)&amp;"h","")</f>
        <v/>
      </c>
    </row>
    <row r="386" customFormat="false" ht="15" hidden="false" customHeight="false" outlineLevel="0" collapsed="false">
      <c r="A386" s="50" t="n">
        <f aca="false">'Project Plan'!A389</f>
        <v>385</v>
      </c>
      <c r="B386" s="50" t="str">
        <f aca="false">'Project Plan'!E389</f>
        <v>End-to-end integration testing (SRS E2E scenarios)</v>
      </c>
      <c r="C386" s="50" t="n">
        <f aca="false">'Project Plan'!C389</f>
        <v>3</v>
      </c>
      <c r="D386" s="50" t="str">
        <f aca="false">'Project Plan'!J389&amp;"d"</f>
        <v>13d</v>
      </c>
      <c r="E386" s="54" t="n">
        <f aca="false">'Project Plan'!K389</f>
        <v>46707</v>
      </c>
      <c r="F386" s="54" t="n">
        <f aca="false">'Project Plan'!L389</f>
        <v>46723</v>
      </c>
      <c r="G386" s="50" t="str">
        <f aca="false">'Project Plan'!M389&amp;""</f>
        <v>318,334,350,366,380</v>
      </c>
      <c r="H386" s="50" t="str">
        <f aca="false">'Project Plan'!H389&amp;""</f>
        <v>QA</v>
      </c>
      <c r="I386" s="50" t="str">
        <f aca="false">IF('Project Plan'!C389=3,ROUND('Project Plan'!Z389*Assumptions!$C$6,0)&amp;"h","")</f>
        <v>276h</v>
      </c>
    </row>
    <row r="387" customFormat="false" ht="15" hidden="false" customHeight="false" outlineLevel="0" collapsed="false">
      <c r="A387" s="50" t="n">
        <f aca="false">'Project Plan'!A390</f>
        <v>386</v>
      </c>
      <c r="B387" s="50" t="str">
        <f aca="false">'Project Plan'!E390</f>
        <v>Performance and load testing (NFR-001/002)</v>
      </c>
      <c r="C387" s="50" t="n">
        <f aca="false">'Project Plan'!C390</f>
        <v>3</v>
      </c>
      <c r="D387" s="50" t="str">
        <f aca="false">'Project Plan'!J390&amp;"d"</f>
        <v>9d</v>
      </c>
      <c r="E387" s="54" t="n">
        <f aca="false">'Project Plan'!K390</f>
        <v>46713</v>
      </c>
      <c r="F387" s="54" t="n">
        <f aca="false">'Project Plan'!L390</f>
        <v>46723</v>
      </c>
      <c r="G387" s="50" t="str">
        <f aca="false">'Project Plan'!M390&amp;""</f>
        <v/>
      </c>
      <c r="H387" s="50" t="str">
        <f aca="false">'Project Plan'!H390&amp;""</f>
        <v>QA</v>
      </c>
      <c r="I387" s="50" t="str">
        <f aca="false">IF('Project Plan'!C390=3,ROUND('Project Plan'!Z390*Assumptions!$C$6,0)&amp;"h","")</f>
        <v>147h</v>
      </c>
    </row>
    <row r="388" customFormat="false" ht="15" hidden="false" customHeight="false" outlineLevel="0" collapsed="false">
      <c r="A388" s="50" t="n">
        <f aca="false">'Project Plan'!A391</f>
        <v>387</v>
      </c>
      <c r="B388" s="50" t="str">
        <f aca="false">'Project Plan'!E391</f>
        <v>Security audit by CERT-In empanelled auditor and fixes</v>
      </c>
      <c r="C388" s="50" t="n">
        <f aca="false">'Project Plan'!C391</f>
        <v>3</v>
      </c>
      <c r="D388" s="50" t="str">
        <f aca="false">'Project Plan'!J391&amp;"d"</f>
        <v>13d</v>
      </c>
      <c r="E388" s="54" t="n">
        <f aca="false">'Project Plan'!K391</f>
        <v>46717</v>
      </c>
      <c r="F388" s="54" t="n">
        <f aca="false">'Project Plan'!L391</f>
        <v>46735</v>
      </c>
      <c r="G388" s="50" t="str">
        <f aca="false">'Project Plan'!M391&amp;""</f>
        <v/>
      </c>
      <c r="H388" s="50" t="str">
        <f aca="false">'Project Plan'!H391&amp;""</f>
        <v>QA</v>
      </c>
      <c r="I388" s="50" t="str">
        <f aca="false">IF('Project Plan'!C391=3,ROUND('Project Plan'!Z391*Assumptions!$C$6,0)&amp;"h","")</f>
        <v>193h</v>
      </c>
    </row>
    <row r="389" customFormat="false" ht="15" hidden="false" customHeight="false" outlineLevel="0" collapsed="false">
      <c r="A389" s="50" t="n">
        <f aca="false">'Project Plan'!A392</f>
        <v>388</v>
      </c>
      <c r="B389" s="50" t="str">
        <f aca="false">'Project Plan'!E392</f>
        <v>Training of trainers and end-user training programme</v>
      </c>
      <c r="C389" s="50" t="n">
        <f aca="false">'Project Plan'!C392</f>
        <v>3</v>
      </c>
      <c r="D389" s="50" t="str">
        <f aca="false">'Project Plan'!J392&amp;"d"</f>
        <v>13d</v>
      </c>
      <c r="E389" s="54" t="n">
        <f aca="false">'Project Plan'!K392</f>
        <v>46724</v>
      </c>
      <c r="F389" s="54" t="n">
        <f aca="false">'Project Plan'!L392</f>
        <v>46742</v>
      </c>
      <c r="G389" s="50" t="str">
        <f aca="false">'Project Plan'!M392&amp;""</f>
        <v/>
      </c>
      <c r="H389" s="50" t="str">
        <f aca="false">'Project Plan'!H392&amp;""</f>
        <v>TRN</v>
      </c>
      <c r="I389" s="50" t="str">
        <f aca="false">IF('Project Plan'!C392=3,ROUND('Project Plan'!Z392*Assumptions!$C$6,0)&amp;"h","")</f>
        <v>184h</v>
      </c>
    </row>
    <row r="390" customFormat="false" ht="15" hidden="false" customHeight="false" outlineLevel="0" collapsed="false">
      <c r="A390" s="50" t="n">
        <f aca="false">'Project Plan'!A393</f>
        <v>389</v>
      </c>
      <c r="B390" s="50" t="str">
        <f aca="false">'Project Plan'!E393</f>
        <v>Migration dress rehearsal and cut-over plan</v>
      </c>
      <c r="C390" s="50" t="n">
        <f aca="false">'Project Plan'!C393</f>
        <v>3</v>
      </c>
      <c r="D390" s="50" t="str">
        <f aca="false">'Project Plan'!J393&amp;"d"</f>
        <v>8d</v>
      </c>
      <c r="E390" s="54" t="n">
        <f aca="false">'Project Plan'!K393</f>
        <v>46729</v>
      </c>
      <c r="F390" s="54" t="n">
        <f aca="false">'Project Plan'!L393</f>
        <v>46738</v>
      </c>
      <c r="G390" s="50" t="str">
        <f aca="false">'Project Plan'!M393&amp;""</f>
        <v/>
      </c>
      <c r="H390" s="50" t="str">
        <f aca="false">'Project Plan'!H393&amp;""</f>
        <v>DATA</v>
      </c>
      <c r="I390" s="50" t="str">
        <f aca="false">IF('Project Plan'!C393=3,ROUND('Project Plan'!Z393*Assumptions!$C$6,0)&amp;"h","")</f>
        <v>120h</v>
      </c>
    </row>
    <row r="391" customFormat="false" ht="15" hidden="false" customHeight="false" outlineLevel="0" collapsed="false">
      <c r="A391" s="50" t="n">
        <f aca="false">'Project Plan'!A394</f>
        <v>390</v>
      </c>
      <c r="B391" s="50" t="str">
        <f aca="false">'Project Plan'!E394</f>
        <v>Production deployment and cut-over</v>
      </c>
      <c r="C391" s="50" t="n">
        <f aca="false">'Project Plan'!C394</f>
        <v>3</v>
      </c>
      <c r="D391" s="50" t="str">
        <f aca="false">'Project Plan'!J394&amp;"d"</f>
        <v>3d</v>
      </c>
      <c r="E391" s="54" t="n">
        <f aca="false">'Project Plan'!K394</f>
        <v>46741</v>
      </c>
      <c r="F391" s="54" t="n">
        <f aca="false">'Project Plan'!L394</f>
        <v>46743</v>
      </c>
      <c r="G391" s="50" t="str">
        <f aca="false">'Project Plan'!M394&amp;""</f>
        <v>387,389,320,336,352,368,382</v>
      </c>
      <c r="H391" s="50" t="str">
        <f aca="false">'Project Plan'!H394&amp;""</f>
        <v>DEV</v>
      </c>
      <c r="I391" s="50" t="str">
        <f aca="false">IF('Project Plan'!C394=3,ROUND('Project Plan'!Z394*Assumptions!$C$6,0)&amp;"h","")</f>
        <v>147h</v>
      </c>
    </row>
    <row r="392" customFormat="false" ht="15" hidden="false" customHeight="false" outlineLevel="0" collapsed="false">
      <c r="A392" s="50" t="n">
        <f aca="false">'Project Plan'!A395</f>
        <v>391</v>
      </c>
      <c r="B392" s="50" t="str">
        <f aca="false">'Project Plan'!E395</f>
        <v>M3: Phase 3 go-live</v>
      </c>
      <c r="C392" s="50" t="n">
        <f aca="false">'Project Plan'!C395</f>
        <v>2</v>
      </c>
      <c r="D392" s="50" t="str">
        <f aca="false">'Project Plan'!J395&amp;"d"</f>
        <v>0d</v>
      </c>
      <c r="E392" s="54" t="n">
        <f aca="false">'Project Plan'!K395</f>
        <v>46743</v>
      </c>
      <c r="F392" s="54" t="n">
        <f aca="false">'Project Plan'!L395</f>
        <v>46743</v>
      </c>
      <c r="G392" s="50" t="str">
        <f aca="false">'Project Plan'!M395&amp;""</f>
        <v>390</v>
      </c>
      <c r="H392" s="50" t="str">
        <f aca="false">'Project Plan'!H395&amp;""</f>
        <v/>
      </c>
      <c r="I392" s="50" t="str">
        <f aca="false">IF('Project Plan'!C395=3,ROUND('Project Plan'!Z395*Assumptions!$C$6,0)&amp;"h","")</f>
        <v/>
      </c>
    </row>
    <row r="393" customFormat="false" ht="15" hidden="false" customHeight="false" outlineLevel="0" collapsed="false">
      <c r="A393" s="50" t="n">
        <f aca="false">'Project Plan'!A396</f>
        <v>392</v>
      </c>
      <c r="B393" s="50" t="str">
        <f aca="false">'Project Plan'!E396</f>
        <v>Hypercare and stabilisation (4 weeks)</v>
      </c>
      <c r="C393" s="50" t="n">
        <f aca="false">'Project Plan'!C396</f>
        <v>3</v>
      </c>
      <c r="D393" s="50" t="str">
        <f aca="false">'Project Plan'!J396&amp;"d"</f>
        <v>20d</v>
      </c>
      <c r="E393" s="54" t="n">
        <f aca="false">'Project Plan'!K396</f>
        <v>46743</v>
      </c>
      <c r="F393" s="54" t="n">
        <f aca="false">'Project Plan'!L396</f>
        <v>46770</v>
      </c>
      <c r="G393" s="50" t="str">
        <f aca="false">'Project Plan'!M396&amp;""</f>
        <v>391</v>
      </c>
      <c r="H393" s="50" t="str">
        <f aca="false">'Project Plan'!H396&amp;""</f>
        <v>BE</v>
      </c>
      <c r="I393" s="50" t="str">
        <f aca="false">IF('Project Plan'!C396=3,ROUND('Project Plan'!Z396*Assumptions!$C$6,0)&amp;"h","")</f>
        <v>267h</v>
      </c>
    </row>
    <row r="394" customFormat="false" ht="15" hidden="false" customHeight="false" outlineLevel="0" collapsed="false">
      <c r="A394" s="50" t="n">
        <f aca="false">'Project Plan'!A397</f>
        <v>393</v>
      </c>
      <c r="B394" s="50" t="str">
        <f aca="false">'Project Plan'!E397</f>
        <v>Phase 3 acceptance and sign-off</v>
      </c>
      <c r="C394" s="50" t="n">
        <f aca="false">'Project Plan'!C397</f>
        <v>2</v>
      </c>
      <c r="D394" s="50" t="str">
        <f aca="false">'Project Plan'!J397&amp;"d"</f>
        <v>0d</v>
      </c>
      <c r="E394" s="54" t="n">
        <f aca="false">'Project Plan'!K397</f>
        <v>46771</v>
      </c>
      <c r="F394" s="54" t="n">
        <f aca="false">'Project Plan'!L397</f>
        <v>46771</v>
      </c>
      <c r="G394" s="50" t="str">
        <f aca="false">'Project Plan'!M397&amp;""</f>
        <v>392</v>
      </c>
      <c r="H394" s="50" t="str">
        <f aca="false">'Project Plan'!H397&amp;""</f>
        <v/>
      </c>
      <c r="I394" s="50" t="str">
        <f aca="false">IF('Project Plan'!C397=3,ROUND('Project Plan'!Z397*Assumptions!$C$6,0)&amp;"h","")</f>
        <v/>
      </c>
    </row>
    <row r="395" customFormat="false" ht="15" hidden="false" customHeight="false" outlineLevel="0" collapsed="false">
      <c r="A395" s="50" t="n">
        <f aca="false">'Project Plan'!A398</f>
        <v>394</v>
      </c>
      <c r="B395" s="50" t="str">
        <f aca="false">'Project Plan'!E398</f>
        <v>Phase 3 build mid-point (next phase design may start)</v>
      </c>
      <c r="C395" s="50" t="n">
        <f aca="false">'Project Plan'!C398</f>
        <v>2</v>
      </c>
      <c r="D395" s="50" t="str">
        <f aca="false">'Project Plan'!J398&amp;"d"</f>
        <v>0d</v>
      </c>
      <c r="E395" s="54" t="n">
        <f aca="false">'Project Plan'!K398</f>
        <v>46666</v>
      </c>
      <c r="F395" s="54" t="n">
        <f aca="false">'Project Plan'!L398</f>
        <v>46666</v>
      </c>
      <c r="G395" s="50" t="str">
        <f aca="false">'Project Plan'!M398&amp;""</f>
        <v/>
      </c>
      <c r="H395" s="50" t="str">
        <f aca="false">'Project Plan'!H398&amp;""</f>
        <v/>
      </c>
      <c r="I395" s="50" t="str">
        <f aca="false">IF('Project Plan'!C398=3,ROUND('Project Plan'!Z398*Assumptions!$C$6,0)&amp;"h","")</f>
        <v/>
      </c>
    </row>
    <row r="396" customFormat="false" ht="15" hidden="false" customHeight="false" outlineLevel="0" collapsed="false">
      <c r="A396" s="50" t="n">
        <f aca="false">'Project Plan'!A399</f>
        <v>395</v>
      </c>
      <c r="B396" s="50" t="str">
        <f aca="false">'Project Plan'!E399</f>
        <v>Phase 4: Administration and welfare</v>
      </c>
      <c r="C396" s="50" t="n">
        <f aca="false">'Project Plan'!C399</f>
        <v>1</v>
      </c>
      <c r="D396" s="50" t="str">
        <f aca="false">'Project Plan'!J399&amp;"d"</f>
        <v>142d</v>
      </c>
      <c r="E396" s="54" t="n">
        <f aca="false">'Project Plan'!K399</f>
        <v>46696</v>
      </c>
      <c r="F396" s="54" t="n">
        <f aca="false">'Project Plan'!L399</f>
        <v>46895</v>
      </c>
      <c r="G396" s="50" t="str">
        <f aca="false">'Project Plan'!M399&amp;""</f>
        <v/>
      </c>
      <c r="H396" s="50" t="str">
        <f aca="false">'Project Plan'!H399&amp;""</f>
        <v/>
      </c>
      <c r="I396" s="50" t="str">
        <f aca="false">IF('Project Plan'!C399=3,ROUND('Project Plan'!Z399*Assumptions!$C$6,0)&amp;"h","")</f>
        <v/>
      </c>
    </row>
    <row r="397" customFormat="false" ht="15" hidden="false" customHeight="false" outlineLevel="0" collapsed="false">
      <c r="A397" s="50" t="n">
        <f aca="false">'Project Plan'!A400</f>
        <v>396</v>
      </c>
      <c r="B397" s="50" t="str">
        <f aca="false">'Project Plan'!E400</f>
        <v>Platform increments for Phase 4</v>
      </c>
      <c r="C397" s="50" t="n">
        <f aca="false">'Project Plan'!C400</f>
        <v>2</v>
      </c>
      <c r="D397" s="50" t="str">
        <f aca="false">'Project Plan'!J400&amp;"d"</f>
        <v>59d</v>
      </c>
      <c r="E397" s="54" t="n">
        <f aca="false">'Project Plan'!K400</f>
        <v>46715</v>
      </c>
      <c r="F397" s="54" t="n">
        <f aca="false">'Project Plan'!L400</f>
        <v>46797</v>
      </c>
      <c r="G397" s="50" t="str">
        <f aca="false">'Project Plan'!M400&amp;""</f>
        <v/>
      </c>
      <c r="H397" s="50" t="str">
        <f aca="false">'Project Plan'!H400&amp;""</f>
        <v/>
      </c>
      <c r="I397" s="50" t="str">
        <f aca="false">IF('Project Plan'!C400=3,ROUND('Project Plan'!Z400*Assumptions!$C$6,0)&amp;"h","")</f>
        <v/>
      </c>
    </row>
    <row r="398" customFormat="false" ht="15" hidden="false" customHeight="false" outlineLevel="0" collapsed="false">
      <c r="A398" s="50" t="n">
        <f aca="false">'Project Plan'!A401</f>
        <v>397</v>
      </c>
      <c r="B398" s="50" t="str">
        <f aca="false">'Project Plan'!E401</f>
        <v>Org hierarchy and approvers move to HR (workflow switch-over)</v>
      </c>
      <c r="C398" s="50" t="n">
        <f aca="false">'Project Plan'!C401</f>
        <v>3</v>
      </c>
      <c r="D398" s="50" t="str">
        <f aca="false">'Project Plan'!J401&amp;"d"</f>
        <v>59d</v>
      </c>
      <c r="E398" s="54" t="n">
        <f aca="false">'Project Plan'!K401</f>
        <v>46715</v>
      </c>
      <c r="F398" s="54" t="n">
        <f aca="false">'Project Plan'!L401</f>
        <v>46797</v>
      </c>
      <c r="G398" s="50" t="str">
        <f aca="false">'Project Plan'!M401&amp;""</f>
        <v/>
      </c>
      <c r="H398" s="50" t="str">
        <f aca="false">'Project Plan'!H401&amp;""</f>
        <v>BE</v>
      </c>
      <c r="I398" s="50" t="str">
        <f aca="false">IF('Project Plan'!C401=3,ROUND('Project Plan'!Z401*Assumptions!$C$6,0)&amp;"h","")</f>
        <v>138h</v>
      </c>
    </row>
    <row r="399" customFormat="false" ht="15" hidden="false" customHeight="false" outlineLevel="0" collapsed="false">
      <c r="A399" s="50" t="n">
        <f aca="false">'Project Plan'!A402</f>
        <v>398</v>
      </c>
      <c r="B399" s="50" t="str">
        <f aca="false">'Project Plan'!E402</f>
        <v>Legal and asset interim records migrated (I-30, I-42)</v>
      </c>
      <c r="C399" s="50" t="n">
        <f aca="false">'Project Plan'!C402</f>
        <v>3</v>
      </c>
      <c r="D399" s="50" t="str">
        <f aca="false">'Project Plan'!J402&amp;"d"</f>
        <v>59d</v>
      </c>
      <c r="E399" s="54" t="n">
        <f aca="false">'Project Plan'!K402</f>
        <v>46715</v>
      </c>
      <c r="F399" s="54" t="n">
        <f aca="false">'Project Plan'!L402</f>
        <v>46797</v>
      </c>
      <c r="G399" s="50" t="str">
        <f aca="false">'Project Plan'!M402&amp;""</f>
        <v/>
      </c>
      <c r="H399" s="50" t="str">
        <f aca="false">'Project Plan'!H402&amp;""</f>
        <v>DATA</v>
      </c>
      <c r="I399" s="50" t="str">
        <f aca="false">IF('Project Plan'!C402=3,ROUND('Project Plan'!Z402*Assumptions!$C$6,0)&amp;"h","")</f>
        <v>110h</v>
      </c>
    </row>
    <row r="400" customFormat="false" ht="15" hidden="false" customHeight="false" outlineLevel="0" collapsed="false">
      <c r="A400" s="50" t="n">
        <f aca="false">'Project Plan'!A403</f>
        <v>399</v>
      </c>
      <c r="B400" s="50" t="str">
        <f aca="false">'Project Plan'!E403</f>
        <v>Full cross-module MIS and state dashboards</v>
      </c>
      <c r="C400" s="50" t="n">
        <f aca="false">'Project Plan'!C403</f>
        <v>3</v>
      </c>
      <c r="D400" s="50" t="str">
        <f aca="false">'Project Plan'!J403&amp;"d"</f>
        <v>59d</v>
      </c>
      <c r="E400" s="54" t="n">
        <f aca="false">'Project Plan'!K403</f>
        <v>46715</v>
      </c>
      <c r="F400" s="54" t="n">
        <f aca="false">'Project Plan'!L403</f>
        <v>46797</v>
      </c>
      <c r="G400" s="50" t="str">
        <f aca="false">'Project Plan'!M403&amp;""</f>
        <v/>
      </c>
      <c r="H400" s="50" t="str">
        <f aca="false">'Project Plan'!H403&amp;""</f>
        <v>BE</v>
      </c>
      <c r="I400" s="50" t="str">
        <f aca="false">IF('Project Plan'!C403=3,ROUND('Project Plan'!Z403*Assumptions!$C$6,0)&amp;"h","")</f>
        <v>230h</v>
      </c>
    </row>
    <row r="401" customFormat="false" ht="15" hidden="false" customHeight="false" outlineLevel="0" collapsed="false">
      <c r="A401" s="50" t="n">
        <f aca="false">'Project Plan'!A404</f>
        <v>400</v>
      </c>
      <c r="B401" s="50" t="str">
        <f aca="false">'Project Plan'!E404</f>
        <v>Module 8: Payroll &amp; HR Management</v>
      </c>
      <c r="C401" s="50" t="n">
        <f aca="false">'Project Plan'!C404</f>
        <v>2</v>
      </c>
      <c r="D401" s="50" t="str">
        <f aca="false">'Project Plan'!J404&amp;"d"</f>
        <v>119d</v>
      </c>
      <c r="E401" s="54" t="n">
        <f aca="false">'Project Plan'!K404</f>
        <v>46696</v>
      </c>
      <c r="F401" s="54" t="n">
        <f aca="false">'Project Plan'!L404</f>
        <v>46862</v>
      </c>
      <c r="G401" s="50" t="str">
        <f aca="false">'Project Plan'!M404&amp;""</f>
        <v/>
      </c>
      <c r="H401" s="50" t="str">
        <f aca="false">'Project Plan'!H404&amp;""</f>
        <v/>
      </c>
      <c r="I401" s="50" t="str">
        <f aca="false">IF('Project Plan'!C404=3,ROUND('Project Plan'!Z404*Assumptions!$C$6,0)&amp;"h","")</f>
        <v/>
      </c>
    </row>
    <row r="402" customFormat="false" ht="15" hidden="false" customHeight="false" outlineLevel="0" collapsed="false">
      <c r="A402" s="50" t="n">
        <f aca="false">'Project Plan'!A405</f>
        <v>401</v>
      </c>
      <c r="B402" s="50" t="str">
        <f aca="false">'Project Plan'!E405</f>
        <v>Process validation workshops and to-be sign-off</v>
      </c>
      <c r="C402" s="50" t="n">
        <f aca="false">'Project Plan'!C405</f>
        <v>3</v>
      </c>
      <c r="D402" s="50" t="str">
        <f aca="false">'Project Plan'!J405&amp;"d"</f>
        <v>16d</v>
      </c>
      <c r="E402" s="54" t="n">
        <f aca="false">'Project Plan'!K405</f>
        <v>46696</v>
      </c>
      <c r="F402" s="54" t="n">
        <f aca="false">'Project Plan'!L405</f>
        <v>46717</v>
      </c>
      <c r="G402" s="50" t="str">
        <f aca="false">'Project Plan'!M405&amp;""</f>
        <v>394</v>
      </c>
      <c r="H402" s="50" t="str">
        <f aca="false">'Project Plan'!H405&amp;""</f>
        <v>BA</v>
      </c>
      <c r="I402" s="50" t="str">
        <f aca="false">IF('Project Plan'!C405=3,ROUND('Project Plan'!Z405*Assumptions!$C$6,0)&amp;"h","")</f>
        <v>101h</v>
      </c>
    </row>
    <row r="403" customFormat="false" ht="15" hidden="false" customHeight="false" outlineLevel="0" collapsed="false">
      <c r="A403" s="50" t="n">
        <f aca="false">'Project Plan'!A406</f>
        <v>402</v>
      </c>
      <c r="B403" s="50" t="str">
        <f aca="false">'Project Plan'!E406</f>
        <v>LLD, data model and API/event contracts</v>
      </c>
      <c r="C403" s="50" t="n">
        <f aca="false">'Project Plan'!C406</f>
        <v>3</v>
      </c>
      <c r="D403" s="50" t="str">
        <f aca="false">'Project Plan'!J406&amp;"d"</f>
        <v>16d</v>
      </c>
      <c r="E403" s="54" t="n">
        <f aca="false">'Project Plan'!K406</f>
        <v>46713</v>
      </c>
      <c r="F403" s="54" t="n">
        <f aca="false">'Project Plan'!L406</f>
        <v>46734</v>
      </c>
      <c r="G403" s="50" t="str">
        <f aca="false">'Project Plan'!M406&amp;""</f>
        <v>401</v>
      </c>
      <c r="H403" s="50" t="str">
        <f aca="false">'Project Plan'!H406&amp;""</f>
        <v>ARC</v>
      </c>
      <c r="I403" s="50" t="str">
        <f aca="false">IF('Project Plan'!C406=3,ROUND('Project Plan'!Z406*Assumptions!$C$6,0)&amp;"h","")</f>
        <v>92h</v>
      </c>
    </row>
    <row r="404" customFormat="false" ht="15" hidden="false" customHeight="false" outlineLevel="0" collapsed="false">
      <c r="A404" s="50" t="n">
        <f aca="false">'Project Plan'!A407</f>
        <v>403</v>
      </c>
      <c r="B404" s="50" t="str">
        <f aca="false">'Project Plan'!E407</f>
        <v>UX wireframes and UI design</v>
      </c>
      <c r="C404" s="50" t="n">
        <f aca="false">'Project Plan'!C407</f>
        <v>3</v>
      </c>
      <c r="D404" s="50" t="str">
        <f aca="false">'Project Plan'!J407&amp;"d"</f>
        <v>16d</v>
      </c>
      <c r="E404" s="54" t="n">
        <f aca="false">'Project Plan'!K407</f>
        <v>46713</v>
      </c>
      <c r="F404" s="54" t="n">
        <f aca="false">'Project Plan'!L407</f>
        <v>46734</v>
      </c>
      <c r="G404" s="50" t="str">
        <f aca="false">'Project Plan'!M407&amp;""</f>
        <v>401</v>
      </c>
      <c r="H404" s="50" t="str">
        <f aca="false">'Project Plan'!H407&amp;""</f>
        <v>FE</v>
      </c>
      <c r="I404" s="50" t="str">
        <f aca="false">IF('Project Plan'!C407=3,ROUND('Project Plan'!Z407*Assumptions!$C$6,0)&amp;"h","")</f>
        <v>74h</v>
      </c>
    </row>
    <row r="405" customFormat="false" ht="15" hidden="false" customHeight="false" outlineLevel="0" collapsed="false">
      <c r="A405" s="50" t="n">
        <f aca="false">'Project Plan'!A408</f>
        <v>404</v>
      </c>
      <c r="B405" s="50" t="str">
        <f aca="false">'Project Plan'!E408</f>
        <v>Database schema, domain logic and APIs</v>
      </c>
      <c r="C405" s="50" t="n">
        <f aca="false">'Project Plan'!C408</f>
        <v>3</v>
      </c>
      <c r="D405" s="50" t="str">
        <f aca="false">'Project Plan'!J408&amp;"d"</f>
        <v>55d</v>
      </c>
      <c r="E405" s="54" t="n">
        <f aca="false">'Project Plan'!K408</f>
        <v>46730</v>
      </c>
      <c r="F405" s="54" t="n">
        <f aca="false">'Project Plan'!L408</f>
        <v>46806</v>
      </c>
      <c r="G405" s="50" t="str">
        <f aca="false">'Project Plan'!M408&amp;""</f>
        <v>402</v>
      </c>
      <c r="H405" s="50" t="str">
        <f aca="false">'Project Plan'!H408&amp;""</f>
        <v>BE</v>
      </c>
      <c r="I405" s="50" t="str">
        <f aca="false">IF('Project Plan'!C408=3,ROUND('Project Plan'!Z408*Assumptions!$C$6,0)&amp;"h","")</f>
        <v>258h</v>
      </c>
    </row>
    <row r="406" customFormat="false" ht="15" hidden="false" customHeight="false" outlineLevel="0" collapsed="false">
      <c r="A406" s="50" t="n">
        <f aca="false">'Project Plan'!A409</f>
        <v>405</v>
      </c>
      <c r="B406" s="50" t="str">
        <f aca="false">'Project Plan'!E409</f>
        <v>Workflows (BPMN) and rules (DMN) configuration</v>
      </c>
      <c r="C406" s="50" t="n">
        <f aca="false">'Project Plan'!C409</f>
        <v>3</v>
      </c>
      <c r="D406" s="50" t="str">
        <f aca="false">'Project Plan'!J409&amp;"d"</f>
        <v>40d</v>
      </c>
      <c r="E406" s="54" t="n">
        <f aca="false">'Project Plan'!K409</f>
        <v>46752</v>
      </c>
      <c r="F406" s="54" t="n">
        <f aca="false">'Project Plan'!L409</f>
        <v>46807</v>
      </c>
      <c r="G406" s="50" t="str">
        <f aca="false">'Project Plan'!M409&amp;""</f>
        <v>402</v>
      </c>
      <c r="H406" s="50" t="str">
        <f aca="false">'Project Plan'!H409&amp;""</f>
        <v>BE</v>
      </c>
      <c r="I406" s="50" t="str">
        <f aca="false">IF('Project Plan'!C409=3,ROUND('Project Plan'!Z409*Assumptions!$C$6,0)&amp;"h","")</f>
        <v>129h</v>
      </c>
    </row>
    <row r="407" customFormat="false" ht="15" hidden="false" customHeight="false" outlineLevel="0" collapsed="false">
      <c r="A407" s="50" t="n">
        <f aca="false">'Project Plan'!A410</f>
        <v>406</v>
      </c>
      <c r="B407" s="50" t="str">
        <f aca="false">'Project Plan'!E410</f>
        <v>Staff console screens</v>
      </c>
      <c r="C407" s="50" t="n">
        <f aca="false">'Project Plan'!C410</f>
        <v>3</v>
      </c>
      <c r="D407" s="50" t="str">
        <f aca="false">'Project Plan'!J410&amp;"d"</f>
        <v>53d</v>
      </c>
      <c r="E407" s="54" t="n">
        <f aca="false">'Project Plan'!K410</f>
        <v>46743</v>
      </c>
      <c r="F407" s="54" t="n">
        <f aca="false">'Project Plan'!L410</f>
        <v>46815</v>
      </c>
      <c r="G407" s="50" t="str">
        <f aca="false">'Project Plan'!M410&amp;""</f>
        <v>403</v>
      </c>
      <c r="H407" s="50" t="str">
        <f aca="false">'Project Plan'!H410&amp;""</f>
        <v>FE</v>
      </c>
      <c r="I407" s="50" t="str">
        <f aca="false">IF('Project Plan'!C410=3,ROUND('Project Plan'!Z410*Assumptions!$C$6,0)&amp;"h","")</f>
        <v>221h</v>
      </c>
    </row>
    <row r="408" customFormat="false" ht="15" hidden="false" customHeight="false" outlineLevel="0" collapsed="false">
      <c r="A408" s="50" t="n">
        <f aca="false">'Project Plan'!A411</f>
        <v>407</v>
      </c>
      <c r="B408" s="50" t="str">
        <f aca="false">'Project Plan'!E411</f>
        <v>Field app tasks (offline)</v>
      </c>
      <c r="C408" s="50" t="n">
        <f aca="false">'Project Plan'!C411</f>
        <v>3</v>
      </c>
      <c r="D408" s="50" t="str">
        <f aca="false">'Project Plan'!J411&amp;"d"</f>
        <v>40d</v>
      </c>
      <c r="E408" s="54" t="n">
        <f aca="false">'Project Plan'!K411</f>
        <v>46762</v>
      </c>
      <c r="F408" s="54" t="n">
        <f aca="false">'Project Plan'!L411</f>
        <v>46815</v>
      </c>
      <c r="G408" s="50" t="str">
        <f aca="false">'Project Plan'!M411&amp;""</f>
        <v>403</v>
      </c>
      <c r="H408" s="50" t="str">
        <f aca="false">'Project Plan'!H411&amp;""</f>
        <v>MOB</v>
      </c>
      <c r="I408" s="50" t="str">
        <f aca="false">IF('Project Plan'!C411=3,ROUND('Project Plan'!Z411*Assumptions!$C$6,0)&amp;"h","")</f>
        <v>101h</v>
      </c>
    </row>
    <row r="409" customFormat="false" ht="15" hidden="false" customHeight="false" outlineLevel="0" collapsed="false">
      <c r="A409" s="50" t="n">
        <f aca="false">'Project Plan'!A412</f>
        <v>408</v>
      </c>
      <c r="B409" s="50" t="str">
        <f aca="false">'Project Plan'!E412</f>
        <v>Module interfaces (4 I-xx links): events and APIs</v>
      </c>
      <c r="C409" s="50" t="n">
        <f aca="false">'Project Plan'!C412</f>
        <v>3</v>
      </c>
      <c r="D409" s="50" t="str">
        <f aca="false">'Project Plan'!J412&amp;"d"</f>
        <v>37d</v>
      </c>
      <c r="E409" s="54" t="n">
        <f aca="false">'Project Plan'!K412</f>
        <v>46771</v>
      </c>
      <c r="F409" s="54" t="n">
        <f aca="false">'Project Plan'!L412</f>
        <v>46821</v>
      </c>
      <c r="G409" s="50" t="str">
        <f aca="false">'Project Plan'!M412&amp;""</f>
        <v>404</v>
      </c>
      <c r="H409" s="50" t="str">
        <f aca="false">'Project Plan'!H412&amp;""</f>
        <v>BE</v>
      </c>
      <c r="I409" s="50" t="str">
        <f aca="false">IF('Project Plan'!C412=3,ROUND('Project Plan'!Z412*Assumptions!$C$6,0)&amp;"h","")</f>
        <v>55h</v>
      </c>
    </row>
    <row r="410" customFormat="false" ht="15" hidden="false" customHeight="false" outlineLevel="0" collapsed="false">
      <c r="A410" s="50" t="n">
        <f aca="false">'Project Plan'!A413</f>
        <v>409</v>
      </c>
      <c r="B410" s="50" t="str">
        <f aca="false">'Project Plan'!E413</f>
        <v>External system adapters (2)</v>
      </c>
      <c r="C410" s="50" t="n">
        <f aca="false">'Project Plan'!C413</f>
        <v>3</v>
      </c>
      <c r="D410" s="50" t="str">
        <f aca="false">'Project Plan'!J413&amp;"d"</f>
        <v>44d</v>
      </c>
      <c r="E410" s="54" t="n">
        <f aca="false">'Project Plan'!K413</f>
        <v>46762</v>
      </c>
      <c r="F410" s="54" t="n">
        <f aca="false">'Project Plan'!L413</f>
        <v>46821</v>
      </c>
      <c r="G410" s="50" t="str">
        <f aca="false">'Project Plan'!M413&amp;""</f>
        <v>402</v>
      </c>
      <c r="H410" s="50" t="str">
        <f aca="false">'Project Plan'!H413&amp;""</f>
        <v>BE</v>
      </c>
      <c r="I410" s="50" t="str">
        <f aca="false">IF('Project Plan'!C413=3,ROUND('Project Plan'!Z413*Assumptions!$C$6,0)&amp;"h","")</f>
        <v>110h</v>
      </c>
    </row>
    <row r="411" customFormat="false" ht="15" hidden="false" customHeight="false" outlineLevel="0" collapsed="false">
      <c r="A411" s="50" t="n">
        <f aca="false">'Project Plan'!A414</f>
        <v>410</v>
      </c>
      <c r="B411" s="50" t="str">
        <f aca="false">'Project Plan'!E414</f>
        <v>Reports, dashboards, notices and templates (all active languages)</v>
      </c>
      <c r="C411" s="50" t="n">
        <f aca="false">'Project Plan'!C414</f>
        <v>3</v>
      </c>
      <c r="D411" s="50" t="str">
        <f aca="false">'Project Plan'!J414&amp;"d"</f>
        <v>26d</v>
      </c>
      <c r="E411" s="54" t="n">
        <f aca="false">'Project Plan'!K414</f>
        <v>46790</v>
      </c>
      <c r="F411" s="54" t="n">
        <f aca="false">'Project Plan'!L414</f>
        <v>46825</v>
      </c>
      <c r="G411" s="50" t="str">
        <f aca="false">'Project Plan'!M414&amp;""</f>
        <v>404</v>
      </c>
      <c r="H411" s="50" t="str">
        <f aca="false">'Project Plan'!H414&amp;""</f>
        <v>BE</v>
      </c>
      <c r="I411" s="50" t="str">
        <f aca="false">IF('Project Plan'!C414=3,ROUND('Project Plan'!Z414*Assumptions!$C$6,0)&amp;"h","")</f>
        <v>92h</v>
      </c>
    </row>
    <row r="412" customFormat="false" ht="15" hidden="false" customHeight="false" outlineLevel="0" collapsed="false">
      <c r="A412" s="50" t="n">
        <f aca="false">'Project Plan'!A415</f>
        <v>411</v>
      </c>
      <c r="B412" s="50" t="str">
        <f aca="false">'Project Plan'!E415</f>
        <v>Data migration: employee master and service books</v>
      </c>
      <c r="C412" s="50" t="n">
        <f aca="false">'Project Plan'!C415</f>
        <v>3</v>
      </c>
      <c r="D412" s="50" t="str">
        <f aca="false">'Project Plan'!J415&amp;"d"</f>
        <v>59d</v>
      </c>
      <c r="E412" s="54" t="n">
        <f aca="false">'Project Plan'!K415</f>
        <v>46752</v>
      </c>
      <c r="F412" s="54" t="n">
        <f aca="false">'Project Plan'!L415</f>
        <v>46834</v>
      </c>
      <c r="G412" s="50" t="str">
        <f aca="false">'Project Plan'!M415&amp;""</f>
        <v>402</v>
      </c>
      <c r="H412" s="50" t="str">
        <f aca="false">'Project Plan'!H415&amp;""</f>
        <v>DATA</v>
      </c>
      <c r="I412" s="50" t="str">
        <f aca="false">IF('Project Plan'!C415=3,ROUND('Project Plan'!Z415*Assumptions!$C$6,0)&amp;"h","")</f>
        <v>120h</v>
      </c>
    </row>
    <row r="413" customFormat="false" ht="15" hidden="false" customHeight="false" outlineLevel="0" collapsed="false">
      <c r="A413" s="50" t="n">
        <f aca="false">'Project Plan'!A416</f>
        <v>412</v>
      </c>
      <c r="B413" s="50" t="str">
        <f aca="false">'Project Plan'!E416</f>
        <v>System integration testing</v>
      </c>
      <c r="C413" s="50" t="n">
        <f aca="false">'Project Plan'!C416</f>
        <v>3</v>
      </c>
      <c r="D413" s="50" t="str">
        <f aca="false">'Project Plan'!J416&amp;"d"</f>
        <v>21d</v>
      </c>
      <c r="E413" s="54" t="n">
        <f aca="false">'Project Plan'!K416</f>
        <v>46812</v>
      </c>
      <c r="F413" s="54" t="n">
        <f aca="false">'Project Plan'!L416</f>
        <v>46840</v>
      </c>
      <c r="G413" s="50" t="str">
        <f aca="false">'Project Plan'!M416&amp;""</f>
        <v>404,406</v>
      </c>
      <c r="H413" s="50" t="str">
        <f aca="false">'Project Plan'!H416&amp;""</f>
        <v>QA</v>
      </c>
      <c r="I413" s="50" t="str">
        <f aca="false">IF('Project Plan'!C416=3,ROUND('Project Plan'!Z416*Assumptions!$C$6,0)&amp;"h","")</f>
        <v>175h</v>
      </c>
    </row>
    <row r="414" customFormat="false" ht="15" hidden="false" customHeight="false" outlineLevel="0" collapsed="false">
      <c r="A414" s="50" t="n">
        <f aca="false">'Project Plan'!A417</f>
        <v>413</v>
      </c>
      <c r="B414" s="50" t="str">
        <f aca="false">'Project Plan'!E417</f>
        <v>Defect fixing and regression</v>
      </c>
      <c r="C414" s="50" t="n">
        <f aca="false">'Project Plan'!C417</f>
        <v>3</v>
      </c>
      <c r="D414" s="50" t="str">
        <f aca="false">'Project Plan'!J417&amp;"d"</f>
        <v>26d</v>
      </c>
      <c r="E414" s="54" t="n">
        <f aca="false">'Project Plan'!K417</f>
        <v>46818</v>
      </c>
      <c r="F414" s="54" t="n">
        <f aca="false">'Project Plan'!L417</f>
        <v>46853</v>
      </c>
      <c r="G414" s="50" t="str">
        <f aca="false">'Project Plan'!M417&amp;""</f>
        <v>412</v>
      </c>
      <c r="H414" s="50" t="str">
        <f aca="false">'Project Plan'!H417&amp;""</f>
        <v>BE</v>
      </c>
      <c r="I414" s="50" t="str">
        <f aca="false">IF('Project Plan'!C417=3,ROUND('Project Plan'!Z417*Assumptions!$C$6,0)&amp;"h","")</f>
        <v>156h</v>
      </c>
    </row>
    <row r="415" customFormat="false" ht="15" hidden="false" customHeight="false" outlineLevel="0" collapsed="false">
      <c r="A415" s="50" t="n">
        <f aca="false">'Project Plan'!A418</f>
        <v>414</v>
      </c>
      <c r="B415" s="50" t="str">
        <f aca="false">'Project Plan'!E418</f>
        <v>UAT support with GWMC department</v>
      </c>
      <c r="C415" s="50" t="n">
        <f aca="false">'Project Plan'!C418</f>
        <v>3</v>
      </c>
      <c r="D415" s="50" t="str">
        <f aca="false">'Project Plan'!J418&amp;"d"</f>
        <v>13d</v>
      </c>
      <c r="E415" s="54" t="n">
        <f aca="false">'Project Plan'!K418</f>
        <v>46841</v>
      </c>
      <c r="F415" s="54" t="n">
        <f aca="false">'Project Plan'!L418</f>
        <v>46857</v>
      </c>
      <c r="G415" s="50" t="str">
        <f aca="false">'Project Plan'!M418&amp;""</f>
        <v>412</v>
      </c>
      <c r="H415" s="50" t="str">
        <f aca="false">'Project Plan'!H418&amp;""</f>
        <v>BA</v>
      </c>
      <c r="I415" s="50" t="str">
        <f aca="false">IF('Project Plan'!C418=3,ROUND('Project Plan'!Z418*Assumptions!$C$6,0)&amp;"h","")</f>
        <v>92h</v>
      </c>
    </row>
    <row r="416" customFormat="false" ht="15" hidden="false" customHeight="false" outlineLevel="0" collapsed="false">
      <c r="A416" s="50" t="n">
        <f aca="false">'Project Plan'!A419</f>
        <v>415</v>
      </c>
      <c r="B416" s="50" t="str">
        <f aca="false">'Project Plan'!E419</f>
        <v>Training material and department training</v>
      </c>
      <c r="C416" s="50" t="n">
        <f aca="false">'Project Plan'!C419</f>
        <v>3</v>
      </c>
      <c r="D416" s="50" t="str">
        <f aca="false">'Project Plan'!J419&amp;"d"</f>
        <v>13d</v>
      </c>
      <c r="E416" s="54" t="n">
        <f aca="false">'Project Plan'!K419</f>
        <v>46846</v>
      </c>
      <c r="F416" s="54" t="n">
        <f aca="false">'Project Plan'!L419</f>
        <v>46862</v>
      </c>
      <c r="G416" s="50" t="str">
        <f aca="false">'Project Plan'!M419&amp;""</f>
        <v>414</v>
      </c>
      <c r="H416" s="50" t="str">
        <f aca="false">'Project Plan'!H419&amp;""</f>
        <v>TRN</v>
      </c>
      <c r="I416" s="50" t="str">
        <f aca="false">IF('Project Plan'!C419=3,ROUND('Project Plan'!Z419*Assumptions!$C$6,0)&amp;"h","")</f>
        <v>74h</v>
      </c>
    </row>
    <row r="417" customFormat="false" ht="15" hidden="false" customHeight="false" outlineLevel="0" collapsed="false">
      <c r="A417" s="50" t="n">
        <f aca="false">'Project Plan'!A420</f>
        <v>416</v>
      </c>
      <c r="B417" s="50" t="str">
        <f aca="false">'Project Plan'!E420</f>
        <v>Module 15: Municipal Property Management</v>
      </c>
      <c r="C417" s="50" t="n">
        <f aca="false">'Project Plan'!C420</f>
        <v>2</v>
      </c>
      <c r="D417" s="50" t="str">
        <f aca="false">'Project Plan'!J420&amp;"d"</f>
        <v>119d</v>
      </c>
      <c r="E417" s="54" t="n">
        <f aca="false">'Project Plan'!K420</f>
        <v>46696</v>
      </c>
      <c r="F417" s="54" t="n">
        <f aca="false">'Project Plan'!L420</f>
        <v>46862</v>
      </c>
      <c r="G417" s="50" t="str">
        <f aca="false">'Project Plan'!M420&amp;""</f>
        <v/>
      </c>
      <c r="H417" s="50" t="str">
        <f aca="false">'Project Plan'!H420&amp;""</f>
        <v/>
      </c>
      <c r="I417" s="50" t="str">
        <f aca="false">IF('Project Plan'!C420=3,ROUND('Project Plan'!Z420*Assumptions!$C$6,0)&amp;"h","")</f>
        <v/>
      </c>
    </row>
    <row r="418" customFormat="false" ht="15" hidden="false" customHeight="false" outlineLevel="0" collapsed="false">
      <c r="A418" s="50" t="n">
        <f aca="false">'Project Plan'!A421</f>
        <v>417</v>
      </c>
      <c r="B418" s="50" t="str">
        <f aca="false">'Project Plan'!E421</f>
        <v>Process validation workshops and to-be sign-off</v>
      </c>
      <c r="C418" s="50" t="n">
        <f aca="false">'Project Plan'!C421</f>
        <v>3</v>
      </c>
      <c r="D418" s="50" t="str">
        <f aca="false">'Project Plan'!J421&amp;"d"</f>
        <v>16d</v>
      </c>
      <c r="E418" s="54" t="n">
        <f aca="false">'Project Plan'!K421</f>
        <v>46696</v>
      </c>
      <c r="F418" s="54" t="n">
        <f aca="false">'Project Plan'!L421</f>
        <v>46717</v>
      </c>
      <c r="G418" s="50" t="str">
        <f aca="false">'Project Plan'!M421&amp;""</f>
        <v>394</v>
      </c>
      <c r="H418" s="50" t="str">
        <f aca="false">'Project Plan'!H421&amp;""</f>
        <v>BA</v>
      </c>
      <c r="I418" s="50" t="str">
        <f aca="false">IF('Project Plan'!C421=3,ROUND('Project Plan'!Z421*Assumptions!$C$6,0)&amp;"h","")</f>
        <v>83h</v>
      </c>
    </row>
    <row r="419" customFormat="false" ht="15" hidden="false" customHeight="false" outlineLevel="0" collapsed="false">
      <c r="A419" s="50" t="n">
        <f aca="false">'Project Plan'!A422</f>
        <v>418</v>
      </c>
      <c r="B419" s="50" t="str">
        <f aca="false">'Project Plan'!E422</f>
        <v>LLD, data model and API/event contracts</v>
      </c>
      <c r="C419" s="50" t="n">
        <f aca="false">'Project Plan'!C422</f>
        <v>3</v>
      </c>
      <c r="D419" s="50" t="str">
        <f aca="false">'Project Plan'!J422&amp;"d"</f>
        <v>16d</v>
      </c>
      <c r="E419" s="54" t="n">
        <f aca="false">'Project Plan'!K422</f>
        <v>46713</v>
      </c>
      <c r="F419" s="54" t="n">
        <f aca="false">'Project Plan'!L422</f>
        <v>46734</v>
      </c>
      <c r="G419" s="50" t="str">
        <f aca="false">'Project Plan'!M422&amp;""</f>
        <v>417</v>
      </c>
      <c r="H419" s="50" t="str">
        <f aca="false">'Project Plan'!H422&amp;""</f>
        <v>ARC</v>
      </c>
      <c r="I419" s="50" t="str">
        <f aca="false">IF('Project Plan'!C422=3,ROUND('Project Plan'!Z422*Assumptions!$C$6,0)&amp;"h","")</f>
        <v>74h</v>
      </c>
    </row>
    <row r="420" customFormat="false" ht="15" hidden="false" customHeight="false" outlineLevel="0" collapsed="false">
      <c r="A420" s="50" t="n">
        <f aca="false">'Project Plan'!A423</f>
        <v>419</v>
      </c>
      <c r="B420" s="50" t="str">
        <f aca="false">'Project Plan'!E423</f>
        <v>UX wireframes and UI design</v>
      </c>
      <c r="C420" s="50" t="n">
        <f aca="false">'Project Plan'!C423</f>
        <v>3</v>
      </c>
      <c r="D420" s="50" t="str">
        <f aca="false">'Project Plan'!J423&amp;"d"</f>
        <v>16d</v>
      </c>
      <c r="E420" s="54" t="n">
        <f aca="false">'Project Plan'!K423</f>
        <v>46713</v>
      </c>
      <c r="F420" s="54" t="n">
        <f aca="false">'Project Plan'!L423</f>
        <v>46734</v>
      </c>
      <c r="G420" s="50" t="str">
        <f aca="false">'Project Plan'!M423&amp;""</f>
        <v>417</v>
      </c>
      <c r="H420" s="50" t="str">
        <f aca="false">'Project Plan'!H423&amp;""</f>
        <v>FE</v>
      </c>
      <c r="I420" s="50" t="str">
        <f aca="false">IF('Project Plan'!C423=3,ROUND('Project Plan'!Z423*Assumptions!$C$6,0)&amp;"h","")</f>
        <v>55h</v>
      </c>
    </row>
    <row r="421" customFormat="false" ht="15" hidden="false" customHeight="false" outlineLevel="0" collapsed="false">
      <c r="A421" s="50" t="n">
        <f aca="false">'Project Plan'!A424</f>
        <v>420</v>
      </c>
      <c r="B421" s="50" t="str">
        <f aca="false">'Project Plan'!E424</f>
        <v>Database schema, domain logic and APIs</v>
      </c>
      <c r="C421" s="50" t="n">
        <f aca="false">'Project Plan'!C424</f>
        <v>3</v>
      </c>
      <c r="D421" s="50" t="str">
        <f aca="false">'Project Plan'!J424&amp;"d"</f>
        <v>55d</v>
      </c>
      <c r="E421" s="54" t="n">
        <f aca="false">'Project Plan'!K424</f>
        <v>46730</v>
      </c>
      <c r="F421" s="54" t="n">
        <f aca="false">'Project Plan'!L424</f>
        <v>46806</v>
      </c>
      <c r="G421" s="50" t="str">
        <f aca="false">'Project Plan'!M424&amp;""</f>
        <v>418</v>
      </c>
      <c r="H421" s="50" t="str">
        <f aca="false">'Project Plan'!H424&amp;""</f>
        <v>BE</v>
      </c>
      <c r="I421" s="50" t="str">
        <f aca="false">IF('Project Plan'!C424=3,ROUND('Project Plan'!Z424*Assumptions!$C$6,0)&amp;"h","")</f>
        <v>202h</v>
      </c>
    </row>
    <row r="422" customFormat="false" ht="15" hidden="false" customHeight="false" outlineLevel="0" collapsed="false">
      <c r="A422" s="50" t="n">
        <f aca="false">'Project Plan'!A425</f>
        <v>421</v>
      </c>
      <c r="B422" s="50" t="str">
        <f aca="false">'Project Plan'!E425</f>
        <v>Workflows (BPMN) and rules (DMN) configuration</v>
      </c>
      <c r="C422" s="50" t="n">
        <f aca="false">'Project Plan'!C425</f>
        <v>3</v>
      </c>
      <c r="D422" s="50" t="str">
        <f aca="false">'Project Plan'!J425&amp;"d"</f>
        <v>40d</v>
      </c>
      <c r="E422" s="54" t="n">
        <f aca="false">'Project Plan'!K425</f>
        <v>46752</v>
      </c>
      <c r="F422" s="54" t="n">
        <f aca="false">'Project Plan'!L425</f>
        <v>46807</v>
      </c>
      <c r="G422" s="50" t="str">
        <f aca="false">'Project Plan'!M425&amp;""</f>
        <v>418</v>
      </c>
      <c r="H422" s="50" t="str">
        <f aca="false">'Project Plan'!H425&amp;""</f>
        <v>BE</v>
      </c>
      <c r="I422" s="50" t="str">
        <f aca="false">IF('Project Plan'!C425=3,ROUND('Project Plan'!Z425*Assumptions!$C$6,0)&amp;"h","")</f>
        <v>101h</v>
      </c>
    </row>
    <row r="423" customFormat="false" ht="15" hidden="false" customHeight="false" outlineLevel="0" collapsed="false">
      <c r="A423" s="50" t="n">
        <f aca="false">'Project Plan'!A426</f>
        <v>422</v>
      </c>
      <c r="B423" s="50" t="str">
        <f aca="false">'Project Plan'!E426</f>
        <v>Staff console screens</v>
      </c>
      <c r="C423" s="50" t="n">
        <f aca="false">'Project Plan'!C426</f>
        <v>3</v>
      </c>
      <c r="D423" s="50" t="str">
        <f aca="false">'Project Plan'!J426&amp;"d"</f>
        <v>53d</v>
      </c>
      <c r="E423" s="54" t="n">
        <f aca="false">'Project Plan'!K426</f>
        <v>46743</v>
      </c>
      <c r="F423" s="54" t="n">
        <f aca="false">'Project Plan'!L426</f>
        <v>46815</v>
      </c>
      <c r="G423" s="50" t="str">
        <f aca="false">'Project Plan'!M426&amp;""</f>
        <v>419</v>
      </c>
      <c r="H423" s="50" t="str">
        <f aca="false">'Project Plan'!H426&amp;""</f>
        <v>FE</v>
      </c>
      <c r="I423" s="50" t="str">
        <f aca="false">IF('Project Plan'!C426=3,ROUND('Project Plan'!Z426*Assumptions!$C$6,0)&amp;"h","")</f>
        <v>175h</v>
      </c>
    </row>
    <row r="424" customFormat="false" ht="15" hidden="false" customHeight="false" outlineLevel="0" collapsed="false">
      <c r="A424" s="50" t="n">
        <f aca="false">'Project Plan'!A427</f>
        <v>423</v>
      </c>
      <c r="B424" s="50" t="str">
        <f aca="false">'Project Plan'!E427</f>
        <v>Field app tasks (offline)</v>
      </c>
      <c r="C424" s="50" t="n">
        <f aca="false">'Project Plan'!C427</f>
        <v>3</v>
      </c>
      <c r="D424" s="50" t="str">
        <f aca="false">'Project Plan'!J427&amp;"d"</f>
        <v>40d</v>
      </c>
      <c r="E424" s="54" t="n">
        <f aca="false">'Project Plan'!K427</f>
        <v>46762</v>
      </c>
      <c r="F424" s="54" t="n">
        <f aca="false">'Project Plan'!L427</f>
        <v>46815</v>
      </c>
      <c r="G424" s="50" t="str">
        <f aca="false">'Project Plan'!M427&amp;""</f>
        <v>419</v>
      </c>
      <c r="H424" s="50" t="str">
        <f aca="false">'Project Plan'!H427&amp;""</f>
        <v>MOB</v>
      </c>
      <c r="I424" s="50" t="str">
        <f aca="false">IF('Project Plan'!C427=3,ROUND('Project Plan'!Z427*Assumptions!$C$6,0)&amp;"h","")</f>
        <v>83h</v>
      </c>
    </row>
    <row r="425" customFormat="false" ht="15" hidden="false" customHeight="false" outlineLevel="0" collapsed="false">
      <c r="A425" s="50" t="n">
        <f aca="false">'Project Plan'!A428</f>
        <v>424</v>
      </c>
      <c r="B425" s="50" t="str">
        <f aca="false">'Project Plan'!E428</f>
        <v>GIS layers, map views and spatial checks</v>
      </c>
      <c r="C425" s="50" t="n">
        <f aca="false">'Project Plan'!C428</f>
        <v>3</v>
      </c>
      <c r="D425" s="50" t="str">
        <f aca="false">'Project Plan'!J428&amp;"d"</f>
        <v>46d</v>
      </c>
      <c r="E425" s="54" t="n">
        <f aca="false">'Project Plan'!K428</f>
        <v>46743</v>
      </c>
      <c r="F425" s="54" t="n">
        <f aca="false">'Project Plan'!L428</f>
        <v>46806</v>
      </c>
      <c r="G425" s="50" t="str">
        <f aca="false">'Project Plan'!M428&amp;""</f>
        <v>418</v>
      </c>
      <c r="H425" s="50" t="str">
        <f aca="false">'Project Plan'!H428&amp;""</f>
        <v>GIS</v>
      </c>
      <c r="I425" s="50" t="str">
        <f aca="false">IF('Project Plan'!C428=3,ROUND('Project Plan'!Z428*Assumptions!$C$6,0)&amp;"h","")</f>
        <v>74h</v>
      </c>
    </row>
    <row r="426" customFormat="false" ht="15" hidden="false" customHeight="false" outlineLevel="0" collapsed="false">
      <c r="A426" s="50" t="n">
        <f aca="false">'Project Plan'!A429</f>
        <v>425</v>
      </c>
      <c r="B426" s="50" t="str">
        <f aca="false">'Project Plan'!E429</f>
        <v>Module interfaces (12 I-xx links): events and APIs</v>
      </c>
      <c r="C426" s="50" t="n">
        <f aca="false">'Project Plan'!C429</f>
        <v>3</v>
      </c>
      <c r="D426" s="50" t="str">
        <f aca="false">'Project Plan'!J429&amp;"d"</f>
        <v>37d</v>
      </c>
      <c r="E426" s="54" t="n">
        <f aca="false">'Project Plan'!K429</f>
        <v>46771</v>
      </c>
      <c r="F426" s="54" t="n">
        <f aca="false">'Project Plan'!L429</f>
        <v>46821</v>
      </c>
      <c r="G426" s="50" t="str">
        <f aca="false">'Project Plan'!M429&amp;""</f>
        <v>420</v>
      </c>
      <c r="H426" s="50" t="str">
        <f aca="false">'Project Plan'!H429&amp;""</f>
        <v>BE</v>
      </c>
      <c r="I426" s="50" t="str">
        <f aca="false">IF('Project Plan'!C429=3,ROUND('Project Plan'!Z429*Assumptions!$C$6,0)&amp;"h","")</f>
        <v>166h</v>
      </c>
    </row>
    <row r="427" customFormat="false" ht="15" hidden="false" customHeight="false" outlineLevel="0" collapsed="false">
      <c r="A427" s="50" t="n">
        <f aca="false">'Project Plan'!A430</f>
        <v>426</v>
      </c>
      <c r="B427" s="50" t="str">
        <f aca="false">'Project Plan'!E430</f>
        <v>Reports, dashboards, notices and templates (all active languages)</v>
      </c>
      <c r="C427" s="50" t="n">
        <f aca="false">'Project Plan'!C430</f>
        <v>3</v>
      </c>
      <c r="D427" s="50" t="str">
        <f aca="false">'Project Plan'!J430&amp;"d"</f>
        <v>26d</v>
      </c>
      <c r="E427" s="54" t="n">
        <f aca="false">'Project Plan'!K430</f>
        <v>46790</v>
      </c>
      <c r="F427" s="54" t="n">
        <f aca="false">'Project Plan'!L430</f>
        <v>46825</v>
      </c>
      <c r="G427" s="50" t="str">
        <f aca="false">'Project Plan'!M430&amp;""</f>
        <v>420</v>
      </c>
      <c r="H427" s="50" t="str">
        <f aca="false">'Project Plan'!H430&amp;""</f>
        <v>BE</v>
      </c>
      <c r="I427" s="50" t="str">
        <f aca="false">IF('Project Plan'!C430=3,ROUND('Project Plan'!Z430*Assumptions!$C$6,0)&amp;"h","")</f>
        <v>74h</v>
      </c>
    </row>
    <row r="428" customFormat="false" ht="15" hidden="false" customHeight="false" outlineLevel="0" collapsed="false">
      <c r="A428" s="50" t="n">
        <f aca="false">'Project Plan'!A431</f>
        <v>427</v>
      </c>
      <c r="B428" s="50" t="str">
        <f aca="false">'Project Plan'!E431</f>
        <v>Data migration: asset and lease registers</v>
      </c>
      <c r="C428" s="50" t="n">
        <f aca="false">'Project Plan'!C431</f>
        <v>3</v>
      </c>
      <c r="D428" s="50" t="str">
        <f aca="false">'Project Plan'!J431&amp;"d"</f>
        <v>59d</v>
      </c>
      <c r="E428" s="54" t="n">
        <f aca="false">'Project Plan'!K431</f>
        <v>46752</v>
      </c>
      <c r="F428" s="54" t="n">
        <f aca="false">'Project Plan'!L431</f>
        <v>46834</v>
      </c>
      <c r="G428" s="50" t="str">
        <f aca="false">'Project Plan'!M431&amp;""</f>
        <v>418</v>
      </c>
      <c r="H428" s="50" t="str">
        <f aca="false">'Project Plan'!H431&amp;""</f>
        <v>DATA</v>
      </c>
      <c r="I428" s="50" t="str">
        <f aca="false">IF('Project Plan'!C431=3,ROUND('Project Plan'!Z431*Assumptions!$C$6,0)&amp;"h","")</f>
        <v>101h</v>
      </c>
    </row>
    <row r="429" customFormat="false" ht="15" hidden="false" customHeight="false" outlineLevel="0" collapsed="false">
      <c r="A429" s="50" t="n">
        <f aca="false">'Project Plan'!A432</f>
        <v>428</v>
      </c>
      <c r="B429" s="50" t="str">
        <f aca="false">'Project Plan'!E432</f>
        <v>System integration testing</v>
      </c>
      <c r="C429" s="50" t="n">
        <f aca="false">'Project Plan'!C432</f>
        <v>3</v>
      </c>
      <c r="D429" s="50" t="str">
        <f aca="false">'Project Plan'!J432&amp;"d"</f>
        <v>21d</v>
      </c>
      <c r="E429" s="54" t="n">
        <f aca="false">'Project Plan'!K432</f>
        <v>46812</v>
      </c>
      <c r="F429" s="54" t="n">
        <f aca="false">'Project Plan'!L432</f>
        <v>46840</v>
      </c>
      <c r="G429" s="50" t="str">
        <f aca="false">'Project Plan'!M432&amp;""</f>
        <v>420,422</v>
      </c>
      <c r="H429" s="50" t="str">
        <f aca="false">'Project Plan'!H432&amp;""</f>
        <v>QA</v>
      </c>
      <c r="I429" s="50" t="str">
        <f aca="false">IF('Project Plan'!C432=3,ROUND('Project Plan'!Z432*Assumptions!$C$6,0)&amp;"h","")</f>
        <v>138h</v>
      </c>
    </row>
    <row r="430" customFormat="false" ht="15" hidden="false" customHeight="false" outlineLevel="0" collapsed="false">
      <c r="A430" s="50" t="n">
        <f aca="false">'Project Plan'!A433</f>
        <v>429</v>
      </c>
      <c r="B430" s="50" t="str">
        <f aca="false">'Project Plan'!E433</f>
        <v>Defect fixing and regression</v>
      </c>
      <c r="C430" s="50" t="n">
        <f aca="false">'Project Plan'!C433</f>
        <v>3</v>
      </c>
      <c r="D430" s="50" t="str">
        <f aca="false">'Project Plan'!J433&amp;"d"</f>
        <v>26d</v>
      </c>
      <c r="E430" s="54" t="n">
        <f aca="false">'Project Plan'!K433</f>
        <v>46818</v>
      </c>
      <c r="F430" s="54" t="n">
        <f aca="false">'Project Plan'!L433</f>
        <v>46853</v>
      </c>
      <c r="G430" s="50" t="str">
        <f aca="false">'Project Plan'!M433&amp;""</f>
        <v>428</v>
      </c>
      <c r="H430" s="50" t="str">
        <f aca="false">'Project Plan'!H433&amp;""</f>
        <v>BE</v>
      </c>
      <c r="I430" s="50" t="str">
        <f aca="false">IF('Project Plan'!C433=3,ROUND('Project Plan'!Z433*Assumptions!$C$6,0)&amp;"h","")</f>
        <v>120h</v>
      </c>
    </row>
    <row r="431" customFormat="false" ht="15" hidden="false" customHeight="false" outlineLevel="0" collapsed="false">
      <c r="A431" s="50" t="n">
        <f aca="false">'Project Plan'!A434</f>
        <v>430</v>
      </c>
      <c r="B431" s="50" t="str">
        <f aca="false">'Project Plan'!E434</f>
        <v>UAT support with GWMC department</v>
      </c>
      <c r="C431" s="50" t="n">
        <f aca="false">'Project Plan'!C434</f>
        <v>3</v>
      </c>
      <c r="D431" s="50" t="str">
        <f aca="false">'Project Plan'!J434&amp;"d"</f>
        <v>13d</v>
      </c>
      <c r="E431" s="54" t="n">
        <f aca="false">'Project Plan'!K434</f>
        <v>46841</v>
      </c>
      <c r="F431" s="54" t="n">
        <f aca="false">'Project Plan'!L434</f>
        <v>46857</v>
      </c>
      <c r="G431" s="50" t="str">
        <f aca="false">'Project Plan'!M434&amp;""</f>
        <v>428</v>
      </c>
      <c r="H431" s="50" t="str">
        <f aca="false">'Project Plan'!H434&amp;""</f>
        <v>BA</v>
      </c>
      <c r="I431" s="50" t="str">
        <f aca="false">IF('Project Plan'!C434=3,ROUND('Project Plan'!Z434*Assumptions!$C$6,0)&amp;"h","")</f>
        <v>74h</v>
      </c>
    </row>
    <row r="432" customFormat="false" ht="15" hidden="false" customHeight="false" outlineLevel="0" collapsed="false">
      <c r="A432" s="50" t="n">
        <f aca="false">'Project Plan'!A435</f>
        <v>431</v>
      </c>
      <c r="B432" s="50" t="str">
        <f aca="false">'Project Plan'!E435</f>
        <v>Training material and department training</v>
      </c>
      <c r="C432" s="50" t="n">
        <f aca="false">'Project Plan'!C435</f>
        <v>3</v>
      </c>
      <c r="D432" s="50" t="str">
        <f aca="false">'Project Plan'!J435&amp;"d"</f>
        <v>13d</v>
      </c>
      <c r="E432" s="54" t="n">
        <f aca="false">'Project Plan'!K435</f>
        <v>46846</v>
      </c>
      <c r="F432" s="54" t="n">
        <f aca="false">'Project Plan'!L435</f>
        <v>46862</v>
      </c>
      <c r="G432" s="50" t="str">
        <f aca="false">'Project Plan'!M435&amp;""</f>
        <v>430</v>
      </c>
      <c r="H432" s="50" t="str">
        <f aca="false">'Project Plan'!H435&amp;""</f>
        <v>TRN</v>
      </c>
      <c r="I432" s="50" t="str">
        <f aca="false">IF('Project Plan'!C435=3,ROUND('Project Plan'!Z435*Assumptions!$C$6,0)&amp;"h","")</f>
        <v>55h</v>
      </c>
    </row>
    <row r="433" customFormat="false" ht="15" hidden="false" customHeight="false" outlineLevel="0" collapsed="false">
      <c r="A433" s="50" t="n">
        <f aca="false">'Project Plan'!A436</f>
        <v>432</v>
      </c>
      <c r="B433" s="50" t="str">
        <f aca="false">'Project Plan'!E436</f>
        <v>Module 16: Legal Case Management</v>
      </c>
      <c r="C433" s="50" t="n">
        <f aca="false">'Project Plan'!C436</f>
        <v>2</v>
      </c>
      <c r="D433" s="50" t="str">
        <f aca="false">'Project Plan'!J436&amp;"d"</f>
        <v>119d</v>
      </c>
      <c r="E433" s="54" t="n">
        <f aca="false">'Project Plan'!K436</f>
        <v>46696</v>
      </c>
      <c r="F433" s="54" t="n">
        <f aca="false">'Project Plan'!L436</f>
        <v>46862</v>
      </c>
      <c r="G433" s="50" t="str">
        <f aca="false">'Project Plan'!M436&amp;""</f>
        <v/>
      </c>
      <c r="H433" s="50" t="str">
        <f aca="false">'Project Plan'!H436&amp;""</f>
        <v/>
      </c>
      <c r="I433" s="50" t="str">
        <f aca="false">IF('Project Plan'!C436=3,ROUND('Project Plan'!Z436*Assumptions!$C$6,0)&amp;"h","")</f>
        <v/>
      </c>
    </row>
    <row r="434" customFormat="false" ht="15" hidden="false" customHeight="false" outlineLevel="0" collapsed="false">
      <c r="A434" s="50" t="n">
        <f aca="false">'Project Plan'!A437</f>
        <v>433</v>
      </c>
      <c r="B434" s="50" t="str">
        <f aca="false">'Project Plan'!E437</f>
        <v>Process validation workshops and to-be sign-off</v>
      </c>
      <c r="C434" s="50" t="n">
        <f aca="false">'Project Plan'!C437</f>
        <v>3</v>
      </c>
      <c r="D434" s="50" t="str">
        <f aca="false">'Project Plan'!J437&amp;"d"</f>
        <v>16d</v>
      </c>
      <c r="E434" s="54" t="n">
        <f aca="false">'Project Plan'!K437</f>
        <v>46696</v>
      </c>
      <c r="F434" s="54" t="n">
        <f aca="false">'Project Plan'!L437</f>
        <v>46717</v>
      </c>
      <c r="G434" s="50" t="str">
        <f aca="false">'Project Plan'!M437&amp;""</f>
        <v>394</v>
      </c>
      <c r="H434" s="50" t="str">
        <f aca="false">'Project Plan'!H437&amp;""</f>
        <v>BA</v>
      </c>
      <c r="I434" s="50" t="str">
        <f aca="false">IF('Project Plan'!C437=3,ROUND('Project Plan'!Z437*Assumptions!$C$6,0)&amp;"h","")</f>
        <v>92h</v>
      </c>
    </row>
    <row r="435" customFormat="false" ht="15" hidden="false" customHeight="false" outlineLevel="0" collapsed="false">
      <c r="A435" s="50" t="n">
        <f aca="false">'Project Plan'!A438</f>
        <v>434</v>
      </c>
      <c r="B435" s="50" t="str">
        <f aca="false">'Project Plan'!E438</f>
        <v>LLD, data model and API/event contracts</v>
      </c>
      <c r="C435" s="50" t="n">
        <f aca="false">'Project Plan'!C438</f>
        <v>3</v>
      </c>
      <c r="D435" s="50" t="str">
        <f aca="false">'Project Plan'!J438&amp;"d"</f>
        <v>16d</v>
      </c>
      <c r="E435" s="54" t="n">
        <f aca="false">'Project Plan'!K438</f>
        <v>46713</v>
      </c>
      <c r="F435" s="54" t="n">
        <f aca="false">'Project Plan'!L438</f>
        <v>46734</v>
      </c>
      <c r="G435" s="50" t="str">
        <f aca="false">'Project Plan'!M438&amp;""</f>
        <v>433</v>
      </c>
      <c r="H435" s="50" t="str">
        <f aca="false">'Project Plan'!H438&amp;""</f>
        <v>ARC</v>
      </c>
      <c r="I435" s="50" t="str">
        <f aca="false">IF('Project Plan'!C438=3,ROUND('Project Plan'!Z438*Assumptions!$C$6,0)&amp;"h","")</f>
        <v>74h</v>
      </c>
    </row>
    <row r="436" customFormat="false" ht="15" hidden="false" customHeight="false" outlineLevel="0" collapsed="false">
      <c r="A436" s="50" t="n">
        <f aca="false">'Project Plan'!A439</f>
        <v>435</v>
      </c>
      <c r="B436" s="50" t="str">
        <f aca="false">'Project Plan'!E439</f>
        <v>UX wireframes and UI design</v>
      </c>
      <c r="C436" s="50" t="n">
        <f aca="false">'Project Plan'!C439</f>
        <v>3</v>
      </c>
      <c r="D436" s="50" t="str">
        <f aca="false">'Project Plan'!J439&amp;"d"</f>
        <v>16d</v>
      </c>
      <c r="E436" s="54" t="n">
        <f aca="false">'Project Plan'!K439</f>
        <v>46713</v>
      </c>
      <c r="F436" s="54" t="n">
        <f aca="false">'Project Plan'!L439</f>
        <v>46734</v>
      </c>
      <c r="G436" s="50" t="str">
        <f aca="false">'Project Plan'!M439&amp;""</f>
        <v>433</v>
      </c>
      <c r="H436" s="50" t="str">
        <f aca="false">'Project Plan'!H439&amp;""</f>
        <v>FE</v>
      </c>
      <c r="I436" s="50" t="str">
        <f aca="false">IF('Project Plan'!C439=3,ROUND('Project Plan'!Z439*Assumptions!$C$6,0)&amp;"h","")</f>
        <v>64h</v>
      </c>
    </row>
    <row r="437" customFormat="false" ht="15" hidden="false" customHeight="false" outlineLevel="0" collapsed="false">
      <c r="A437" s="50" t="n">
        <f aca="false">'Project Plan'!A440</f>
        <v>436</v>
      </c>
      <c r="B437" s="50" t="str">
        <f aca="false">'Project Plan'!E440</f>
        <v>Database schema, domain logic and APIs</v>
      </c>
      <c r="C437" s="50" t="n">
        <f aca="false">'Project Plan'!C440</f>
        <v>3</v>
      </c>
      <c r="D437" s="50" t="str">
        <f aca="false">'Project Plan'!J440&amp;"d"</f>
        <v>55d</v>
      </c>
      <c r="E437" s="54" t="n">
        <f aca="false">'Project Plan'!K440</f>
        <v>46730</v>
      </c>
      <c r="F437" s="54" t="n">
        <f aca="false">'Project Plan'!L440</f>
        <v>46806</v>
      </c>
      <c r="G437" s="50" t="str">
        <f aca="false">'Project Plan'!M440&amp;""</f>
        <v>434</v>
      </c>
      <c r="H437" s="50" t="str">
        <f aca="false">'Project Plan'!H440&amp;""</f>
        <v>BE</v>
      </c>
      <c r="I437" s="50" t="str">
        <f aca="false">IF('Project Plan'!C440=3,ROUND('Project Plan'!Z440*Assumptions!$C$6,0)&amp;"h","")</f>
        <v>239h</v>
      </c>
    </row>
    <row r="438" customFormat="false" ht="15" hidden="false" customHeight="false" outlineLevel="0" collapsed="false">
      <c r="A438" s="50" t="n">
        <f aca="false">'Project Plan'!A441</f>
        <v>437</v>
      </c>
      <c r="B438" s="50" t="str">
        <f aca="false">'Project Plan'!E441</f>
        <v>Workflows (BPMN) and rules (DMN) configuration</v>
      </c>
      <c r="C438" s="50" t="n">
        <f aca="false">'Project Plan'!C441</f>
        <v>3</v>
      </c>
      <c r="D438" s="50" t="str">
        <f aca="false">'Project Plan'!J441&amp;"d"</f>
        <v>40d</v>
      </c>
      <c r="E438" s="54" t="n">
        <f aca="false">'Project Plan'!K441</f>
        <v>46752</v>
      </c>
      <c r="F438" s="54" t="n">
        <f aca="false">'Project Plan'!L441</f>
        <v>46807</v>
      </c>
      <c r="G438" s="50" t="str">
        <f aca="false">'Project Plan'!M441&amp;""</f>
        <v>434</v>
      </c>
      <c r="H438" s="50" t="str">
        <f aca="false">'Project Plan'!H441&amp;""</f>
        <v>BE</v>
      </c>
      <c r="I438" s="50" t="str">
        <f aca="false">IF('Project Plan'!C441=3,ROUND('Project Plan'!Z441*Assumptions!$C$6,0)&amp;"h","")</f>
        <v>101h</v>
      </c>
    </row>
    <row r="439" customFormat="false" ht="15" hidden="false" customHeight="false" outlineLevel="0" collapsed="false">
      <c r="A439" s="50" t="n">
        <f aca="false">'Project Plan'!A442</f>
        <v>438</v>
      </c>
      <c r="B439" s="50" t="str">
        <f aca="false">'Project Plan'!E442</f>
        <v>Staff console screens</v>
      </c>
      <c r="C439" s="50" t="n">
        <f aca="false">'Project Plan'!C442</f>
        <v>3</v>
      </c>
      <c r="D439" s="50" t="str">
        <f aca="false">'Project Plan'!J442&amp;"d"</f>
        <v>53d</v>
      </c>
      <c r="E439" s="54" t="n">
        <f aca="false">'Project Plan'!K442</f>
        <v>46743</v>
      </c>
      <c r="F439" s="54" t="n">
        <f aca="false">'Project Plan'!L442</f>
        <v>46815</v>
      </c>
      <c r="G439" s="50" t="str">
        <f aca="false">'Project Plan'!M442&amp;""</f>
        <v>435</v>
      </c>
      <c r="H439" s="50" t="str">
        <f aca="false">'Project Plan'!H442&amp;""</f>
        <v>FE</v>
      </c>
      <c r="I439" s="50" t="str">
        <f aca="false">IF('Project Plan'!C442=3,ROUND('Project Plan'!Z442*Assumptions!$C$6,0)&amp;"h","")</f>
        <v>193h</v>
      </c>
    </row>
    <row r="440" customFormat="false" ht="15" hidden="false" customHeight="false" outlineLevel="0" collapsed="false">
      <c r="A440" s="50" t="n">
        <f aca="false">'Project Plan'!A443</f>
        <v>439</v>
      </c>
      <c r="B440" s="50" t="str">
        <f aca="false">'Project Plan'!E443</f>
        <v>Module interfaces (4 I-xx links): events and APIs</v>
      </c>
      <c r="C440" s="50" t="n">
        <f aca="false">'Project Plan'!C443</f>
        <v>3</v>
      </c>
      <c r="D440" s="50" t="str">
        <f aca="false">'Project Plan'!J443&amp;"d"</f>
        <v>37d</v>
      </c>
      <c r="E440" s="54" t="n">
        <f aca="false">'Project Plan'!K443</f>
        <v>46771</v>
      </c>
      <c r="F440" s="54" t="n">
        <f aca="false">'Project Plan'!L443</f>
        <v>46821</v>
      </c>
      <c r="G440" s="50" t="str">
        <f aca="false">'Project Plan'!M443&amp;""</f>
        <v>436</v>
      </c>
      <c r="H440" s="50" t="str">
        <f aca="false">'Project Plan'!H443&amp;""</f>
        <v>BE</v>
      </c>
      <c r="I440" s="50" t="str">
        <f aca="false">IF('Project Plan'!C443=3,ROUND('Project Plan'!Z443*Assumptions!$C$6,0)&amp;"h","")</f>
        <v>55h</v>
      </c>
    </row>
    <row r="441" customFormat="false" ht="15" hidden="false" customHeight="false" outlineLevel="0" collapsed="false">
      <c r="A441" s="50" t="n">
        <f aca="false">'Project Plan'!A444</f>
        <v>440</v>
      </c>
      <c r="B441" s="50" t="str">
        <f aca="false">'Project Plan'!E444</f>
        <v>External system adapters (1)</v>
      </c>
      <c r="C441" s="50" t="n">
        <f aca="false">'Project Plan'!C444</f>
        <v>3</v>
      </c>
      <c r="D441" s="50" t="str">
        <f aca="false">'Project Plan'!J444&amp;"d"</f>
        <v>44d</v>
      </c>
      <c r="E441" s="54" t="n">
        <f aca="false">'Project Plan'!K444</f>
        <v>46762</v>
      </c>
      <c r="F441" s="54" t="n">
        <f aca="false">'Project Plan'!L444</f>
        <v>46821</v>
      </c>
      <c r="G441" s="50" t="str">
        <f aca="false">'Project Plan'!M444&amp;""</f>
        <v>434</v>
      </c>
      <c r="H441" s="50" t="str">
        <f aca="false">'Project Plan'!H444&amp;""</f>
        <v>BE</v>
      </c>
      <c r="I441" s="50" t="str">
        <f aca="false">IF('Project Plan'!C444=3,ROUND('Project Plan'!Z444*Assumptions!$C$6,0)&amp;"h","")</f>
        <v>55h</v>
      </c>
    </row>
    <row r="442" customFormat="false" ht="15" hidden="false" customHeight="false" outlineLevel="0" collapsed="false">
      <c r="A442" s="50" t="n">
        <f aca="false">'Project Plan'!A445</f>
        <v>441</v>
      </c>
      <c r="B442" s="50" t="str">
        <f aca="false">'Project Plan'!E445</f>
        <v>Reports, dashboards, notices and templates (all active languages)</v>
      </c>
      <c r="C442" s="50" t="n">
        <f aca="false">'Project Plan'!C445</f>
        <v>3</v>
      </c>
      <c r="D442" s="50" t="str">
        <f aca="false">'Project Plan'!J445&amp;"d"</f>
        <v>26d</v>
      </c>
      <c r="E442" s="54" t="n">
        <f aca="false">'Project Plan'!K445</f>
        <v>46790</v>
      </c>
      <c r="F442" s="54" t="n">
        <f aca="false">'Project Plan'!L445</f>
        <v>46825</v>
      </c>
      <c r="G442" s="50" t="str">
        <f aca="false">'Project Plan'!M445&amp;""</f>
        <v>436</v>
      </c>
      <c r="H442" s="50" t="str">
        <f aca="false">'Project Plan'!H445&amp;""</f>
        <v>BE</v>
      </c>
      <c r="I442" s="50" t="str">
        <f aca="false">IF('Project Plan'!C445=3,ROUND('Project Plan'!Z445*Assumptions!$C$6,0)&amp;"h","")</f>
        <v>74h</v>
      </c>
    </row>
    <row r="443" customFormat="false" ht="15" hidden="false" customHeight="false" outlineLevel="0" collapsed="false">
      <c r="A443" s="50" t="n">
        <f aca="false">'Project Plan'!A446</f>
        <v>442</v>
      </c>
      <c r="B443" s="50" t="str">
        <f aca="false">'Project Plan'!E446</f>
        <v>Data migration: pending court cases</v>
      </c>
      <c r="C443" s="50" t="n">
        <f aca="false">'Project Plan'!C446</f>
        <v>3</v>
      </c>
      <c r="D443" s="50" t="str">
        <f aca="false">'Project Plan'!J446&amp;"d"</f>
        <v>59d</v>
      </c>
      <c r="E443" s="54" t="n">
        <f aca="false">'Project Plan'!K446</f>
        <v>46752</v>
      </c>
      <c r="F443" s="54" t="n">
        <f aca="false">'Project Plan'!L446</f>
        <v>46834</v>
      </c>
      <c r="G443" s="50" t="str">
        <f aca="false">'Project Plan'!M446&amp;""</f>
        <v>434</v>
      </c>
      <c r="H443" s="50" t="str">
        <f aca="false">'Project Plan'!H446&amp;""</f>
        <v>DATA</v>
      </c>
      <c r="I443" s="50" t="str">
        <f aca="false">IF('Project Plan'!C446=3,ROUND('Project Plan'!Z446*Assumptions!$C$6,0)&amp;"h","")</f>
        <v>110h</v>
      </c>
    </row>
    <row r="444" customFormat="false" ht="15" hidden="false" customHeight="false" outlineLevel="0" collapsed="false">
      <c r="A444" s="50" t="n">
        <f aca="false">'Project Plan'!A447</f>
        <v>443</v>
      </c>
      <c r="B444" s="50" t="str">
        <f aca="false">'Project Plan'!E447</f>
        <v>System integration testing</v>
      </c>
      <c r="C444" s="50" t="n">
        <f aca="false">'Project Plan'!C447</f>
        <v>3</v>
      </c>
      <c r="D444" s="50" t="str">
        <f aca="false">'Project Plan'!J447&amp;"d"</f>
        <v>21d</v>
      </c>
      <c r="E444" s="54" t="n">
        <f aca="false">'Project Plan'!K447</f>
        <v>46812</v>
      </c>
      <c r="F444" s="54" t="n">
        <f aca="false">'Project Plan'!L447</f>
        <v>46840</v>
      </c>
      <c r="G444" s="50" t="str">
        <f aca="false">'Project Plan'!M447&amp;""</f>
        <v>436,438</v>
      </c>
      <c r="H444" s="50" t="str">
        <f aca="false">'Project Plan'!H447&amp;""</f>
        <v>QA</v>
      </c>
      <c r="I444" s="50" t="str">
        <f aca="false">IF('Project Plan'!C447=3,ROUND('Project Plan'!Z447*Assumptions!$C$6,0)&amp;"h","")</f>
        <v>156h</v>
      </c>
    </row>
    <row r="445" customFormat="false" ht="15" hidden="false" customHeight="false" outlineLevel="0" collapsed="false">
      <c r="A445" s="50" t="n">
        <f aca="false">'Project Plan'!A448</f>
        <v>444</v>
      </c>
      <c r="B445" s="50" t="str">
        <f aca="false">'Project Plan'!E448</f>
        <v>Defect fixing and regression</v>
      </c>
      <c r="C445" s="50" t="n">
        <f aca="false">'Project Plan'!C448</f>
        <v>3</v>
      </c>
      <c r="D445" s="50" t="str">
        <f aca="false">'Project Plan'!J448&amp;"d"</f>
        <v>26d</v>
      </c>
      <c r="E445" s="54" t="n">
        <f aca="false">'Project Plan'!K448</f>
        <v>46818</v>
      </c>
      <c r="F445" s="54" t="n">
        <f aca="false">'Project Plan'!L448</f>
        <v>46853</v>
      </c>
      <c r="G445" s="50" t="str">
        <f aca="false">'Project Plan'!M448&amp;""</f>
        <v>443</v>
      </c>
      <c r="H445" s="50" t="str">
        <f aca="false">'Project Plan'!H448&amp;""</f>
        <v>BE</v>
      </c>
      <c r="I445" s="50" t="str">
        <f aca="false">IF('Project Plan'!C448=3,ROUND('Project Plan'!Z448*Assumptions!$C$6,0)&amp;"h","")</f>
        <v>129h</v>
      </c>
    </row>
    <row r="446" customFormat="false" ht="15" hidden="false" customHeight="false" outlineLevel="0" collapsed="false">
      <c r="A446" s="50" t="n">
        <f aca="false">'Project Plan'!A449</f>
        <v>445</v>
      </c>
      <c r="B446" s="50" t="str">
        <f aca="false">'Project Plan'!E449</f>
        <v>UAT support with GWMC department</v>
      </c>
      <c r="C446" s="50" t="n">
        <f aca="false">'Project Plan'!C449</f>
        <v>3</v>
      </c>
      <c r="D446" s="50" t="str">
        <f aca="false">'Project Plan'!J449&amp;"d"</f>
        <v>13d</v>
      </c>
      <c r="E446" s="54" t="n">
        <f aca="false">'Project Plan'!K449</f>
        <v>46841</v>
      </c>
      <c r="F446" s="54" t="n">
        <f aca="false">'Project Plan'!L449</f>
        <v>46857</v>
      </c>
      <c r="G446" s="50" t="str">
        <f aca="false">'Project Plan'!M449&amp;""</f>
        <v>443</v>
      </c>
      <c r="H446" s="50" t="str">
        <f aca="false">'Project Plan'!H449&amp;""</f>
        <v>BA</v>
      </c>
      <c r="I446" s="50" t="str">
        <f aca="false">IF('Project Plan'!C449=3,ROUND('Project Plan'!Z449*Assumptions!$C$6,0)&amp;"h","")</f>
        <v>74h</v>
      </c>
    </row>
    <row r="447" customFormat="false" ht="15" hidden="false" customHeight="false" outlineLevel="0" collapsed="false">
      <c r="A447" s="50" t="n">
        <f aca="false">'Project Plan'!A450</f>
        <v>446</v>
      </c>
      <c r="B447" s="50" t="str">
        <f aca="false">'Project Plan'!E450</f>
        <v>Training material and department training</v>
      </c>
      <c r="C447" s="50" t="n">
        <f aca="false">'Project Plan'!C450</f>
        <v>3</v>
      </c>
      <c r="D447" s="50" t="str">
        <f aca="false">'Project Plan'!J450&amp;"d"</f>
        <v>13d</v>
      </c>
      <c r="E447" s="54" t="n">
        <f aca="false">'Project Plan'!K450</f>
        <v>46846</v>
      </c>
      <c r="F447" s="54" t="n">
        <f aca="false">'Project Plan'!L450</f>
        <v>46862</v>
      </c>
      <c r="G447" s="50" t="str">
        <f aca="false">'Project Plan'!M450&amp;""</f>
        <v>445</v>
      </c>
      <c r="H447" s="50" t="str">
        <f aca="false">'Project Plan'!H450&amp;""</f>
        <v>TRN</v>
      </c>
      <c r="I447" s="50" t="str">
        <f aca="false">IF('Project Plan'!C450=3,ROUND('Project Plan'!Z450*Assumptions!$C$6,0)&amp;"h","")</f>
        <v>64h</v>
      </c>
    </row>
    <row r="448" customFormat="false" ht="15" hidden="false" customHeight="false" outlineLevel="0" collapsed="false">
      <c r="A448" s="50" t="n">
        <f aca="false">'Project Plan'!A451</f>
        <v>447</v>
      </c>
      <c r="B448" s="50" t="str">
        <f aca="false">'Project Plan'!E451</f>
        <v>Module 19: Government Schemes Management</v>
      </c>
      <c r="C448" s="50" t="n">
        <f aca="false">'Project Plan'!C451</f>
        <v>2</v>
      </c>
      <c r="D448" s="50" t="str">
        <f aca="false">'Project Plan'!J451&amp;"d"</f>
        <v>119d</v>
      </c>
      <c r="E448" s="54" t="n">
        <f aca="false">'Project Plan'!K451</f>
        <v>46696</v>
      </c>
      <c r="F448" s="54" t="n">
        <f aca="false">'Project Plan'!L451</f>
        <v>46862</v>
      </c>
      <c r="G448" s="50" t="str">
        <f aca="false">'Project Plan'!M451&amp;""</f>
        <v/>
      </c>
      <c r="H448" s="50" t="str">
        <f aca="false">'Project Plan'!H451&amp;""</f>
        <v/>
      </c>
      <c r="I448" s="50" t="str">
        <f aca="false">IF('Project Plan'!C451=3,ROUND('Project Plan'!Z451*Assumptions!$C$6,0)&amp;"h","")</f>
        <v/>
      </c>
    </row>
    <row r="449" customFormat="false" ht="15" hidden="false" customHeight="false" outlineLevel="0" collapsed="false">
      <c r="A449" s="50" t="n">
        <f aca="false">'Project Plan'!A452</f>
        <v>448</v>
      </c>
      <c r="B449" s="50" t="str">
        <f aca="false">'Project Plan'!E452</f>
        <v>Process validation workshops and to-be sign-off</v>
      </c>
      <c r="C449" s="50" t="n">
        <f aca="false">'Project Plan'!C452</f>
        <v>3</v>
      </c>
      <c r="D449" s="50" t="str">
        <f aca="false">'Project Plan'!J452&amp;"d"</f>
        <v>16d</v>
      </c>
      <c r="E449" s="54" t="n">
        <f aca="false">'Project Plan'!K452</f>
        <v>46696</v>
      </c>
      <c r="F449" s="54" t="n">
        <f aca="false">'Project Plan'!L452</f>
        <v>46717</v>
      </c>
      <c r="G449" s="50" t="str">
        <f aca="false">'Project Plan'!M452&amp;""</f>
        <v>394</v>
      </c>
      <c r="H449" s="50" t="str">
        <f aca="false">'Project Plan'!H452&amp;""</f>
        <v>BA</v>
      </c>
      <c r="I449" s="50" t="str">
        <f aca="false">IF('Project Plan'!C452=3,ROUND('Project Plan'!Z452*Assumptions!$C$6,0)&amp;"h","")</f>
        <v>74h</v>
      </c>
    </row>
    <row r="450" customFormat="false" ht="15" hidden="false" customHeight="false" outlineLevel="0" collapsed="false">
      <c r="A450" s="50" t="n">
        <f aca="false">'Project Plan'!A453</f>
        <v>449</v>
      </c>
      <c r="B450" s="50" t="str">
        <f aca="false">'Project Plan'!E453</f>
        <v>LLD, data model and API/event contracts</v>
      </c>
      <c r="C450" s="50" t="n">
        <f aca="false">'Project Plan'!C453</f>
        <v>3</v>
      </c>
      <c r="D450" s="50" t="str">
        <f aca="false">'Project Plan'!J453&amp;"d"</f>
        <v>16d</v>
      </c>
      <c r="E450" s="54" t="n">
        <f aca="false">'Project Plan'!K453</f>
        <v>46713</v>
      </c>
      <c r="F450" s="54" t="n">
        <f aca="false">'Project Plan'!L453</f>
        <v>46734</v>
      </c>
      <c r="G450" s="50" t="str">
        <f aca="false">'Project Plan'!M453&amp;""</f>
        <v>448</v>
      </c>
      <c r="H450" s="50" t="str">
        <f aca="false">'Project Plan'!H453&amp;""</f>
        <v>ARC</v>
      </c>
      <c r="I450" s="50" t="str">
        <f aca="false">IF('Project Plan'!C453=3,ROUND('Project Plan'!Z453*Assumptions!$C$6,0)&amp;"h","")</f>
        <v>74h</v>
      </c>
    </row>
    <row r="451" customFormat="false" ht="15" hidden="false" customHeight="false" outlineLevel="0" collapsed="false">
      <c r="A451" s="50" t="n">
        <f aca="false">'Project Plan'!A454</f>
        <v>450</v>
      </c>
      <c r="B451" s="50" t="str">
        <f aca="false">'Project Plan'!E454</f>
        <v>UX wireframes and UI design</v>
      </c>
      <c r="C451" s="50" t="n">
        <f aca="false">'Project Plan'!C454</f>
        <v>3</v>
      </c>
      <c r="D451" s="50" t="str">
        <f aca="false">'Project Plan'!J454&amp;"d"</f>
        <v>16d</v>
      </c>
      <c r="E451" s="54" t="n">
        <f aca="false">'Project Plan'!K454</f>
        <v>46713</v>
      </c>
      <c r="F451" s="54" t="n">
        <f aca="false">'Project Plan'!L454</f>
        <v>46734</v>
      </c>
      <c r="G451" s="50" t="str">
        <f aca="false">'Project Plan'!M454&amp;""</f>
        <v>448</v>
      </c>
      <c r="H451" s="50" t="str">
        <f aca="false">'Project Plan'!H454&amp;""</f>
        <v>FE</v>
      </c>
      <c r="I451" s="50" t="str">
        <f aca="false">IF('Project Plan'!C454=3,ROUND('Project Plan'!Z454*Assumptions!$C$6,0)&amp;"h","")</f>
        <v>46h</v>
      </c>
    </row>
    <row r="452" customFormat="false" ht="15" hidden="false" customHeight="false" outlineLevel="0" collapsed="false">
      <c r="A452" s="50" t="n">
        <f aca="false">'Project Plan'!A455</f>
        <v>451</v>
      </c>
      <c r="B452" s="50" t="str">
        <f aca="false">'Project Plan'!E455</f>
        <v>Database schema, domain logic and APIs</v>
      </c>
      <c r="C452" s="50" t="n">
        <f aca="false">'Project Plan'!C455</f>
        <v>3</v>
      </c>
      <c r="D452" s="50" t="str">
        <f aca="false">'Project Plan'!J455&amp;"d"</f>
        <v>55d</v>
      </c>
      <c r="E452" s="54" t="n">
        <f aca="false">'Project Plan'!K455</f>
        <v>46730</v>
      </c>
      <c r="F452" s="54" t="n">
        <f aca="false">'Project Plan'!L455</f>
        <v>46806</v>
      </c>
      <c r="G452" s="50" t="str">
        <f aca="false">'Project Plan'!M455&amp;""</f>
        <v>449</v>
      </c>
      <c r="H452" s="50" t="str">
        <f aca="false">'Project Plan'!H455&amp;""</f>
        <v>BE</v>
      </c>
      <c r="I452" s="50" t="str">
        <f aca="false">IF('Project Plan'!C455=3,ROUND('Project Plan'!Z455*Assumptions!$C$6,0)&amp;"h","")</f>
        <v>193h</v>
      </c>
    </row>
    <row r="453" customFormat="false" ht="15" hidden="false" customHeight="false" outlineLevel="0" collapsed="false">
      <c r="A453" s="50" t="n">
        <f aca="false">'Project Plan'!A456</f>
        <v>452</v>
      </c>
      <c r="B453" s="50" t="str">
        <f aca="false">'Project Plan'!E456</f>
        <v>Workflows (BPMN) and rules (DMN) configuration</v>
      </c>
      <c r="C453" s="50" t="n">
        <f aca="false">'Project Plan'!C456</f>
        <v>3</v>
      </c>
      <c r="D453" s="50" t="str">
        <f aca="false">'Project Plan'!J456&amp;"d"</f>
        <v>40d</v>
      </c>
      <c r="E453" s="54" t="n">
        <f aca="false">'Project Plan'!K456</f>
        <v>46752</v>
      </c>
      <c r="F453" s="54" t="n">
        <f aca="false">'Project Plan'!L456</f>
        <v>46807</v>
      </c>
      <c r="G453" s="50" t="str">
        <f aca="false">'Project Plan'!M456&amp;""</f>
        <v>449</v>
      </c>
      <c r="H453" s="50" t="str">
        <f aca="false">'Project Plan'!H456&amp;""</f>
        <v>BE</v>
      </c>
      <c r="I453" s="50" t="str">
        <f aca="false">IF('Project Plan'!C456=3,ROUND('Project Plan'!Z456*Assumptions!$C$6,0)&amp;"h","")</f>
        <v>92h</v>
      </c>
    </row>
    <row r="454" customFormat="false" ht="15" hidden="false" customHeight="false" outlineLevel="0" collapsed="false">
      <c r="A454" s="50" t="n">
        <f aca="false">'Project Plan'!A457</f>
        <v>453</v>
      </c>
      <c r="B454" s="50" t="str">
        <f aca="false">'Project Plan'!E457</f>
        <v>Staff console screens</v>
      </c>
      <c r="C454" s="50" t="n">
        <f aca="false">'Project Plan'!C457</f>
        <v>3</v>
      </c>
      <c r="D454" s="50" t="str">
        <f aca="false">'Project Plan'!J457&amp;"d"</f>
        <v>53d</v>
      </c>
      <c r="E454" s="54" t="n">
        <f aca="false">'Project Plan'!K457</f>
        <v>46743</v>
      </c>
      <c r="F454" s="54" t="n">
        <f aca="false">'Project Plan'!L457</f>
        <v>46815</v>
      </c>
      <c r="G454" s="50" t="str">
        <f aca="false">'Project Plan'!M457&amp;""</f>
        <v>450</v>
      </c>
      <c r="H454" s="50" t="str">
        <f aca="false">'Project Plan'!H457&amp;""</f>
        <v>FE</v>
      </c>
      <c r="I454" s="50" t="str">
        <f aca="false">IF('Project Plan'!C457=3,ROUND('Project Plan'!Z457*Assumptions!$C$6,0)&amp;"h","")</f>
        <v>166h</v>
      </c>
    </row>
    <row r="455" customFormat="false" ht="15" hidden="false" customHeight="false" outlineLevel="0" collapsed="false">
      <c r="A455" s="50" t="n">
        <f aca="false">'Project Plan'!A458</f>
        <v>454</v>
      </c>
      <c r="B455" s="50" t="str">
        <f aca="false">'Project Plan'!E458</f>
        <v>Citizen portal and app services</v>
      </c>
      <c r="C455" s="50" t="n">
        <f aca="false">'Project Plan'!C458</f>
        <v>3</v>
      </c>
      <c r="D455" s="50" t="str">
        <f aca="false">'Project Plan'!J458&amp;"d"</f>
        <v>40d</v>
      </c>
      <c r="E455" s="54" t="n">
        <f aca="false">'Project Plan'!K458</f>
        <v>46762</v>
      </c>
      <c r="F455" s="54" t="n">
        <f aca="false">'Project Plan'!L458</f>
        <v>46815</v>
      </c>
      <c r="G455" s="50" t="str">
        <f aca="false">'Project Plan'!M458&amp;""</f>
        <v>450</v>
      </c>
      <c r="H455" s="50" t="str">
        <f aca="false">'Project Plan'!H458&amp;""</f>
        <v>FE</v>
      </c>
      <c r="I455" s="50" t="str">
        <f aca="false">IF('Project Plan'!C458=3,ROUND('Project Plan'!Z458*Assumptions!$C$6,0)&amp;"h","")</f>
        <v>110h</v>
      </c>
    </row>
    <row r="456" customFormat="false" ht="15" hidden="false" customHeight="false" outlineLevel="0" collapsed="false">
      <c r="A456" s="50" t="n">
        <f aca="false">'Project Plan'!A459</f>
        <v>455</v>
      </c>
      <c r="B456" s="50" t="str">
        <f aca="false">'Project Plan'!E459</f>
        <v>Field app tasks (offline)</v>
      </c>
      <c r="C456" s="50" t="n">
        <f aca="false">'Project Plan'!C459</f>
        <v>3</v>
      </c>
      <c r="D456" s="50" t="str">
        <f aca="false">'Project Plan'!J459&amp;"d"</f>
        <v>40d</v>
      </c>
      <c r="E456" s="54" t="n">
        <f aca="false">'Project Plan'!K459</f>
        <v>46762</v>
      </c>
      <c r="F456" s="54" t="n">
        <f aca="false">'Project Plan'!L459</f>
        <v>46815</v>
      </c>
      <c r="G456" s="50" t="str">
        <f aca="false">'Project Plan'!M459&amp;""</f>
        <v>450</v>
      </c>
      <c r="H456" s="50" t="str">
        <f aca="false">'Project Plan'!H459&amp;""</f>
        <v>MOB</v>
      </c>
      <c r="I456" s="50" t="str">
        <f aca="false">IF('Project Plan'!C459=3,ROUND('Project Plan'!Z459*Assumptions!$C$6,0)&amp;"h","")</f>
        <v>74h</v>
      </c>
    </row>
    <row r="457" customFormat="false" ht="15" hidden="false" customHeight="false" outlineLevel="0" collapsed="false">
      <c r="A457" s="50" t="n">
        <f aca="false">'Project Plan'!A460</f>
        <v>456</v>
      </c>
      <c r="B457" s="50" t="str">
        <f aca="false">'Project Plan'!E460</f>
        <v>Module interfaces (5 I-xx links): events and APIs</v>
      </c>
      <c r="C457" s="50" t="n">
        <f aca="false">'Project Plan'!C460</f>
        <v>3</v>
      </c>
      <c r="D457" s="50" t="str">
        <f aca="false">'Project Plan'!J460&amp;"d"</f>
        <v>37d</v>
      </c>
      <c r="E457" s="54" t="n">
        <f aca="false">'Project Plan'!K460</f>
        <v>46771</v>
      </c>
      <c r="F457" s="54" t="n">
        <f aca="false">'Project Plan'!L460</f>
        <v>46821</v>
      </c>
      <c r="G457" s="50" t="str">
        <f aca="false">'Project Plan'!M460&amp;""</f>
        <v>451</v>
      </c>
      <c r="H457" s="50" t="str">
        <f aca="false">'Project Plan'!H460&amp;""</f>
        <v>BE</v>
      </c>
      <c r="I457" s="50" t="str">
        <f aca="false">IF('Project Plan'!C460=3,ROUND('Project Plan'!Z460*Assumptions!$C$6,0)&amp;"h","")</f>
        <v>74h</v>
      </c>
    </row>
    <row r="458" customFormat="false" ht="15" hidden="false" customHeight="false" outlineLevel="0" collapsed="false">
      <c r="A458" s="50" t="n">
        <f aca="false">'Project Plan'!A461</f>
        <v>457</v>
      </c>
      <c r="B458" s="50" t="str">
        <f aca="false">'Project Plan'!E461</f>
        <v>External system adapters (2)</v>
      </c>
      <c r="C458" s="50" t="n">
        <f aca="false">'Project Plan'!C461</f>
        <v>3</v>
      </c>
      <c r="D458" s="50" t="str">
        <f aca="false">'Project Plan'!J461&amp;"d"</f>
        <v>44d</v>
      </c>
      <c r="E458" s="54" t="n">
        <f aca="false">'Project Plan'!K461</f>
        <v>46762</v>
      </c>
      <c r="F458" s="54" t="n">
        <f aca="false">'Project Plan'!L461</f>
        <v>46821</v>
      </c>
      <c r="G458" s="50" t="str">
        <f aca="false">'Project Plan'!M461&amp;""</f>
        <v>449</v>
      </c>
      <c r="H458" s="50" t="str">
        <f aca="false">'Project Plan'!H461&amp;""</f>
        <v>BE</v>
      </c>
      <c r="I458" s="50" t="str">
        <f aca="false">IF('Project Plan'!C461=3,ROUND('Project Plan'!Z461*Assumptions!$C$6,0)&amp;"h","")</f>
        <v>110h</v>
      </c>
    </row>
    <row r="459" customFormat="false" ht="15" hidden="false" customHeight="false" outlineLevel="0" collapsed="false">
      <c r="A459" s="50" t="n">
        <f aca="false">'Project Plan'!A462</f>
        <v>458</v>
      </c>
      <c r="B459" s="50" t="str">
        <f aca="false">'Project Plan'!E462</f>
        <v>Reports, dashboards, notices and templates (all active languages)</v>
      </c>
      <c r="C459" s="50" t="n">
        <f aca="false">'Project Plan'!C462</f>
        <v>3</v>
      </c>
      <c r="D459" s="50" t="str">
        <f aca="false">'Project Plan'!J462&amp;"d"</f>
        <v>26d</v>
      </c>
      <c r="E459" s="54" t="n">
        <f aca="false">'Project Plan'!K462</f>
        <v>46790</v>
      </c>
      <c r="F459" s="54" t="n">
        <f aca="false">'Project Plan'!L462</f>
        <v>46825</v>
      </c>
      <c r="G459" s="50" t="str">
        <f aca="false">'Project Plan'!M462&amp;""</f>
        <v>451</v>
      </c>
      <c r="H459" s="50" t="str">
        <f aca="false">'Project Plan'!H462&amp;""</f>
        <v>BE</v>
      </c>
      <c r="I459" s="50" t="str">
        <f aca="false">IF('Project Plan'!C462=3,ROUND('Project Plan'!Z462*Assumptions!$C$6,0)&amp;"h","")</f>
        <v>64h</v>
      </c>
    </row>
    <row r="460" customFormat="false" ht="15" hidden="false" customHeight="false" outlineLevel="0" collapsed="false">
      <c r="A460" s="50" t="n">
        <f aca="false">'Project Plan'!A463</f>
        <v>459</v>
      </c>
      <c r="B460" s="50" t="str">
        <f aca="false">'Project Plan'!E463</f>
        <v>Data migration: existing beneficiaries</v>
      </c>
      <c r="C460" s="50" t="n">
        <f aca="false">'Project Plan'!C463</f>
        <v>3</v>
      </c>
      <c r="D460" s="50" t="str">
        <f aca="false">'Project Plan'!J463&amp;"d"</f>
        <v>59d</v>
      </c>
      <c r="E460" s="54" t="n">
        <f aca="false">'Project Plan'!K463</f>
        <v>46752</v>
      </c>
      <c r="F460" s="54" t="n">
        <f aca="false">'Project Plan'!L463</f>
        <v>46834</v>
      </c>
      <c r="G460" s="50" t="str">
        <f aca="false">'Project Plan'!M463&amp;""</f>
        <v>449</v>
      </c>
      <c r="H460" s="50" t="str">
        <f aca="false">'Project Plan'!H463&amp;""</f>
        <v>DATA</v>
      </c>
      <c r="I460" s="50" t="str">
        <f aca="false">IF('Project Plan'!C463=3,ROUND('Project Plan'!Z463*Assumptions!$C$6,0)&amp;"h","")</f>
        <v>83h</v>
      </c>
    </row>
    <row r="461" customFormat="false" ht="15" hidden="false" customHeight="false" outlineLevel="0" collapsed="false">
      <c r="A461" s="50" t="n">
        <f aca="false">'Project Plan'!A464</f>
        <v>460</v>
      </c>
      <c r="B461" s="50" t="str">
        <f aca="false">'Project Plan'!E464</f>
        <v>System integration testing</v>
      </c>
      <c r="C461" s="50" t="n">
        <f aca="false">'Project Plan'!C464</f>
        <v>3</v>
      </c>
      <c r="D461" s="50" t="str">
        <f aca="false">'Project Plan'!J464&amp;"d"</f>
        <v>21d</v>
      </c>
      <c r="E461" s="54" t="n">
        <f aca="false">'Project Plan'!K464</f>
        <v>46812</v>
      </c>
      <c r="F461" s="54" t="n">
        <f aca="false">'Project Plan'!L464</f>
        <v>46840</v>
      </c>
      <c r="G461" s="50" t="str">
        <f aca="false">'Project Plan'!M464&amp;""</f>
        <v>451,453</v>
      </c>
      <c r="H461" s="50" t="str">
        <f aca="false">'Project Plan'!H464&amp;""</f>
        <v>QA</v>
      </c>
      <c r="I461" s="50" t="str">
        <f aca="false">IF('Project Plan'!C464=3,ROUND('Project Plan'!Z464*Assumptions!$C$6,0)&amp;"h","")</f>
        <v>129h</v>
      </c>
    </row>
    <row r="462" customFormat="false" ht="15" hidden="false" customHeight="false" outlineLevel="0" collapsed="false">
      <c r="A462" s="50" t="n">
        <f aca="false">'Project Plan'!A465</f>
        <v>461</v>
      </c>
      <c r="B462" s="50" t="str">
        <f aca="false">'Project Plan'!E465</f>
        <v>Defect fixing and regression</v>
      </c>
      <c r="C462" s="50" t="n">
        <f aca="false">'Project Plan'!C465</f>
        <v>3</v>
      </c>
      <c r="D462" s="50" t="str">
        <f aca="false">'Project Plan'!J465&amp;"d"</f>
        <v>26d</v>
      </c>
      <c r="E462" s="54" t="n">
        <f aca="false">'Project Plan'!K465</f>
        <v>46818</v>
      </c>
      <c r="F462" s="54" t="n">
        <f aca="false">'Project Plan'!L465</f>
        <v>46853</v>
      </c>
      <c r="G462" s="50" t="str">
        <f aca="false">'Project Plan'!M465&amp;""</f>
        <v>460</v>
      </c>
      <c r="H462" s="50" t="str">
        <f aca="false">'Project Plan'!H465&amp;""</f>
        <v>BE</v>
      </c>
      <c r="I462" s="50" t="str">
        <f aca="false">IF('Project Plan'!C465=3,ROUND('Project Plan'!Z465*Assumptions!$C$6,0)&amp;"h","")</f>
        <v>120h</v>
      </c>
    </row>
    <row r="463" customFormat="false" ht="15" hidden="false" customHeight="false" outlineLevel="0" collapsed="false">
      <c r="A463" s="50" t="n">
        <f aca="false">'Project Plan'!A466</f>
        <v>462</v>
      </c>
      <c r="B463" s="50" t="str">
        <f aca="false">'Project Plan'!E466</f>
        <v>UAT support with GWMC department</v>
      </c>
      <c r="C463" s="50" t="n">
        <f aca="false">'Project Plan'!C466</f>
        <v>3</v>
      </c>
      <c r="D463" s="50" t="str">
        <f aca="false">'Project Plan'!J466&amp;"d"</f>
        <v>13d</v>
      </c>
      <c r="E463" s="54" t="n">
        <f aca="false">'Project Plan'!K466</f>
        <v>46841</v>
      </c>
      <c r="F463" s="54" t="n">
        <f aca="false">'Project Plan'!L466</f>
        <v>46857</v>
      </c>
      <c r="G463" s="50" t="str">
        <f aca="false">'Project Plan'!M466&amp;""</f>
        <v>460</v>
      </c>
      <c r="H463" s="50" t="str">
        <f aca="false">'Project Plan'!H466&amp;""</f>
        <v>BA</v>
      </c>
      <c r="I463" s="50" t="str">
        <f aca="false">IF('Project Plan'!C466=3,ROUND('Project Plan'!Z466*Assumptions!$C$6,0)&amp;"h","")</f>
        <v>74h</v>
      </c>
    </row>
    <row r="464" customFormat="false" ht="15" hidden="false" customHeight="false" outlineLevel="0" collapsed="false">
      <c r="A464" s="50" t="n">
        <f aca="false">'Project Plan'!A467</f>
        <v>463</v>
      </c>
      <c r="B464" s="50" t="str">
        <f aca="false">'Project Plan'!E467</f>
        <v>Training material and department training</v>
      </c>
      <c r="C464" s="50" t="n">
        <f aca="false">'Project Plan'!C467</f>
        <v>3</v>
      </c>
      <c r="D464" s="50" t="str">
        <f aca="false">'Project Plan'!J467&amp;"d"</f>
        <v>13d</v>
      </c>
      <c r="E464" s="54" t="n">
        <f aca="false">'Project Plan'!K467</f>
        <v>46846</v>
      </c>
      <c r="F464" s="54" t="n">
        <f aca="false">'Project Plan'!L467</f>
        <v>46862</v>
      </c>
      <c r="G464" s="50" t="str">
        <f aca="false">'Project Plan'!M467&amp;""</f>
        <v>462</v>
      </c>
      <c r="H464" s="50" t="str">
        <f aca="false">'Project Plan'!H467&amp;""</f>
        <v>TRN</v>
      </c>
      <c r="I464" s="50" t="str">
        <f aca="false">IF('Project Plan'!C467=3,ROUND('Project Plan'!Z467*Assumptions!$C$6,0)&amp;"h","")</f>
        <v>46h</v>
      </c>
    </row>
    <row r="465" customFormat="false" ht="15" hidden="false" customHeight="false" outlineLevel="0" collapsed="false">
      <c r="A465" s="50" t="n">
        <f aca="false">'Project Plan'!A468</f>
        <v>464</v>
      </c>
      <c r="B465" s="50" t="str">
        <f aca="false">'Project Plan'!E468</f>
        <v>Phase 4 release, testing and go-live</v>
      </c>
      <c r="C465" s="50" t="n">
        <f aca="false">'Project Plan'!C468</f>
        <v>2</v>
      </c>
      <c r="D465" s="50" t="str">
        <f aca="false">'Project Plan'!J468&amp;"d"</f>
        <v>27d</v>
      </c>
      <c r="E465" s="54" t="n">
        <f aca="false">'Project Plan'!K468</f>
        <v>46829</v>
      </c>
      <c r="F465" s="54" t="n">
        <f aca="false">'Project Plan'!L468</f>
        <v>46867</v>
      </c>
      <c r="G465" s="50" t="str">
        <f aca="false">'Project Plan'!M468&amp;""</f>
        <v/>
      </c>
      <c r="H465" s="50" t="str">
        <f aca="false">'Project Plan'!H468&amp;""</f>
        <v/>
      </c>
      <c r="I465" s="50" t="str">
        <f aca="false">IF('Project Plan'!C468=3,ROUND('Project Plan'!Z468*Assumptions!$C$6,0)&amp;"h","")</f>
        <v/>
      </c>
    </row>
    <row r="466" customFormat="false" ht="15" hidden="false" customHeight="false" outlineLevel="0" collapsed="false">
      <c r="A466" s="50" t="n">
        <f aca="false">'Project Plan'!A469</f>
        <v>465</v>
      </c>
      <c r="B466" s="50" t="str">
        <f aca="false">'Project Plan'!E469</f>
        <v>End-to-end integration testing (SRS E2E scenarios)</v>
      </c>
      <c r="C466" s="50" t="n">
        <f aca="false">'Project Plan'!C469</f>
        <v>3</v>
      </c>
      <c r="D466" s="50" t="str">
        <f aca="false">'Project Plan'!J469&amp;"d"</f>
        <v>13d</v>
      </c>
      <c r="E466" s="54" t="n">
        <f aca="false">'Project Plan'!K469</f>
        <v>46829</v>
      </c>
      <c r="F466" s="54" t="n">
        <f aca="false">'Project Plan'!L469</f>
        <v>46847</v>
      </c>
      <c r="G466" s="50" t="str">
        <f aca="false">'Project Plan'!M469&amp;""</f>
        <v>412,428,443,460</v>
      </c>
      <c r="H466" s="50" t="str">
        <f aca="false">'Project Plan'!H469&amp;""</f>
        <v>QA</v>
      </c>
      <c r="I466" s="50" t="str">
        <f aca="false">IF('Project Plan'!C469=3,ROUND('Project Plan'!Z469*Assumptions!$C$6,0)&amp;"h","")</f>
        <v>276h</v>
      </c>
    </row>
    <row r="467" customFormat="false" ht="15" hidden="false" customHeight="false" outlineLevel="0" collapsed="false">
      <c r="A467" s="50" t="n">
        <f aca="false">'Project Plan'!A470</f>
        <v>466</v>
      </c>
      <c r="B467" s="50" t="str">
        <f aca="false">'Project Plan'!E470</f>
        <v>Performance and load testing (NFR-001/002)</v>
      </c>
      <c r="C467" s="50" t="n">
        <f aca="false">'Project Plan'!C470</f>
        <v>3</v>
      </c>
      <c r="D467" s="50" t="str">
        <f aca="false">'Project Plan'!J470&amp;"d"</f>
        <v>9d</v>
      </c>
      <c r="E467" s="54" t="n">
        <f aca="false">'Project Plan'!K470</f>
        <v>46835</v>
      </c>
      <c r="F467" s="54" t="n">
        <f aca="false">'Project Plan'!L470</f>
        <v>46847</v>
      </c>
      <c r="G467" s="50" t="str">
        <f aca="false">'Project Plan'!M470&amp;""</f>
        <v/>
      </c>
      <c r="H467" s="50" t="str">
        <f aca="false">'Project Plan'!H470&amp;""</f>
        <v>QA</v>
      </c>
      <c r="I467" s="50" t="str">
        <f aca="false">IF('Project Plan'!C470=3,ROUND('Project Plan'!Z470*Assumptions!$C$6,0)&amp;"h","")</f>
        <v>147h</v>
      </c>
    </row>
    <row r="468" customFormat="false" ht="15" hidden="false" customHeight="false" outlineLevel="0" collapsed="false">
      <c r="A468" s="50" t="n">
        <f aca="false">'Project Plan'!A471</f>
        <v>467</v>
      </c>
      <c r="B468" s="50" t="str">
        <f aca="false">'Project Plan'!E471</f>
        <v>Security audit by CERT-In empanelled auditor and fixes</v>
      </c>
      <c r="C468" s="50" t="n">
        <f aca="false">'Project Plan'!C471</f>
        <v>3</v>
      </c>
      <c r="D468" s="50" t="str">
        <f aca="false">'Project Plan'!J471&amp;"d"</f>
        <v>13d</v>
      </c>
      <c r="E468" s="54" t="n">
        <f aca="false">'Project Plan'!K471</f>
        <v>46841</v>
      </c>
      <c r="F468" s="54" t="n">
        <f aca="false">'Project Plan'!L471</f>
        <v>46857</v>
      </c>
      <c r="G468" s="50" t="str">
        <f aca="false">'Project Plan'!M471&amp;""</f>
        <v/>
      </c>
      <c r="H468" s="50" t="str">
        <f aca="false">'Project Plan'!H471&amp;""</f>
        <v>QA</v>
      </c>
      <c r="I468" s="50" t="str">
        <f aca="false">IF('Project Plan'!C471=3,ROUND('Project Plan'!Z471*Assumptions!$C$6,0)&amp;"h","")</f>
        <v>193h</v>
      </c>
    </row>
    <row r="469" customFormat="false" ht="15" hidden="false" customHeight="false" outlineLevel="0" collapsed="false">
      <c r="A469" s="50" t="n">
        <f aca="false">'Project Plan'!A472</f>
        <v>468</v>
      </c>
      <c r="B469" s="50" t="str">
        <f aca="false">'Project Plan'!E472</f>
        <v>Training of trainers and end-user training programme</v>
      </c>
      <c r="C469" s="50" t="n">
        <f aca="false">'Project Plan'!C472</f>
        <v>3</v>
      </c>
      <c r="D469" s="50" t="str">
        <f aca="false">'Project Plan'!J472&amp;"d"</f>
        <v>13d</v>
      </c>
      <c r="E469" s="54" t="n">
        <f aca="false">'Project Plan'!K472</f>
        <v>46848</v>
      </c>
      <c r="F469" s="54" t="n">
        <f aca="false">'Project Plan'!L472</f>
        <v>46864</v>
      </c>
      <c r="G469" s="50" t="str">
        <f aca="false">'Project Plan'!M472&amp;""</f>
        <v/>
      </c>
      <c r="H469" s="50" t="str">
        <f aca="false">'Project Plan'!H472&amp;""</f>
        <v>TRN</v>
      </c>
      <c r="I469" s="50" t="str">
        <f aca="false">IF('Project Plan'!C472=3,ROUND('Project Plan'!Z472*Assumptions!$C$6,0)&amp;"h","")</f>
        <v>184h</v>
      </c>
    </row>
    <row r="470" customFormat="false" ht="15" hidden="false" customHeight="false" outlineLevel="0" collapsed="false">
      <c r="A470" s="50" t="n">
        <f aca="false">'Project Plan'!A473</f>
        <v>469</v>
      </c>
      <c r="B470" s="50" t="str">
        <f aca="false">'Project Plan'!E473</f>
        <v>Migration dress rehearsal and cut-over plan</v>
      </c>
      <c r="C470" s="50" t="n">
        <f aca="false">'Project Plan'!C473</f>
        <v>3</v>
      </c>
      <c r="D470" s="50" t="str">
        <f aca="false">'Project Plan'!J473&amp;"d"</f>
        <v>8d</v>
      </c>
      <c r="E470" s="54" t="n">
        <f aca="false">'Project Plan'!K473</f>
        <v>46853</v>
      </c>
      <c r="F470" s="54" t="n">
        <f aca="false">'Project Plan'!L473</f>
        <v>46862</v>
      </c>
      <c r="G470" s="50" t="str">
        <f aca="false">'Project Plan'!M473&amp;""</f>
        <v/>
      </c>
      <c r="H470" s="50" t="str">
        <f aca="false">'Project Plan'!H473&amp;""</f>
        <v>DATA</v>
      </c>
      <c r="I470" s="50" t="str">
        <f aca="false">IF('Project Plan'!C473=3,ROUND('Project Plan'!Z473*Assumptions!$C$6,0)&amp;"h","")</f>
        <v>120h</v>
      </c>
    </row>
    <row r="471" customFormat="false" ht="15" hidden="false" customHeight="false" outlineLevel="0" collapsed="false">
      <c r="A471" s="50" t="n">
        <f aca="false">'Project Plan'!A474</f>
        <v>470</v>
      </c>
      <c r="B471" s="50" t="str">
        <f aca="false">'Project Plan'!E474</f>
        <v>Production deployment and cut-over</v>
      </c>
      <c r="C471" s="50" t="n">
        <f aca="false">'Project Plan'!C474</f>
        <v>3</v>
      </c>
      <c r="D471" s="50" t="str">
        <f aca="false">'Project Plan'!J474&amp;"d"</f>
        <v>3d</v>
      </c>
      <c r="E471" s="54" t="n">
        <f aca="false">'Project Plan'!K474</f>
        <v>46863</v>
      </c>
      <c r="F471" s="54" t="n">
        <f aca="false">'Project Plan'!L474</f>
        <v>46867</v>
      </c>
      <c r="G471" s="50" t="str">
        <f aca="false">'Project Plan'!M474&amp;""</f>
        <v>467,469,414,430,445,462</v>
      </c>
      <c r="H471" s="50" t="str">
        <f aca="false">'Project Plan'!H474&amp;""</f>
        <v>DEV</v>
      </c>
      <c r="I471" s="50" t="str">
        <f aca="false">IF('Project Plan'!C474=3,ROUND('Project Plan'!Z474*Assumptions!$C$6,0)&amp;"h","")</f>
        <v>147h</v>
      </c>
    </row>
    <row r="472" customFormat="false" ht="15" hidden="false" customHeight="false" outlineLevel="0" collapsed="false">
      <c r="A472" s="50" t="n">
        <f aca="false">'Project Plan'!A475</f>
        <v>471</v>
      </c>
      <c r="B472" s="50" t="str">
        <f aca="false">'Project Plan'!E475</f>
        <v>M4: Phase 4 go-live</v>
      </c>
      <c r="C472" s="50" t="n">
        <f aca="false">'Project Plan'!C475</f>
        <v>2</v>
      </c>
      <c r="D472" s="50" t="str">
        <f aca="false">'Project Plan'!J475&amp;"d"</f>
        <v>0d</v>
      </c>
      <c r="E472" s="54" t="n">
        <f aca="false">'Project Plan'!K475</f>
        <v>46867</v>
      </c>
      <c r="F472" s="54" t="n">
        <f aca="false">'Project Plan'!L475</f>
        <v>46867</v>
      </c>
      <c r="G472" s="50" t="str">
        <f aca="false">'Project Plan'!M475&amp;""</f>
        <v>470</v>
      </c>
      <c r="H472" s="50" t="str">
        <f aca="false">'Project Plan'!H475&amp;""</f>
        <v/>
      </c>
      <c r="I472" s="50" t="str">
        <f aca="false">IF('Project Plan'!C475=3,ROUND('Project Plan'!Z475*Assumptions!$C$6,0)&amp;"h","")</f>
        <v/>
      </c>
    </row>
    <row r="473" customFormat="false" ht="15" hidden="false" customHeight="false" outlineLevel="0" collapsed="false">
      <c r="A473" s="50" t="n">
        <f aca="false">'Project Plan'!A476</f>
        <v>472</v>
      </c>
      <c r="B473" s="50" t="str">
        <f aca="false">'Project Plan'!E476</f>
        <v>Hypercare and stabilisation (4 weeks)</v>
      </c>
      <c r="C473" s="50" t="n">
        <f aca="false">'Project Plan'!C476</f>
        <v>3</v>
      </c>
      <c r="D473" s="50" t="str">
        <f aca="false">'Project Plan'!J476&amp;"d"</f>
        <v>20d</v>
      </c>
      <c r="E473" s="54" t="n">
        <f aca="false">'Project Plan'!K476</f>
        <v>46867</v>
      </c>
      <c r="F473" s="54" t="n">
        <f aca="false">'Project Plan'!L476</f>
        <v>46892</v>
      </c>
      <c r="G473" s="50" t="str">
        <f aca="false">'Project Plan'!M476&amp;""</f>
        <v>471</v>
      </c>
      <c r="H473" s="50" t="str">
        <f aca="false">'Project Plan'!H476&amp;""</f>
        <v>BE</v>
      </c>
      <c r="I473" s="50" t="str">
        <f aca="false">IF('Project Plan'!C476=3,ROUND('Project Plan'!Z476*Assumptions!$C$6,0)&amp;"h","")</f>
        <v>267h</v>
      </c>
    </row>
    <row r="474" customFormat="false" ht="15" hidden="false" customHeight="false" outlineLevel="0" collapsed="false">
      <c r="A474" s="50" t="n">
        <f aca="false">'Project Plan'!A477</f>
        <v>473</v>
      </c>
      <c r="B474" s="50" t="str">
        <f aca="false">'Project Plan'!E477</f>
        <v>Phase 4 acceptance and sign-off</v>
      </c>
      <c r="C474" s="50" t="n">
        <f aca="false">'Project Plan'!C477</f>
        <v>2</v>
      </c>
      <c r="D474" s="50" t="str">
        <f aca="false">'Project Plan'!J477&amp;"d"</f>
        <v>0d</v>
      </c>
      <c r="E474" s="54" t="n">
        <f aca="false">'Project Plan'!K477</f>
        <v>46895</v>
      </c>
      <c r="F474" s="54" t="n">
        <f aca="false">'Project Plan'!L477</f>
        <v>46895</v>
      </c>
      <c r="G474" s="50" t="str">
        <f aca="false">'Project Plan'!M477&amp;""</f>
        <v>472</v>
      </c>
      <c r="H474" s="50" t="str">
        <f aca="false">'Project Plan'!H477&amp;""</f>
        <v/>
      </c>
      <c r="I474" s="50" t="str">
        <f aca="false">IF('Project Plan'!C477=3,ROUND('Project Plan'!Z477*Assumptions!$C$6,0)&amp;"h","")</f>
        <v/>
      </c>
    </row>
    <row r="475" customFormat="false" ht="15" hidden="false" customHeight="false" outlineLevel="0" collapsed="false">
      <c r="A475" s="50" t="n">
        <f aca="false">'Project Plan'!A478</f>
        <v>474</v>
      </c>
      <c r="B475" s="50" t="str">
        <f aca="false">'Project Plan'!E478</f>
        <v>Phase 4 build mid-point (next phase design may start)</v>
      </c>
      <c r="C475" s="50" t="n">
        <f aca="false">'Project Plan'!C478</f>
        <v>2</v>
      </c>
      <c r="D475" s="50" t="str">
        <f aca="false">'Project Plan'!J478&amp;"d"</f>
        <v>0d</v>
      </c>
      <c r="E475" s="54" t="n">
        <f aca="false">'Project Plan'!K478</f>
        <v>46790</v>
      </c>
      <c r="F475" s="54" t="n">
        <f aca="false">'Project Plan'!L478</f>
        <v>46790</v>
      </c>
      <c r="G475" s="50" t="str">
        <f aca="false">'Project Plan'!M478&amp;""</f>
        <v/>
      </c>
      <c r="H475" s="50" t="str">
        <f aca="false">'Project Plan'!H478&amp;""</f>
        <v/>
      </c>
      <c r="I475" s="50" t="str">
        <f aca="false">IF('Project Plan'!C478=3,ROUND('Project Plan'!Z478*Assumptions!$C$6,0)&amp;"h","")</f>
        <v/>
      </c>
    </row>
    <row r="476" customFormat="false" ht="15" hidden="false" customHeight="false" outlineLevel="0" collapsed="false">
      <c r="A476" s="50" t="n">
        <f aca="false">'Project Plan'!A479</f>
        <v>475</v>
      </c>
      <c r="B476" s="50" t="str">
        <f aca="false">'Project Plan'!E479</f>
        <v>Programme close</v>
      </c>
      <c r="C476" s="50" t="n">
        <f aca="false">'Project Plan'!C479</f>
        <v>1</v>
      </c>
      <c r="D476" s="50" t="str">
        <f aca="false">'Project Plan'!J479&amp;"d"</f>
        <v>1d</v>
      </c>
      <c r="E476" s="54" t="n">
        <f aca="false">'Project Plan'!K479</f>
        <v>46944</v>
      </c>
      <c r="F476" s="54" t="n">
        <f aca="false">'Project Plan'!L479</f>
        <v>46944</v>
      </c>
      <c r="G476" s="50" t="str">
        <f aca="false">'Project Plan'!M479&amp;""</f>
        <v/>
      </c>
      <c r="H476" s="50" t="str">
        <f aca="false">'Project Plan'!H479&amp;""</f>
        <v/>
      </c>
      <c r="I476" s="50" t="str">
        <f aca="false">IF('Project Plan'!C479=3,ROUND('Project Plan'!Z479*Assumptions!$C$6,0)&amp;"h","")</f>
        <v/>
      </c>
    </row>
    <row r="477" customFormat="false" ht="15" hidden="false" customHeight="false" outlineLevel="0" collapsed="false">
      <c r="A477" s="50" t="n">
        <f aca="false">'Project Plan'!A480</f>
        <v>476</v>
      </c>
      <c r="B477" s="50" t="str">
        <f aca="false">'Project Plan'!E480</f>
        <v>Programme completion and handover to operations</v>
      </c>
      <c r="C477" s="50" t="n">
        <f aca="false">'Project Plan'!C480</f>
        <v>2</v>
      </c>
      <c r="D477" s="50" t="str">
        <f aca="false">'Project Plan'!J480&amp;"d"</f>
        <v>0d</v>
      </c>
      <c r="E477" s="54" t="n">
        <f aca="false">'Project Plan'!K480</f>
        <v>46944</v>
      </c>
      <c r="F477" s="54" t="n">
        <f aca="false">'Project Plan'!L480</f>
        <v>46944</v>
      </c>
      <c r="G477" s="50" t="str">
        <f aca="false">'Project Plan'!M480&amp;""</f>
        <v>473</v>
      </c>
      <c r="H477" s="50" t="str">
        <f aca="false">'Project Plan'!H480&amp;""</f>
        <v/>
      </c>
      <c r="I477" s="50" t="str">
        <f aca="false">IF('Project Plan'!C480=3,ROUND('Project Plan'!Z480*Assumptions!$C$6,0)&amp;"h","")</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9"/>
    <col collapsed="false" customWidth="true" hidden="false" outlineLevel="0" max="4" min="4" style="0" width="10"/>
    <col collapsed="false" customWidth="true" hidden="false" outlineLevel="0" max="5" min="5" style="0" width="22"/>
    <col collapsed="false" customWidth="true" hidden="false" outlineLevel="0" max="6" min="6" style="0" width="60"/>
    <col collapsed="false" customWidth="true" hidden="false" outlineLevel="0" max="7" min="7" style="0" width="30"/>
  </cols>
  <sheetData>
    <row r="1" customFormat="false" ht="15" hidden="false" customHeight="false" outlineLevel="0" collapsed="false">
      <c r="A1" s="5" t="s">
        <v>66</v>
      </c>
      <c r="B1" s="5" t="s">
        <v>1074</v>
      </c>
      <c r="C1" s="5" t="s">
        <v>1075</v>
      </c>
      <c r="D1" s="5" t="s">
        <v>1076</v>
      </c>
      <c r="E1" s="5" t="s">
        <v>83</v>
      </c>
      <c r="F1" s="5" t="s">
        <v>1077</v>
      </c>
      <c r="G1" s="5" t="s">
        <v>1078</v>
      </c>
    </row>
    <row r="2" customFormat="false" ht="23.85" hidden="false" customHeight="false" outlineLevel="0" collapsed="false">
      <c r="A2" s="55" t="s">
        <v>1079</v>
      </c>
      <c r="B2" s="55" t="s">
        <v>1080</v>
      </c>
      <c r="C2" s="55" t="s">
        <v>1081</v>
      </c>
      <c r="D2" s="55" t="s">
        <v>1030</v>
      </c>
      <c r="E2" s="55" t="s">
        <v>1082</v>
      </c>
      <c r="F2" s="55" t="s">
        <v>1083</v>
      </c>
      <c r="G2" s="55" t="s">
        <v>1084</v>
      </c>
    </row>
    <row r="3" customFormat="false" ht="23.85" hidden="false" customHeight="false" outlineLevel="0" collapsed="false">
      <c r="A3" s="55" t="s">
        <v>1085</v>
      </c>
      <c r="B3" s="55" t="s">
        <v>1086</v>
      </c>
      <c r="C3" s="55" t="s">
        <v>1081</v>
      </c>
      <c r="D3" s="55" t="s">
        <v>1081</v>
      </c>
      <c r="E3" s="55" t="s">
        <v>1087</v>
      </c>
      <c r="F3" s="55" t="s">
        <v>1088</v>
      </c>
      <c r="G3" s="55" t="s">
        <v>1089</v>
      </c>
    </row>
    <row r="4" customFormat="false" ht="15" hidden="false" customHeight="false" outlineLevel="0" collapsed="false">
      <c r="A4" s="55" t="s">
        <v>1090</v>
      </c>
      <c r="B4" s="55" t="s">
        <v>1091</v>
      </c>
      <c r="C4" s="55" t="s">
        <v>1081</v>
      </c>
      <c r="D4" s="55" t="s">
        <v>1030</v>
      </c>
      <c r="E4" s="55" t="s">
        <v>1092</v>
      </c>
      <c r="F4" s="55" t="s">
        <v>1093</v>
      </c>
      <c r="G4" s="55" t="s">
        <v>1094</v>
      </c>
    </row>
    <row r="5" customFormat="false" ht="23.85" hidden="false" customHeight="false" outlineLevel="0" collapsed="false">
      <c r="A5" s="55" t="s">
        <v>1095</v>
      </c>
      <c r="B5" s="55" t="s">
        <v>1096</v>
      </c>
      <c r="C5" s="55" t="s">
        <v>1030</v>
      </c>
      <c r="D5" s="55" t="s">
        <v>1081</v>
      </c>
      <c r="E5" s="55" t="s">
        <v>1097</v>
      </c>
      <c r="F5" s="55" t="s">
        <v>1098</v>
      </c>
      <c r="G5" s="55" t="s">
        <v>1099</v>
      </c>
    </row>
    <row r="6" customFormat="false" ht="15" hidden="false" customHeight="false" outlineLevel="0" collapsed="false">
      <c r="A6" s="55" t="s">
        <v>1100</v>
      </c>
      <c r="B6" s="55" t="s">
        <v>1101</v>
      </c>
      <c r="C6" s="55" t="s">
        <v>1081</v>
      </c>
      <c r="D6" s="55" t="s">
        <v>1030</v>
      </c>
      <c r="E6" s="55" t="s">
        <v>1102</v>
      </c>
      <c r="F6" s="55" t="s">
        <v>1103</v>
      </c>
      <c r="G6" s="55" t="s">
        <v>1104</v>
      </c>
    </row>
    <row r="7" customFormat="false" ht="15" hidden="false" customHeight="false" outlineLevel="0" collapsed="false">
      <c r="A7" s="55" t="s">
        <v>1105</v>
      </c>
      <c r="B7" s="55" t="s">
        <v>1106</v>
      </c>
      <c r="C7" s="55" t="s">
        <v>1030</v>
      </c>
      <c r="D7" s="55" t="s">
        <v>1081</v>
      </c>
      <c r="E7" s="55" t="s">
        <v>41</v>
      </c>
      <c r="F7" s="55" t="s">
        <v>1107</v>
      </c>
      <c r="G7" s="55" t="s">
        <v>1108</v>
      </c>
    </row>
    <row r="8" customFormat="false" ht="15" hidden="false" customHeight="false" outlineLevel="0" collapsed="false">
      <c r="A8" s="55" t="s">
        <v>1109</v>
      </c>
      <c r="B8" s="55" t="s">
        <v>1110</v>
      </c>
      <c r="C8" s="55" t="s">
        <v>1030</v>
      </c>
      <c r="D8" s="55" t="s">
        <v>1030</v>
      </c>
      <c r="E8" s="55" t="s">
        <v>1111</v>
      </c>
      <c r="F8" s="55" t="s">
        <v>1112</v>
      </c>
      <c r="G8" s="55" t="s">
        <v>1113</v>
      </c>
    </row>
    <row r="9" customFormat="false" ht="15" hidden="false" customHeight="false" outlineLevel="0" collapsed="false">
      <c r="A9" s="55" t="s">
        <v>1114</v>
      </c>
      <c r="B9" s="55" t="s">
        <v>1115</v>
      </c>
      <c r="C9" s="55" t="s">
        <v>1030</v>
      </c>
      <c r="D9" s="55" t="s">
        <v>1030</v>
      </c>
      <c r="E9" s="55" t="s">
        <v>1116</v>
      </c>
      <c r="F9" s="55" t="s">
        <v>1117</v>
      </c>
      <c r="G9" s="55" t="s">
        <v>1118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2026-10-23T04:34:27Z</dcterms:created>
  <dc:creator>openpyxl</dc:creator>
  <dc:description/>
  <dc:language>en-US</dc:language>
  <cp:lastModifiedBy/>
  <dcterms:modified xsi:type="dcterms:W3CDTF">2026-10-23T04:34:28Z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